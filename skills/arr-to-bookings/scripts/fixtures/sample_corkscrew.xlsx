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rkscrew" sheetId="1" state="visible" r:id="rId3"/>
    <sheet name="Raw Data with Analysis" sheetId="2" state="visible" r:id="rId4"/>
    <sheet name="Raw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retention-analysis</author>
  </authors>
  <commentList>
    <comment ref="B3" authorId="0">
      <text>
        <r>
          <rPr>
            <sz val="10"/>
            <rFont val="Arial"/>
            <family val="2"/>
          </rPr>
          <t xml:space="preserve">Source: User-confirmed in Phase 1. Data is MRR (annualize ×12).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-58</xdr:colOff>
                <xdr:row>3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<sst xmlns="http://schemas.openxmlformats.org/spreadsheetml/2006/main" count="1027" uniqueCount="392">
  <si>
    <t xml:space="preserve">YoY ARR Corkscrew &amp; Retention Analysis</t>
  </si>
  <si>
    <t xml:space="preserve">Generated:</t>
  </si>
  <si>
    <t xml:space="preserve">2026-06-21</t>
  </si>
  <si>
    <t xml:space="preserve">ARR Factor (MRR × N):</t>
  </si>
  <si>
    <t xml:space="preserve">Item</t>
  </si>
  <si>
    <t xml:space="preserve">2022-M1</t>
  </si>
  <si>
    <t xml:space="preserve">2022-M2</t>
  </si>
  <si>
    <t xml:space="preserve">2022-M3</t>
  </si>
  <si>
    <t xml:space="preserve">2022-M4</t>
  </si>
  <si>
    <t xml:space="preserve">2022-M5</t>
  </si>
  <si>
    <t xml:space="preserve">2022-M6</t>
  </si>
  <si>
    <t xml:space="preserve">2022-M7</t>
  </si>
  <si>
    <t xml:space="preserve">2022-M8</t>
  </si>
  <si>
    <t xml:space="preserve">2022-M9</t>
  </si>
  <si>
    <t xml:space="preserve">2022-M10</t>
  </si>
  <si>
    <t xml:space="preserve">2022-M11</t>
  </si>
  <si>
    <t xml:space="preserve">2022-M12</t>
  </si>
  <si>
    <t xml:space="preserve">2023-M1</t>
  </si>
  <si>
    <t xml:space="preserve">2023-M2</t>
  </si>
  <si>
    <t xml:space="preserve">2023-M3</t>
  </si>
  <si>
    <t xml:space="preserve">2023-M4</t>
  </si>
  <si>
    <t xml:space="preserve">2023-M5</t>
  </si>
  <si>
    <t xml:space="preserve">2023-M6</t>
  </si>
  <si>
    <t xml:space="preserve">2023-M7</t>
  </si>
  <si>
    <t xml:space="preserve">2023-M8</t>
  </si>
  <si>
    <t xml:space="preserve">2023-M9</t>
  </si>
  <si>
    <t xml:space="preserve">2023-M10</t>
  </si>
  <si>
    <t xml:space="preserve">2023-M11</t>
  </si>
  <si>
    <t xml:space="preserve">2023-M12</t>
  </si>
  <si>
    <t xml:space="preserve">2024-M1</t>
  </si>
  <si>
    <t xml:space="preserve">2024-M2</t>
  </si>
  <si>
    <t xml:space="preserve">2024-M3</t>
  </si>
  <si>
    <t xml:space="preserve">2024-M4</t>
  </si>
  <si>
    <t xml:space="preserve">2024-M5</t>
  </si>
  <si>
    <t xml:space="preserve">2024-M6</t>
  </si>
  <si>
    <t xml:space="preserve">2024-M7</t>
  </si>
  <si>
    <t xml:space="preserve">2024-M8</t>
  </si>
  <si>
    <t xml:space="preserve">2024-M9</t>
  </si>
  <si>
    <t xml:space="preserve">2024-M10</t>
  </si>
  <si>
    <t xml:space="preserve">2024-M11</t>
  </si>
  <si>
    <t xml:space="preserve">2024-M12</t>
  </si>
  <si>
    <t xml:space="preserve">2025-M1</t>
  </si>
  <si>
    <t xml:space="preserve">2025-M2</t>
  </si>
  <si>
    <t xml:space="preserve">2025-M3</t>
  </si>
  <si>
    <t xml:space="preserve">2025-M4</t>
  </si>
  <si>
    <t xml:space="preserve">2025-M5</t>
  </si>
  <si>
    <t xml:space="preserve">2025-M6</t>
  </si>
  <si>
    <t xml:space="preserve">2025-M7</t>
  </si>
  <si>
    <t xml:space="preserve">2025-M8</t>
  </si>
  <si>
    <t xml:space="preserve">2025-M9</t>
  </si>
  <si>
    <t xml:space="preserve">2025-M10</t>
  </si>
  <si>
    <t xml:space="preserve">2025-M11</t>
  </si>
  <si>
    <t xml:space="preserve">2025-M12</t>
  </si>
  <si>
    <t xml:space="preserve">2026-M1</t>
  </si>
  <si>
    <t xml:space="preserve">2026-M2</t>
  </si>
  <si>
    <t xml:space="preserve">2026-M3</t>
  </si>
  <si>
    <t xml:space="preserve">2026-M4</t>
  </si>
  <si>
    <t xml:space="preserve">2026-M5</t>
  </si>
  <si>
    <t xml:space="preserve">(vs. prior year)</t>
  </si>
  <si>
    <t xml:space="preserve">vs 2021-M1</t>
  </si>
  <si>
    <t xml:space="preserve">vs 2021-M2</t>
  </si>
  <si>
    <t xml:space="preserve">vs 2021-M3</t>
  </si>
  <si>
    <t xml:space="preserve">vs 2021-M4</t>
  </si>
  <si>
    <t xml:space="preserve">vs 2021-M5</t>
  </si>
  <si>
    <t xml:space="preserve">vs 2021-M6</t>
  </si>
  <si>
    <t xml:space="preserve">vs 2021-M7</t>
  </si>
  <si>
    <t xml:space="preserve">vs 2021-M8</t>
  </si>
  <si>
    <t xml:space="preserve">vs 2021-M9</t>
  </si>
  <si>
    <t xml:space="preserve">vs 2021-M10</t>
  </si>
  <si>
    <t xml:space="preserve">vs 2021-M11</t>
  </si>
  <si>
    <t xml:space="preserve">vs 2021-M12</t>
  </si>
  <si>
    <t xml:space="preserve">vs 2022-M1</t>
  </si>
  <si>
    <t xml:space="preserve">vs 2022-M2</t>
  </si>
  <si>
    <t xml:space="preserve">vs 2022-M3</t>
  </si>
  <si>
    <t xml:space="preserve">vs 2022-M4</t>
  </si>
  <si>
    <t xml:space="preserve">vs 2022-M5</t>
  </si>
  <si>
    <t xml:space="preserve">vs 2022-M6</t>
  </si>
  <si>
    <t xml:space="preserve">vs 2022-M7</t>
  </si>
  <si>
    <t xml:space="preserve">vs 2022-M8</t>
  </si>
  <si>
    <t xml:space="preserve">vs 2022-M9</t>
  </si>
  <si>
    <t xml:space="preserve">vs 2022-M10</t>
  </si>
  <si>
    <t xml:space="preserve">vs 2022-M11</t>
  </si>
  <si>
    <t xml:space="preserve">vs 2022-M12</t>
  </si>
  <si>
    <t xml:space="preserve">vs 2023-M1</t>
  </si>
  <si>
    <t xml:space="preserve">vs 2023-M2</t>
  </si>
  <si>
    <t xml:space="preserve">vs 2023-M3</t>
  </si>
  <si>
    <t xml:space="preserve">vs 2023-M4</t>
  </si>
  <si>
    <t xml:space="preserve">vs 2023-M5</t>
  </si>
  <si>
    <t xml:space="preserve">vs 2023-M6</t>
  </si>
  <si>
    <t xml:space="preserve">vs 2023-M7</t>
  </si>
  <si>
    <t xml:space="preserve">vs 2023-M8</t>
  </si>
  <si>
    <t xml:space="preserve">vs 2023-M9</t>
  </si>
  <si>
    <t xml:space="preserve">vs 2023-M10</t>
  </si>
  <si>
    <t xml:space="preserve">vs 2023-M11</t>
  </si>
  <si>
    <t xml:space="preserve">vs 2023-M12</t>
  </si>
  <si>
    <t xml:space="preserve">vs 2024-M1</t>
  </si>
  <si>
    <t xml:space="preserve">vs 2024-M2</t>
  </si>
  <si>
    <t xml:space="preserve">vs 2024-M3</t>
  </si>
  <si>
    <t xml:space="preserve">vs 2024-M4</t>
  </si>
  <si>
    <t xml:space="preserve">vs 2024-M5</t>
  </si>
  <si>
    <t xml:space="preserve">vs 2024-M6</t>
  </si>
  <si>
    <t xml:space="preserve">vs 2024-M7</t>
  </si>
  <si>
    <t xml:space="preserve">vs 2024-M8</t>
  </si>
  <si>
    <t xml:space="preserve">vs 2024-M9</t>
  </si>
  <si>
    <t xml:space="preserve">vs 2024-M10</t>
  </si>
  <si>
    <t xml:space="preserve">vs 2024-M11</t>
  </si>
  <si>
    <t xml:space="preserve">vs 2024-M12</t>
  </si>
  <si>
    <t xml:space="preserve">vs 2025-M1</t>
  </si>
  <si>
    <t xml:space="preserve">vs 2025-M2</t>
  </si>
  <si>
    <t xml:space="preserve">vs 2025-M3</t>
  </si>
  <si>
    <t xml:space="preserve">vs 2025-M4</t>
  </si>
  <si>
    <t xml:space="preserve">vs 2025-M5</t>
  </si>
  <si>
    <t xml:space="preserve">Beginning ARR (prior year)</t>
  </si>
  <si>
    <t xml:space="preserve">  + New customer ARR</t>
  </si>
  <si>
    <t xml:space="preserve">  + Expansion (Upsell)</t>
  </si>
  <si>
    <t xml:space="preserve">  - Contraction (Downsell)</t>
  </si>
  <si>
    <t xml:space="preserve">  - Churn</t>
  </si>
  <si>
    <t xml:space="preserve">Ending ARR</t>
  </si>
  <si>
    <t xml:space="preserve">External Check (Ending - Raw Data) = 0</t>
  </si>
  <si>
    <t xml:space="preserve">CUSTOMER COUNTS</t>
  </si>
  <si>
    <t xml:space="preserve"># Active (prior period)</t>
  </si>
  <si>
    <t xml:space="preserve"># Active (current period)</t>
  </si>
  <si>
    <t xml:space="preserve"># Churned</t>
  </si>
  <si>
    <t xml:space="preserve"># New</t>
  </si>
  <si>
    <t xml:space="preserve">RETENTION RATES</t>
  </si>
  <si>
    <t xml:space="preserve">Gross Dollar Retention (GRR)</t>
  </si>
  <si>
    <t xml:space="preserve">Net Dollar Retention (NRR)</t>
  </si>
  <si>
    <t xml:space="preserve">Logo Retention</t>
  </si>
  <si>
    <t xml:space="preserve">PER-CUSTOMER METRICS</t>
  </si>
  <si>
    <t xml:space="preserve">Avg ARR per Active Customer</t>
  </si>
  <si>
    <t xml:space="preserve">Avg ARR per New Customer</t>
  </si>
  <si>
    <t xml:space="preserve">Customer ID</t>
  </si>
  <si>
    <t xml:space="preserve">2021-M1</t>
  </si>
  <si>
    <t xml:space="preserve">2021-M2</t>
  </si>
  <si>
    <t xml:space="preserve">2021-M3</t>
  </si>
  <si>
    <t xml:space="preserve">2021-M4</t>
  </si>
  <si>
    <t xml:space="preserve">2021-M5</t>
  </si>
  <si>
    <t xml:space="preserve">2021-M6</t>
  </si>
  <si>
    <t xml:space="preserve">2021-M7</t>
  </si>
  <si>
    <t xml:space="preserve">2021-M8</t>
  </si>
  <si>
    <t xml:space="preserve">2021-M9</t>
  </si>
  <si>
    <t xml:space="preserve">2021-M10</t>
  </si>
  <si>
    <t xml:space="preserve">2021-M11</t>
  </si>
  <si>
    <t xml:space="preserve">2021-M12</t>
  </si>
  <si>
    <t xml:space="preserve">Excluded?</t>
  </si>
  <si>
    <t xml:space="preserve"># Active customers</t>
  </si>
  <si>
    <t xml:space="preserve"># Retained vs 12mo prior</t>
  </si>
  <si>
    <t xml:space="preserve">n/a</t>
  </si>
  <si>
    <t xml:space="preserve">Unadj.</t>
  </si>
  <si>
    <t xml:space="preserve">Adjustment</t>
  </si>
  <si>
    <t xml:space="preserve">Adj. for promotions, co-development and never live churn</t>
  </si>
  <si>
    <t xml:space="preserve">Adj. for all involuntary churn</t>
  </si>
  <si>
    <t xml:space="preserve">Customer name</t>
  </si>
  <si>
    <t xml:space="preserve">Parent Account</t>
  </si>
  <si>
    <t xml:space="preserve">Customer type</t>
  </si>
  <si>
    <t xml:space="preserve">Geo</t>
  </si>
  <si>
    <t xml:space="preserve">Vertical</t>
  </si>
  <si>
    <t xml:space="preserve">Summary</t>
  </si>
  <si>
    <t xml:space="preserve">Existing customers</t>
  </si>
  <si>
    <t xml:space="preserve">Pipeline to be signed/unidentified changes</t>
  </si>
  <si>
    <t xml:space="preserve">Total</t>
  </si>
  <si>
    <t xml:space="preserve">Rationale</t>
  </si>
  <si>
    <t xml:space="preserve">Local Account #1 from CA</t>
  </si>
  <si>
    <t xml:space="preserve">Local Parent Account #1 from CA</t>
  </si>
  <si>
    <t xml:space="preserve">Local</t>
  </si>
  <si>
    <t xml:space="preserve">CA</t>
  </si>
  <si>
    <t xml:space="preserve">Economic Development</t>
  </si>
  <si>
    <t xml:space="preserve">Local Account #2 from CA</t>
  </si>
  <si>
    <t xml:space="preserve">Local Parent Account #2 from CA</t>
  </si>
  <si>
    <t xml:space="preserve">Human Services</t>
  </si>
  <si>
    <t xml:space="preserve">Never live</t>
  </si>
  <si>
    <t xml:space="preserve">Local Account #3 from MI</t>
  </si>
  <si>
    <t xml:space="preserve">Local Parent Account #3 from MI</t>
  </si>
  <si>
    <t xml:space="preserve">MI</t>
  </si>
  <si>
    <t xml:space="preserve">Workforce Development</t>
  </si>
  <si>
    <t xml:space="preserve">Local Account #4 from CA</t>
  </si>
  <si>
    <t xml:space="preserve">Local Parent Account #4 from CA</t>
  </si>
  <si>
    <t xml:space="preserve">Community Services</t>
  </si>
  <si>
    <t xml:space="preserve">Local Account #5 from OH</t>
  </si>
  <si>
    <t xml:space="preserve">Local Parent Account #5 from OH</t>
  </si>
  <si>
    <t xml:space="preserve">OH</t>
  </si>
  <si>
    <t xml:space="preserve">Local Account #6 from GA</t>
  </si>
  <si>
    <t xml:space="preserve">Local Parent Account #6 from GA</t>
  </si>
  <si>
    <t xml:space="preserve">GA</t>
  </si>
  <si>
    <t xml:space="preserve">Budget / funding</t>
  </si>
  <si>
    <t xml:space="preserve">Local Account #7 from MD</t>
  </si>
  <si>
    <t xml:space="preserve">Local Parent Account #7 from MD</t>
  </si>
  <si>
    <t xml:space="preserve">MD</t>
  </si>
  <si>
    <t xml:space="preserve">Education</t>
  </si>
  <si>
    <t xml:space="preserve">Local Account #8 from KY</t>
  </si>
  <si>
    <t xml:space="preserve">Local Parent Account #8 from KY</t>
  </si>
  <si>
    <t xml:space="preserve">KY</t>
  </si>
  <si>
    <t xml:space="preserve">Local Account #9 from KY</t>
  </si>
  <si>
    <t xml:space="preserve">Local Parent Account #9 from KY</t>
  </si>
  <si>
    <t xml:space="preserve">Local Account #10 from MI</t>
  </si>
  <si>
    <t xml:space="preserve">Local Account #11 from MN</t>
  </si>
  <si>
    <t xml:space="preserve">Local Parent Account #10 from MN</t>
  </si>
  <si>
    <t xml:space="preserve">MN</t>
  </si>
  <si>
    <t xml:space="preserve">State Account #12 from MA</t>
  </si>
  <si>
    <t xml:space="preserve">State Parent Account #11 from MA</t>
  </si>
  <si>
    <t xml:space="preserve">State</t>
  </si>
  <si>
    <t xml:space="preserve">MA</t>
  </si>
  <si>
    <t xml:space="preserve">Local Account #13 from FL</t>
  </si>
  <si>
    <t xml:space="preserve">Local Parent Account #12 from FL</t>
  </si>
  <si>
    <t xml:space="preserve">FL</t>
  </si>
  <si>
    <t xml:space="preserve">State Account #14 from MD</t>
  </si>
  <si>
    <t xml:space="preserve">State Parent Account #13 from MD</t>
  </si>
  <si>
    <t xml:space="preserve">State Account #15 from OK</t>
  </si>
  <si>
    <t xml:space="preserve">State Parent Account #14 from OK</t>
  </si>
  <si>
    <t xml:space="preserve">OK</t>
  </si>
  <si>
    <t xml:space="preserve">Co-development</t>
  </si>
  <si>
    <t xml:space="preserve">State Account #16 from OK</t>
  </si>
  <si>
    <t xml:space="preserve">Promotional contract</t>
  </si>
  <si>
    <t xml:space="preserve">State Account #17 from WA</t>
  </si>
  <si>
    <t xml:space="preserve">State Parent Account #15 from WA</t>
  </si>
  <si>
    <t xml:space="preserve">WA</t>
  </si>
  <si>
    <t xml:space="preserve">State Account #19 from CA</t>
  </si>
  <si>
    <t xml:space="preserve">State Parent Account #16 from CA</t>
  </si>
  <si>
    <t xml:space="preserve">State Account #20 from VT</t>
  </si>
  <si>
    <t xml:space="preserve">State Parent Account #17 from VT</t>
  </si>
  <si>
    <t xml:space="preserve">VT</t>
  </si>
  <si>
    <t xml:space="preserve">State Account #18 from WA</t>
  </si>
  <si>
    <t xml:space="preserve">Local Account #22 from FL</t>
  </si>
  <si>
    <t xml:space="preserve">Local Parent Account #18 from FL</t>
  </si>
  <si>
    <t xml:space="preserve">Local Account #23 from WA</t>
  </si>
  <si>
    <t xml:space="preserve">Local Parent Account #19 from WA</t>
  </si>
  <si>
    <t xml:space="preserve">Local Account #24 from PA</t>
  </si>
  <si>
    <t xml:space="preserve">Local Parent Account #20 from PA</t>
  </si>
  <si>
    <t xml:space="preserve">PA</t>
  </si>
  <si>
    <t xml:space="preserve">Local Account #25 from AZ</t>
  </si>
  <si>
    <t xml:space="preserve">Local Parent Account #21 from AZ</t>
  </si>
  <si>
    <t xml:space="preserve">AZ</t>
  </si>
  <si>
    <t xml:space="preserve">Local Account #26 from MI</t>
  </si>
  <si>
    <t xml:space="preserve">Local Parent Account #22 from MI</t>
  </si>
  <si>
    <t xml:space="preserve">Local Account #27 from CA</t>
  </si>
  <si>
    <t xml:space="preserve">Local Parent Account #23 from CA</t>
  </si>
  <si>
    <t xml:space="preserve">Local Account #28 from CA</t>
  </si>
  <si>
    <t xml:space="preserve">Local Parent Account #24 from CA</t>
  </si>
  <si>
    <t xml:space="preserve">Local Account #29 from CA</t>
  </si>
  <si>
    <t xml:space="preserve">Local Account #30 from OR</t>
  </si>
  <si>
    <t xml:space="preserve">Local Parent Account #26 from OR</t>
  </si>
  <si>
    <t xml:space="preserve">OR</t>
  </si>
  <si>
    <t xml:space="preserve">Local Account #31 from CA</t>
  </si>
  <si>
    <t xml:space="preserve">Local Parent Account #27 from CA</t>
  </si>
  <si>
    <t xml:space="preserve">Local Account #32 from CA</t>
  </si>
  <si>
    <t xml:space="preserve">Local Parent Account #28 from CA</t>
  </si>
  <si>
    <t xml:space="preserve">Local Account #33 from CA</t>
  </si>
  <si>
    <t xml:space="preserve">Local Parent Account #29 from CA</t>
  </si>
  <si>
    <t xml:space="preserve">Local Account #34 from MI</t>
  </si>
  <si>
    <t xml:space="preserve">Local Parent Account #30 from MI</t>
  </si>
  <si>
    <t xml:space="preserve">Local Account #35 from OR</t>
  </si>
  <si>
    <t xml:space="preserve">Local Parent Account #31 from OR</t>
  </si>
  <si>
    <t xml:space="preserve">Local Account #36 from CA</t>
  </si>
  <si>
    <t xml:space="preserve">Local Parent Account #32 from CA</t>
  </si>
  <si>
    <t xml:space="preserve">Local Account #37 from NC</t>
  </si>
  <si>
    <t xml:space="preserve">Local Parent Account #33 from NC</t>
  </si>
  <si>
    <t xml:space="preserve">NC</t>
  </si>
  <si>
    <t xml:space="preserve">Local Account #38 from CA</t>
  </si>
  <si>
    <t xml:space="preserve">Local Parent Account #34 from CA</t>
  </si>
  <si>
    <t xml:space="preserve">Local Account #39 from CA</t>
  </si>
  <si>
    <t xml:space="preserve">Local Account #40 from OH</t>
  </si>
  <si>
    <t xml:space="preserve">Local Parent Account #35 from OH</t>
  </si>
  <si>
    <t xml:space="preserve">Org closed</t>
  </si>
  <si>
    <t xml:space="preserve">Local Account #41 from CA</t>
  </si>
  <si>
    <t xml:space="preserve">Local Parent Account #36 from CA</t>
  </si>
  <si>
    <t xml:space="preserve">State Account #42 (International)</t>
  </si>
  <si>
    <t xml:space="preserve">State Parent Account #37 International</t>
  </si>
  <si>
    <t xml:space="preserve">Bermuda (International)</t>
  </si>
  <si>
    <t xml:space="preserve">Local Account #43 from VA</t>
  </si>
  <si>
    <t xml:space="preserve">Local Parent Account #38 from VA</t>
  </si>
  <si>
    <t xml:space="preserve">VA</t>
  </si>
  <si>
    <t xml:space="preserve">Local Account #44 from CA</t>
  </si>
  <si>
    <t xml:space="preserve">Local Parent Account #39 from CA</t>
  </si>
  <si>
    <t xml:space="preserve">Local Account #45 from TX</t>
  </si>
  <si>
    <t xml:space="preserve">Local Parent Account #40 from TX</t>
  </si>
  <si>
    <t xml:space="preserve">TX</t>
  </si>
  <si>
    <t xml:space="preserve">Local Account #46 from CA</t>
  </si>
  <si>
    <t xml:space="preserve">Local Parent Account #41 from CA</t>
  </si>
  <si>
    <t xml:space="preserve">Local Account #47 from NY</t>
  </si>
  <si>
    <t xml:space="preserve">Local Parent Account #42 from NY</t>
  </si>
  <si>
    <t xml:space="preserve">NY</t>
  </si>
  <si>
    <t xml:space="preserve">Local Account #48 from IL</t>
  </si>
  <si>
    <t xml:space="preserve">Local Parent Account #43 from IL</t>
  </si>
  <si>
    <t xml:space="preserve">IL</t>
  </si>
  <si>
    <t xml:space="preserve">Local Account #49 from KY</t>
  </si>
  <si>
    <t xml:space="preserve">Local Account #50 from MI</t>
  </si>
  <si>
    <t xml:space="preserve">Local Parent Account #44 from MI</t>
  </si>
  <si>
    <t xml:space="preserve">Local Account #51 from CA</t>
  </si>
  <si>
    <t xml:space="preserve">Local Parent Account #45 from CA</t>
  </si>
  <si>
    <t xml:space="preserve">Local Account #52 from CA</t>
  </si>
  <si>
    <t xml:space="preserve">Local Parent Account #46 from CA</t>
  </si>
  <si>
    <t xml:space="preserve">Local Account #53 from CA</t>
  </si>
  <si>
    <t xml:space="preserve">Local Parent Account #47 from CA</t>
  </si>
  <si>
    <t xml:space="preserve">Local Account #54 from CA</t>
  </si>
  <si>
    <t xml:space="preserve">Local Parent Account #48 from CA</t>
  </si>
  <si>
    <t xml:space="preserve">Local Account #55 from OH</t>
  </si>
  <si>
    <t xml:space="preserve">Local Parent Account #49 from OH</t>
  </si>
  <si>
    <t xml:space="preserve">Local Account #56 from CA</t>
  </si>
  <si>
    <t xml:space="preserve">Local Parent Account #50 from CA</t>
  </si>
  <si>
    <t xml:space="preserve">Local Account #57 from CA</t>
  </si>
  <si>
    <t xml:space="preserve">Local Parent Account #51 from CA</t>
  </si>
  <si>
    <t xml:space="preserve">Local Account #58 from TN</t>
  </si>
  <si>
    <t xml:space="preserve">Local Parent Account #52 from TN</t>
  </si>
  <si>
    <t xml:space="preserve">TN</t>
  </si>
  <si>
    <t xml:space="preserve">Local Account #59 from TN</t>
  </si>
  <si>
    <t xml:space="preserve">Local Parent Account #53 from TN</t>
  </si>
  <si>
    <t xml:space="preserve">Local Account #60 from CA</t>
  </si>
  <si>
    <t xml:space="preserve">Local Parent Account #54 from CA</t>
  </si>
  <si>
    <t xml:space="preserve">Local Account #61 from NC</t>
  </si>
  <si>
    <t xml:space="preserve">Local Parent Account #55 from NC</t>
  </si>
  <si>
    <t xml:space="preserve">Local Account #62 from CA</t>
  </si>
  <si>
    <t xml:space="preserve">Local Parent Account #56 from CA</t>
  </si>
  <si>
    <t xml:space="preserve">Local Account #63 from KY</t>
  </si>
  <si>
    <t xml:space="preserve">Local Parent Account #57 from KY</t>
  </si>
  <si>
    <t xml:space="preserve">Local Account #64 from KY</t>
  </si>
  <si>
    <t xml:space="preserve">Local Parent Account #58 from KY</t>
  </si>
  <si>
    <t xml:space="preserve">Local Account #65 from CT</t>
  </si>
  <si>
    <t xml:space="preserve">Local Parent Account #59 from CT</t>
  </si>
  <si>
    <t xml:space="preserve">CT</t>
  </si>
  <si>
    <t xml:space="preserve">Local Account #66 from CA</t>
  </si>
  <si>
    <t xml:space="preserve">Local Parent Account #60 from CA</t>
  </si>
  <si>
    <t xml:space="preserve">Local Account #67 from WA</t>
  </si>
  <si>
    <t xml:space="preserve">Local Parent Account #61 from WA</t>
  </si>
  <si>
    <t xml:space="preserve">Local Account #68 from FL</t>
  </si>
  <si>
    <t xml:space="preserve">Local Parent Account #62 from FL</t>
  </si>
  <si>
    <t xml:space="preserve">Local Account #69 from PA</t>
  </si>
  <si>
    <t xml:space="preserve">Local Parent Account #63 from PA</t>
  </si>
  <si>
    <t xml:space="preserve">Local Account #70 from PA</t>
  </si>
  <si>
    <t xml:space="preserve">Local Parent Account #64 from PA</t>
  </si>
  <si>
    <t xml:space="preserve">Local Account #71 from NJ</t>
  </si>
  <si>
    <t xml:space="preserve">Local Parent Account #65 from NJ</t>
  </si>
  <si>
    <t xml:space="preserve">NJ</t>
  </si>
  <si>
    <t xml:space="preserve">Local Account #72 from AZ</t>
  </si>
  <si>
    <t xml:space="preserve">Local Parent Account #66 from AZ</t>
  </si>
  <si>
    <t xml:space="preserve">Local Account #73 from CA</t>
  </si>
  <si>
    <t xml:space="preserve">Local Parent Account #67 from CA</t>
  </si>
  <si>
    <t xml:space="preserve">Local Account #74 from CA</t>
  </si>
  <si>
    <t xml:space="preserve">Local Parent Account #68 from CA</t>
  </si>
  <si>
    <t xml:space="preserve">Local Account #75 from CA</t>
  </si>
  <si>
    <t xml:space="preserve">Local Parent Account #69 from CA</t>
  </si>
  <si>
    <t xml:space="preserve">Local Account #76 from CA</t>
  </si>
  <si>
    <t xml:space="preserve">Local Parent Account #70 from CA</t>
  </si>
  <si>
    <t xml:space="preserve">Local Account #77 from MI</t>
  </si>
  <si>
    <t xml:space="preserve">Local Parent Account #71 from MI</t>
  </si>
  <si>
    <t xml:space="preserve">Local Account #78 from CA</t>
  </si>
  <si>
    <t xml:space="preserve">Local Parent Account #72 from CA</t>
  </si>
  <si>
    <t xml:space="preserve">Local Account #79 from WA</t>
  </si>
  <si>
    <t xml:space="preserve">Local Parent Account #73 from WA</t>
  </si>
  <si>
    <t xml:space="preserve">Local Account #80 from KY</t>
  </si>
  <si>
    <t xml:space="preserve">Local Parent Account #74 from KY</t>
  </si>
  <si>
    <t xml:space="preserve">Local Account #81 from WA</t>
  </si>
  <si>
    <t xml:space="preserve">Local Parent Account #75 from WA</t>
  </si>
  <si>
    <t xml:space="preserve">Local Account #82 from MI</t>
  </si>
  <si>
    <t xml:space="preserve">Local Parent Account #76 from MI</t>
  </si>
  <si>
    <t xml:space="preserve">Local Account #83 from OR</t>
  </si>
  <si>
    <t xml:space="preserve">Local Parent Account #77 from OR</t>
  </si>
  <si>
    <t xml:space="preserve">State mandate</t>
  </si>
  <si>
    <t xml:space="preserve">Local Account #84 from OH</t>
  </si>
  <si>
    <t xml:space="preserve">Local Parent Account #78 from OH</t>
  </si>
  <si>
    <t xml:space="preserve">Local Account #85 from OH</t>
  </si>
  <si>
    <t xml:space="preserve">Local Parent Account #79 from OH</t>
  </si>
  <si>
    <t xml:space="preserve">Local Account #86 from VA</t>
  </si>
  <si>
    <t xml:space="preserve">Local Parent Account #80 from VA</t>
  </si>
  <si>
    <t xml:space="preserve">Local Account #87 from IL</t>
  </si>
  <si>
    <t xml:space="preserve">Local Parent Account #81 from IL</t>
  </si>
  <si>
    <t xml:space="preserve">Local Account #88 from MI</t>
  </si>
  <si>
    <t xml:space="preserve">Local Parent Account #82 from MI</t>
  </si>
  <si>
    <t xml:space="preserve">Local Account #89 from CA</t>
  </si>
  <si>
    <t xml:space="preserve">Local Parent Account #83 from CA</t>
  </si>
  <si>
    <t xml:space="preserve">Local Account #90 from CA</t>
  </si>
  <si>
    <t xml:space="preserve">Local Parent Account #84 from CA</t>
  </si>
  <si>
    <t xml:space="preserve">Local Account #91 from CA</t>
  </si>
  <si>
    <t xml:space="preserve">Local Parent Account #85 from CA</t>
  </si>
  <si>
    <t xml:space="preserve">Local Account #92 from WI</t>
  </si>
  <si>
    <t xml:space="preserve">Local Parent Account #86 from WI</t>
  </si>
  <si>
    <t xml:space="preserve">WI</t>
  </si>
  <si>
    <t xml:space="preserve">Local Account #93 from WI</t>
  </si>
  <si>
    <t xml:space="preserve">Local Parent Account #87 from WI</t>
  </si>
  <si>
    <t xml:space="preserve">Local Account #94 from WA</t>
  </si>
  <si>
    <t xml:space="preserve">Local Parent Account #88 from WA</t>
  </si>
  <si>
    <t xml:space="preserve">Local Account #95 from WA</t>
  </si>
  <si>
    <t xml:space="preserve">Local Parent Account #89 from WA</t>
  </si>
  <si>
    <t xml:space="preserve">Local Account #96 from CA</t>
  </si>
  <si>
    <t xml:space="preserve">Local Parent Account #90 from CA</t>
  </si>
  <si>
    <t xml:space="preserve">Local Account #97 from OR</t>
  </si>
  <si>
    <t xml:space="preserve">Local Parent Account #91 from OR</t>
  </si>
  <si>
    <t xml:space="preserve">Local Account #98 from MA</t>
  </si>
  <si>
    <t xml:space="preserve">Local Parent Account #92 from MA</t>
  </si>
  <si>
    <t xml:space="preserve">New revenue</t>
  </si>
  <si>
    <t xml:space="preserve">Expansion</t>
  </si>
  <si>
    <t xml:space="preserve">Contraction</t>
  </si>
  <si>
    <t xml:space="preserve">Churn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</si>
</sst>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\$#,##0;&quot;($&quot;#,##0\);\-"/>
    <numFmt numFmtId="167" formatCode="#,##0;\(#,##0\);\-"/>
    <numFmt numFmtId="168" formatCode="0.0%;\(0.0%\);\-"/>
    <numFmt numFmtId="169" formatCode="mmm\ yy_);@_)"/>
    <numFmt numFmtId="170" formatCode="\$#,##0_);&quot;($&quot;#,##0\);\-_);@_)"/>
    <numFmt numFmtId="171" formatCode="#,##0_);&quot; (&quot;#,##0\);\-_);@_)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sz val="10"/>
      <color rgb="FF0061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name val="Arial"/>
      <family val="2"/>
    </font>
    <font>
      <i val="true"/>
      <sz val="11"/>
      <color theme="1"/>
      <name val="Open Sans Regular"/>
      <family val="0"/>
      <charset val="1"/>
    </font>
    <font>
      <b val="true"/>
      <sz val="11"/>
      <color theme="0"/>
      <name val="Open Sans Regular"/>
      <family val="0"/>
      <charset val="1"/>
    </font>
    <font>
      <sz val="11"/>
      <color theme="1"/>
      <name val="Open Sans Regular"/>
      <family val="0"/>
      <charset val="1"/>
    </font>
    <font>
      <sz val="11"/>
      <color rgb="FF000000"/>
      <name val="Open Sans Regular"/>
      <family val="0"/>
      <charset val="1"/>
    </font>
    <font>
      <sz val="11"/>
      <color rgb="FFFF0000"/>
      <name val="Open Sans Regular"/>
      <family val="0"/>
      <charset val="1"/>
    </font>
    <font>
      <sz val="11"/>
      <color rgb="FF00B0F0"/>
      <name val="Open Sans Regular"/>
      <family val="0"/>
      <charset val="1"/>
    </font>
    <font>
      <sz val="11"/>
      <color rgb="FF00B050"/>
      <name val="Open Sans Regular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334155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334155"/>
        <bgColor rgb="FF1F4E79"/>
      </patternFill>
    </fill>
    <fill>
      <patternFill patternType="solid">
        <fgColor rgb="FF8C9AAB"/>
        <bgColor rgb="FF80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mediumDashed">
        <color rgb="FF334155"/>
      </right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mediumDashed">
        <color rgb="FF334155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  <border diagonalUp="false" diagonalDown="false">
      <left/>
      <right/>
      <top style="thin">
        <color rgb="FF8C9AAB"/>
      </top>
      <bottom style="medium">
        <color rgb="FF8C9AAB"/>
      </bottom>
      <diagonal/>
    </border>
    <border diagonalUp="false" diagonalDown="false">
      <left/>
      <right style="mediumDashed">
        <color rgb="FF334155"/>
      </right>
      <top style="thin">
        <color rgb="FF8C9AAB"/>
      </top>
      <bottom style="medium">
        <color rgb="FF8C9A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9AAB"/>
      <rgbColor rgb="FF003366"/>
      <rgbColor rgb="FF00B050"/>
      <rgbColor rgb="FF003300"/>
      <rgbColor rgb="FF333300"/>
      <rgbColor rgb="FF993300"/>
      <rgbColor rgb="FF993366"/>
      <rgbColor rgb="FF1F4E7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4" min="2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n">
        <v>12</v>
      </c>
    </row>
    <row r="5" customFormat="false" ht="15" hidden="false" customHeight="false" outlineLevel="0" collapsed="false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  <c r="W5" s="6" t="s">
        <v>26</v>
      </c>
      <c r="X5" s="6" t="s">
        <v>27</v>
      </c>
      <c r="Y5" s="6" t="s">
        <v>28</v>
      </c>
      <c r="Z5" s="6" t="s">
        <v>29</v>
      </c>
      <c r="AA5" s="6" t="s">
        <v>30</v>
      </c>
      <c r="AB5" s="6" t="s">
        <v>31</v>
      </c>
      <c r="AC5" s="6" t="s">
        <v>32</v>
      </c>
      <c r="AD5" s="6" t="s">
        <v>33</v>
      </c>
      <c r="AE5" s="6" t="s">
        <v>34</v>
      </c>
      <c r="AF5" s="6" t="s">
        <v>35</v>
      </c>
      <c r="AG5" s="6" t="s">
        <v>36</v>
      </c>
      <c r="AH5" s="6" t="s">
        <v>37</v>
      </c>
      <c r="AI5" s="6" t="s">
        <v>38</v>
      </c>
      <c r="AJ5" s="6" t="s">
        <v>39</v>
      </c>
      <c r="AK5" s="6" t="s">
        <v>40</v>
      </c>
      <c r="AL5" s="6" t="s">
        <v>41</v>
      </c>
      <c r="AM5" s="6" t="s">
        <v>42</v>
      </c>
      <c r="AN5" s="6" t="s">
        <v>43</v>
      </c>
      <c r="AO5" s="6" t="s">
        <v>44</v>
      </c>
      <c r="AP5" s="6" t="s">
        <v>45</v>
      </c>
      <c r="AQ5" s="6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6" t="s">
        <v>51</v>
      </c>
      <c r="AW5" s="6" t="s">
        <v>52</v>
      </c>
      <c r="AX5" s="6" t="s">
        <v>53</v>
      </c>
      <c r="AY5" s="6" t="s">
        <v>54</v>
      </c>
      <c r="AZ5" s="6" t="s">
        <v>55</v>
      </c>
      <c r="BA5" s="6" t="s">
        <v>56</v>
      </c>
      <c r="BB5" s="6" t="s">
        <v>57</v>
      </c>
    </row>
    <row r="6" customFormat="false" ht="15" hidden="false" customHeight="false" outlineLevel="0" collapsed="false">
      <c r="A6" s="7" t="s">
        <v>58</v>
      </c>
      <c r="B6" s="8" t="s">
        <v>59</v>
      </c>
      <c r="C6" s="8" t="s">
        <v>60</v>
      </c>
      <c r="D6" s="8" t="s">
        <v>61</v>
      </c>
      <c r="E6" s="8" t="s">
        <v>62</v>
      </c>
      <c r="F6" s="8" t="s">
        <v>63</v>
      </c>
      <c r="G6" s="8" t="s">
        <v>64</v>
      </c>
      <c r="H6" s="8" t="s">
        <v>65</v>
      </c>
      <c r="I6" s="8" t="s">
        <v>66</v>
      </c>
      <c r="J6" s="8" t="s">
        <v>67</v>
      </c>
      <c r="K6" s="8" t="s">
        <v>68</v>
      </c>
      <c r="L6" s="8" t="s">
        <v>69</v>
      </c>
      <c r="M6" s="8" t="s">
        <v>70</v>
      </c>
      <c r="N6" s="8" t="s">
        <v>71</v>
      </c>
      <c r="O6" s="8" t="s">
        <v>72</v>
      </c>
      <c r="P6" s="8" t="s">
        <v>73</v>
      </c>
      <c r="Q6" s="8" t="s">
        <v>74</v>
      </c>
      <c r="R6" s="8" t="s">
        <v>75</v>
      </c>
      <c r="S6" s="8" t="s">
        <v>76</v>
      </c>
      <c r="T6" s="8" t="s">
        <v>77</v>
      </c>
      <c r="U6" s="8" t="s">
        <v>78</v>
      </c>
      <c r="V6" s="8" t="s">
        <v>79</v>
      </c>
      <c r="W6" s="8" t="s">
        <v>80</v>
      </c>
      <c r="X6" s="8" t="s">
        <v>81</v>
      </c>
      <c r="Y6" s="8" t="s">
        <v>82</v>
      </c>
      <c r="Z6" s="8" t="s">
        <v>83</v>
      </c>
      <c r="AA6" s="8" t="s">
        <v>84</v>
      </c>
      <c r="AB6" s="8" t="s">
        <v>85</v>
      </c>
      <c r="AC6" s="8" t="s">
        <v>86</v>
      </c>
      <c r="AD6" s="8" t="s">
        <v>87</v>
      </c>
      <c r="AE6" s="8" t="s">
        <v>88</v>
      </c>
      <c r="AF6" s="8" t="s">
        <v>89</v>
      </c>
      <c r="AG6" s="8" t="s">
        <v>90</v>
      </c>
      <c r="AH6" s="8" t="s">
        <v>91</v>
      </c>
      <c r="AI6" s="8" t="s">
        <v>92</v>
      </c>
      <c r="AJ6" s="8" t="s">
        <v>93</v>
      </c>
      <c r="AK6" s="8" t="s">
        <v>94</v>
      </c>
      <c r="AL6" s="8" t="s">
        <v>95</v>
      </c>
      <c r="AM6" s="8" t="s">
        <v>96</v>
      </c>
      <c r="AN6" s="8" t="s">
        <v>97</v>
      </c>
      <c r="AO6" s="8" t="s">
        <v>98</v>
      </c>
      <c r="AP6" s="8" t="s">
        <v>99</v>
      </c>
      <c r="AQ6" s="8" t="s">
        <v>100</v>
      </c>
      <c r="AR6" s="8" t="s">
        <v>101</v>
      </c>
      <c r="AS6" s="8" t="s">
        <v>102</v>
      </c>
      <c r="AT6" s="8" t="s">
        <v>103</v>
      </c>
      <c r="AU6" s="8" t="s">
        <v>104</v>
      </c>
      <c r="AV6" s="8" t="s">
        <v>105</v>
      </c>
      <c r="AW6" s="8" t="s">
        <v>106</v>
      </c>
      <c r="AX6" s="8" t="s">
        <v>107</v>
      </c>
      <c r="AY6" s="8" t="s">
        <v>108</v>
      </c>
      <c r="AZ6" s="8" t="s">
        <v>109</v>
      </c>
      <c r="BA6" s="8" t="s">
        <v>110</v>
      </c>
      <c r="BB6" s="8" t="s">
        <v>111</v>
      </c>
    </row>
    <row r="8" customFormat="false" ht="15" hidden="false" customHeight="false" outlineLevel="0" collapsed="false">
      <c r="A8" s="9" t="s">
        <v>112</v>
      </c>
      <c r="B8" s="10" t="n">
        <f aca="false">SUMPRODUCT(('Raw Data with Analysis'!B$12:B$108&gt;0)*'Raw Data with Analysis'!B$12:B$108)*$B$3</f>
        <v>1484372.394</v>
      </c>
      <c r="C8" s="10" t="n">
        <f aca="false">SUMPRODUCT(('Raw Data with Analysis'!C$12:C$108&gt;0)*'Raw Data with Analysis'!C$12:C$108)*$B$3</f>
        <v>1520260.004</v>
      </c>
      <c r="D8" s="10" t="n">
        <f aca="false">SUMPRODUCT(('Raw Data with Analysis'!D$12:D$108&gt;0)*'Raw Data with Analysis'!D$12:D$108)*$B$3</f>
        <v>1501670.004</v>
      </c>
      <c r="E8" s="10" t="n">
        <f aca="false">SUMPRODUCT(('Raw Data with Analysis'!E$12:E$108&gt;0)*'Raw Data with Analysis'!E$12:E$108)*$B$3</f>
        <v>1518254.004</v>
      </c>
      <c r="F8" s="10" t="n">
        <f aca="false">SUMPRODUCT(('Raw Data with Analysis'!F$12:F$108&gt;0)*'Raw Data with Analysis'!F$12:F$108)*$B$3</f>
        <v>1550628.804</v>
      </c>
      <c r="G8" s="10" t="n">
        <f aca="false">SUMPRODUCT(('Raw Data with Analysis'!G$12:G$108&gt;0)*'Raw Data with Analysis'!G$12:G$108)*$B$3</f>
        <v>1577828.9</v>
      </c>
      <c r="H8" s="10" t="n">
        <f aca="false">SUMPRODUCT(('Raw Data with Analysis'!H$12:H$108&gt;0)*'Raw Data with Analysis'!H$12:H$108)*$B$3</f>
        <v>1453213.04</v>
      </c>
      <c r="I8" s="10" t="n">
        <f aca="false">SUMPRODUCT(('Raw Data with Analysis'!I$12:I$108&gt;0)*'Raw Data with Analysis'!I$12:I$108)*$B$3</f>
        <v>1548582</v>
      </c>
      <c r="J8" s="10" t="n">
        <f aca="false">SUMPRODUCT(('Raw Data with Analysis'!J$12:J$108&gt;0)*'Raw Data with Analysis'!J$12:J$108)*$B$3</f>
        <v>1579107.93782609</v>
      </c>
      <c r="K8" s="10" t="n">
        <f aca="false">SUMPRODUCT(('Raw Data with Analysis'!K$12:K$108&gt;0)*'Raw Data with Analysis'!K$12:K$108)*$B$3</f>
        <v>1630207.97782609</v>
      </c>
      <c r="L8" s="10" t="n">
        <f aca="false">SUMPRODUCT(('Raw Data with Analysis'!L$12:L$108&gt;0)*'Raw Data with Analysis'!L$12:L$108)*$B$3</f>
        <v>1637208.01782609</v>
      </c>
      <c r="M8" s="10" t="n">
        <f aca="false">SUMPRODUCT(('Raw Data with Analysis'!M$12:M$108&gt;0)*'Raw Data with Analysis'!M$12:M$108)*$B$3</f>
        <v>1627660.46334333</v>
      </c>
      <c r="N8" s="10" t="n">
        <f aca="false">SUMPRODUCT(('Raw Data with Analysis'!N$12:N$108&gt;0)*'Raw Data with Analysis'!N$12:N$108)*$B$3</f>
        <v>1642528.46334333</v>
      </c>
      <c r="O8" s="10" t="n">
        <f aca="false">SUMPRODUCT(('Raw Data with Analysis'!O$12:O$108&gt;0)*'Raw Data with Analysis'!O$12:O$108)*$B$3</f>
        <v>1657911.58334333</v>
      </c>
      <c r="P8" s="10" t="n">
        <f aca="false">SUMPRODUCT(('Raw Data with Analysis'!P$12:P$108&gt;0)*'Raw Data with Analysis'!P$12:P$108)*$B$3</f>
        <v>1663211.54334333</v>
      </c>
      <c r="Q8" s="10" t="n">
        <f aca="false">SUMPRODUCT(('Raw Data with Analysis'!Q$12:Q$108&gt;0)*'Raw Data with Analysis'!Q$12:Q$108)*$B$3</f>
        <v>1676958.06334333</v>
      </c>
      <c r="R8" s="10" t="n">
        <f aca="false">SUMPRODUCT(('Raw Data with Analysis'!R$12:R$108&gt;0)*'Raw Data with Analysis'!R$12:R$108)*$B$3</f>
        <v>1677058.18334333</v>
      </c>
      <c r="S8" s="10" t="n">
        <f aca="false">SUMPRODUCT(('Raw Data with Analysis'!S$12:S$108&gt;0)*'Raw Data with Analysis'!S$12:S$108)*$B$3</f>
        <v>1701332.74334333</v>
      </c>
      <c r="T8" s="10" t="n">
        <f aca="false">SUMPRODUCT(('Raw Data with Analysis'!T$12:T$108&gt;0)*'Raw Data with Analysis'!T$12:T$108)*$B$3</f>
        <v>1669250.48334333</v>
      </c>
      <c r="U8" s="10" t="n">
        <f aca="false">SUMPRODUCT(('Raw Data with Analysis'!U$12:U$108&gt;0)*'Raw Data with Analysis'!U$12:U$108)*$B$3</f>
        <v>1677000.48334333</v>
      </c>
      <c r="V8" s="10" t="n">
        <f aca="false">SUMPRODUCT(('Raw Data with Analysis'!V$12:V$108&gt;0)*'Raw Data with Analysis'!V$12:V$108)*$B$3</f>
        <v>1778740.13551724</v>
      </c>
      <c r="W8" s="10" t="n">
        <f aca="false">SUMPRODUCT(('Raw Data with Analysis'!W$12:W$108&gt;0)*'Raw Data with Analysis'!W$12:W$108)*$B$3</f>
        <v>1817114.05551724</v>
      </c>
      <c r="X8" s="10" t="n">
        <f aca="false">SUMPRODUCT(('Raw Data with Analysis'!X$12:X$108&gt;0)*'Raw Data with Analysis'!X$12:X$108)*$B$3</f>
        <v>1845559.08320955</v>
      </c>
      <c r="Y8" s="10" t="n">
        <f aca="false">SUMPRODUCT(('Raw Data with Analysis'!Y$12:Y$108&gt;0)*'Raw Data with Analysis'!Y$12:Y$108)*$B$3</f>
        <v>1983039.13769231</v>
      </c>
      <c r="Z8" s="10" t="n">
        <f aca="false">SUMPRODUCT(('Raw Data with Analysis'!Z$12:Z$108&gt;0)*'Raw Data with Analysis'!Z$12:Z$108)*$B$3</f>
        <v>3576208.21067573</v>
      </c>
      <c r="AA8" s="10" t="n">
        <f aca="false">SUMPRODUCT(('Raw Data with Analysis'!AA$12:AA$108&gt;0)*'Raw Data with Analysis'!AA$12:AA$108)*$B$3</f>
        <v>3616713.32067573</v>
      </c>
      <c r="AB8" s="10" t="n">
        <f aca="false">SUMPRODUCT(('Raw Data with Analysis'!AB$12:AB$108&gt;0)*'Raw Data with Analysis'!AB$12:AB$108)*$B$3</f>
        <v>3606011.69067573</v>
      </c>
      <c r="AC8" s="10" t="n">
        <f aca="false">SUMPRODUCT(('Raw Data with Analysis'!AC$12:AC$108&gt;0)*'Raw Data with Analysis'!AC$12:AC$108)*$B$3</f>
        <v>3606262.69067573</v>
      </c>
      <c r="AD8" s="10" t="n">
        <f aca="false">SUMPRODUCT(('Raw Data with Analysis'!AD$12:AD$108&gt;0)*'Raw Data with Analysis'!AD$12:AD$108)*$B$3</f>
        <v>3637413.0053424</v>
      </c>
      <c r="AE8" s="10" t="n">
        <f aca="false">SUMPRODUCT(('Raw Data with Analysis'!AE$12:AE$108&gt;0)*'Raw Data with Analysis'!AE$12:AE$108)*$B$3</f>
        <v>3590370.44235897</v>
      </c>
      <c r="AF8" s="10" t="n">
        <f aca="false">SUMPRODUCT(('Raw Data with Analysis'!AF$12:AF$108&gt;0)*'Raw Data with Analysis'!AF$12:AF$108)*$B$3</f>
        <v>3594334.54235897</v>
      </c>
      <c r="AG8" s="10" t="n">
        <f aca="false">SUMPRODUCT(('Raw Data with Analysis'!AG$12:AG$108&gt;0)*'Raw Data with Analysis'!AG$12:AG$108)*$B$3</f>
        <v>3608902.87235897</v>
      </c>
      <c r="AH8" s="10" t="n">
        <f aca="false">SUMPRODUCT(('Raw Data with Analysis'!AH$12:AH$108&gt;0)*'Raw Data with Analysis'!AH$12:AH$108)*$B$3</f>
        <v>3669211.68235897</v>
      </c>
      <c r="AI8" s="10" t="n">
        <f aca="false">SUMPRODUCT(('Raw Data with Analysis'!AI$12:AI$108&gt;0)*'Raw Data with Analysis'!AI$12:AI$108)*$B$3</f>
        <v>3683061.49935897</v>
      </c>
      <c r="AJ8" s="10" t="n">
        <f aca="false">SUMPRODUCT(('Raw Data with Analysis'!AJ$12:AJ$108&gt;0)*'Raw Data with Analysis'!AJ$12:AJ$108)*$B$3</f>
        <v>3683061.49935897</v>
      </c>
      <c r="AK8" s="10" t="n">
        <f aca="false">SUMPRODUCT(('Raw Data with Analysis'!AK$12:AK$108&gt;0)*'Raw Data with Analysis'!AK$12:AK$108)*$B$3</f>
        <v>3701018.00166666</v>
      </c>
      <c r="AL8" s="10" t="n">
        <f aca="false">SUMPRODUCT(('Raw Data with Analysis'!AL$12:AL$108&gt;0)*'Raw Data with Analysis'!AL$12:AL$108)*$B$3</f>
        <v>2713556.77566667</v>
      </c>
      <c r="AM8" s="10" t="n">
        <f aca="false">SUMPRODUCT(('Raw Data with Analysis'!AM$12:AM$108&gt;0)*'Raw Data with Analysis'!AM$12:AM$108)*$B$3</f>
        <v>2722446.52627273</v>
      </c>
      <c r="AN8" s="10" t="n">
        <f aca="false">SUMPRODUCT(('Raw Data with Analysis'!AN$12:AN$108&gt;0)*'Raw Data with Analysis'!AN$12:AN$108)*$B$3</f>
        <v>2714188.15627273</v>
      </c>
      <c r="AO8" s="10" t="n">
        <f aca="false">SUMPRODUCT(('Raw Data with Analysis'!AO$12:AO$108&gt;0)*'Raw Data with Analysis'!AO$12:AO$108)*$B$3</f>
        <v>2706188.15627273</v>
      </c>
      <c r="AP8" s="10" t="n">
        <f aca="false">SUMPRODUCT(('Raw Data with Analysis'!AP$12:AP$108&gt;0)*'Raw Data with Analysis'!AP$12:AP$108)*$B$3</f>
        <v>2706188.15627273</v>
      </c>
      <c r="AQ8" s="10" t="n">
        <f aca="false">SUMPRODUCT(('Raw Data with Analysis'!AQ$12:AQ$108&gt;0)*'Raw Data with Analysis'!AQ$12:AQ$108)*$B$3</f>
        <v>2793208.49727273</v>
      </c>
      <c r="AR8" s="10" t="n">
        <f aca="false">SUMPRODUCT(('Raw Data with Analysis'!AR$12:AR$108&gt;0)*'Raw Data with Analysis'!AR$12:AR$108)*$B$3</f>
        <v>3035640.47909091</v>
      </c>
      <c r="AS8" s="10" t="n">
        <f aca="false">SUMPRODUCT(('Raw Data with Analysis'!AS$12:AS$108&gt;0)*'Raw Data with Analysis'!AS$12:AS$108)*$B$3</f>
        <v>3040414.02209091</v>
      </c>
      <c r="AT8" s="10" t="n">
        <f aca="false">SUMPRODUCT(('Raw Data with Analysis'!AT$12:AT$108&gt;0)*'Raw Data with Analysis'!AT$12:AT$108)*$B$3</f>
        <v>3035865.86209091</v>
      </c>
      <c r="AU8" s="10" t="n">
        <f aca="false">SUMPRODUCT(('Raw Data with Analysis'!AU$12:AU$108&gt;0)*'Raw Data with Analysis'!AU$12:AU$108)*$B$3</f>
        <v>3058548.20978322</v>
      </c>
      <c r="AV8" s="10" t="n">
        <f aca="false">SUMPRODUCT(('Raw Data with Analysis'!AV$12:AV$108&gt;0)*'Raw Data with Analysis'!AV$12:AV$108)*$B$3</f>
        <v>3114148.20978322</v>
      </c>
      <c r="AW8" s="10" t="n">
        <f aca="false">SUMPRODUCT(('Raw Data with Analysis'!AW$12:AW$108&gt;0)*'Raw Data with Analysis'!AW$12:AW$108)*$B$3</f>
        <v>3088517.05978322</v>
      </c>
      <c r="AX8" s="10" t="n">
        <f aca="false">SUMPRODUCT(('Raw Data with Analysis'!AX$12:AX$108&gt;0)*'Raw Data with Analysis'!AX$12:AX$108)*$B$3</f>
        <v>3228130.81251049</v>
      </c>
      <c r="AY8" s="10" t="n">
        <f aca="false">SUMPRODUCT(('Raw Data with Analysis'!AY$12:AY$108&gt;0)*'Raw Data with Analysis'!AY$12:AY$108)*$B$3</f>
        <v>3147771.69251049</v>
      </c>
      <c r="AZ8" s="10" t="n">
        <f aca="false">SUMPRODUCT(('Raw Data with Analysis'!AZ$12:AZ$108&gt;0)*'Raw Data with Analysis'!AZ$12:AZ$108)*$B$3</f>
        <v>3249262.10662814</v>
      </c>
      <c r="BA8" s="10" t="n">
        <f aca="false">SUMPRODUCT(('Raw Data with Analysis'!BA$12:BA$108&gt;0)*'Raw Data with Analysis'!BA$12:BA$108)*$B$3</f>
        <v>3339259.86234242</v>
      </c>
      <c r="BB8" s="10" t="n">
        <f aca="false">SUMPRODUCT(('Raw Data with Analysis'!BB$12:BB$108&gt;0)*'Raw Data with Analysis'!BB$12:BB$108)*$B$3</f>
        <v>3775119.26734242</v>
      </c>
    </row>
    <row r="9" customFormat="false" ht="15" hidden="false" customHeight="false" outlineLevel="0" collapsed="false">
      <c r="A9" s="11" t="s">
        <v>113</v>
      </c>
      <c r="B9" s="12" t="n">
        <f aca="false">SUMPRODUCT(('Raw Data with Analysis'!B$12:B$108=0)*('Raw Data with Analysis'!N$12:N$108&gt;0)*'Raw Data with Analysis'!N$12:N$108)*$B$3</f>
        <v>297057.587826087</v>
      </c>
      <c r="C9" s="12" t="n">
        <f aca="false">SUMPRODUCT(('Raw Data with Analysis'!C$12:C$108=0)*('Raw Data with Analysis'!O$12:O$108&gt;0)*'Raw Data with Analysis'!O$12:O$108)*$B$3</f>
        <v>310557.587826087</v>
      </c>
      <c r="D9" s="12" t="n">
        <f aca="false">SUMPRODUCT(('Raw Data with Analysis'!D$12:D$108=0)*('Raw Data with Analysis'!P$12:P$108&gt;0)*'Raw Data with Analysis'!P$12:P$108)*$B$3</f>
        <v>317557.547826087</v>
      </c>
      <c r="E9" s="12" t="n">
        <f aca="false">SUMPRODUCT(('Raw Data with Analysis'!E$12:E$108=0)*('Raw Data with Analysis'!Q$12:Q$108&gt;0)*'Raw Data with Analysis'!Q$12:Q$108)*$B$3</f>
        <v>329579.547826087</v>
      </c>
      <c r="F9" s="12" t="n">
        <f aca="false">SUMPRODUCT(('Raw Data with Analysis'!F$12:F$108=0)*('Raw Data with Analysis'!R$12:R$108&gt;0)*'Raw Data with Analysis'!R$12:R$108)*$B$3</f>
        <v>329579.547826087</v>
      </c>
      <c r="G9" s="12" t="n">
        <f aca="false">SUMPRODUCT(('Raw Data with Analysis'!G$12:G$108=0)*('Raw Data with Analysis'!S$12:S$108&gt;0)*'Raw Data with Analysis'!S$12:S$108)*$B$3</f>
        <v>327604.307826087</v>
      </c>
      <c r="H9" s="12" t="n">
        <f aca="false">SUMPRODUCT(('Raw Data with Analysis'!H$12:H$108=0)*('Raw Data with Analysis'!T$12:T$108&gt;0)*'Raw Data with Analysis'!T$12:T$108)*$B$3</f>
        <v>262904.347826087</v>
      </c>
      <c r="I9" s="12" t="n">
        <f aca="false">SUMPRODUCT(('Raw Data with Analysis'!I$12:I$108=0)*('Raw Data with Analysis'!U$12:U$108&gt;0)*'Raw Data with Analysis'!U$12:U$108)*$B$3</f>
        <v>270654.347826087</v>
      </c>
      <c r="J9" s="12" t="n">
        <f aca="false">SUMPRODUCT(('Raw Data with Analysis'!J$12:J$108=0)*('Raw Data with Analysis'!V$12:V$108&gt;0)*'Raw Data with Analysis'!V$12:V$108)*$B$3</f>
        <v>323544.4</v>
      </c>
      <c r="K9" s="12" t="n">
        <f aca="false">SUMPRODUCT(('Raw Data with Analysis'!K$12:K$108=0)*('Raw Data with Analysis'!W$12:W$108&gt;0)*'Raw Data with Analysis'!W$12:W$108)*$B$3</f>
        <v>299918.32</v>
      </c>
      <c r="L9" s="12" t="n">
        <f aca="false">SUMPRODUCT(('Raw Data with Analysis'!L$12:L$108=0)*('Raw Data with Analysis'!X$12:X$108&gt;0)*'Raw Data with Analysis'!X$12:X$108)*$B$3</f>
        <v>320363.347692307</v>
      </c>
      <c r="M9" s="12" t="n">
        <f aca="false">SUMPRODUCT(('Raw Data with Analysis'!M$12:M$108=0)*('Raw Data with Analysis'!Y$12:Y$108&gt;0)*'Raw Data with Analysis'!Y$12:Y$108)*$B$3</f>
        <v>466673.347692307</v>
      </c>
      <c r="N9" s="12" t="n">
        <f aca="false">SUMPRODUCT(('Raw Data with Analysis'!N$12:N$108=0)*('Raw Data with Analysis'!Z$12:Z$108&gt;0)*'Raw Data with Analysis'!Z$12:Z$108)*$B$3</f>
        <v>1987044.01067573</v>
      </c>
      <c r="O9" s="12" t="n">
        <f aca="false">SUMPRODUCT(('Raw Data with Analysis'!O$12:O$108=0)*('Raw Data with Analysis'!AA$12:AA$108&gt;0)*'Raw Data with Analysis'!AA$12:AA$108)*$B$3</f>
        <v>2009119.25067573</v>
      </c>
      <c r="P9" s="12" t="n">
        <f aca="false">SUMPRODUCT(('Raw Data with Analysis'!P$12:P$108=0)*('Raw Data with Analysis'!AB$12:AB$108&gt;0)*'Raw Data with Analysis'!AB$12:AB$108)*$B$3</f>
        <v>2006419.25067573</v>
      </c>
      <c r="Q9" s="12" t="n">
        <f aca="false">SUMPRODUCT(('Raw Data with Analysis'!Q$12:Q$108=0)*('Raw Data with Analysis'!AC$12:AC$108&gt;0)*'Raw Data with Analysis'!AC$12:AC$108)*$B$3</f>
        <v>1882670.25067573</v>
      </c>
      <c r="R9" s="12" t="n">
        <f aca="false">SUMPRODUCT(('Raw Data with Analysis'!R$12:R$108=0)*('Raw Data with Analysis'!AD$12:AD$108&gt;0)*'Raw Data with Analysis'!AD$12:AD$108)*$B$3</f>
        <v>1916820.5653424</v>
      </c>
      <c r="S9" s="12" t="n">
        <f aca="false">SUMPRODUCT(('Raw Data with Analysis'!S$12:S$108=0)*('Raw Data with Analysis'!AE$12:AE$108&gt;0)*'Raw Data with Analysis'!AE$12:AE$108)*$B$3</f>
        <v>1758215.50235897</v>
      </c>
      <c r="T9" s="12" t="n">
        <f aca="false">SUMPRODUCT(('Raw Data with Analysis'!T$12:T$108=0)*('Raw Data with Analysis'!AF$12:AF$108&gt;0)*'Raw Data with Analysis'!AF$12:AF$108)*$B$3</f>
        <v>1752215.50235897</v>
      </c>
      <c r="U9" s="12" t="n">
        <f aca="false">SUMPRODUCT(('Raw Data with Analysis'!U$12:U$108=0)*('Raw Data with Analysis'!AG$12:AG$108&gt;0)*'Raw Data with Analysis'!AG$12:AG$108)*$B$3</f>
        <v>1757398.83235897</v>
      </c>
      <c r="V9" s="12" t="n">
        <f aca="false">SUMPRODUCT(('Raw Data with Analysis'!V$12:V$108=0)*('Raw Data with Analysis'!AH$12:AH$108&gt;0)*'Raw Data with Analysis'!AH$12:AH$108)*$B$3</f>
        <v>1797098.83235897</v>
      </c>
      <c r="W9" s="12" t="n">
        <f aca="false">SUMPRODUCT(('Raw Data with Analysis'!W$12:W$108=0)*('Raw Data with Analysis'!AI$12:AI$108&gt;0)*'Raw Data with Analysis'!AI$12:AI$108)*$B$3</f>
        <v>1783748.80935897</v>
      </c>
      <c r="X9" s="12" t="n">
        <f aca="false">SUMPRODUCT(('Raw Data with Analysis'!X$12:X$108=0)*('Raw Data with Analysis'!AJ$12:AJ$108&gt;0)*'Raw Data with Analysis'!AJ$12:AJ$108)*$B$3</f>
        <v>1756303.86166666</v>
      </c>
      <c r="Y9" s="12" t="n">
        <f aca="false">SUMPRODUCT(('Raw Data with Analysis'!Y$12:Y$108=0)*('Raw Data with Analysis'!AK$12:AK$108&gt;0)*'Raw Data with Analysis'!AK$12:AK$108)*$B$3</f>
        <v>1719627.28166666</v>
      </c>
      <c r="Z9" s="12" t="n">
        <f aca="false">SUMPRODUCT(('Raw Data with Analysis'!Z$12:Z$108=0)*('Raw Data with Analysis'!AL$12:AL$108&gt;0)*'Raw Data with Analysis'!AL$12:AL$108)*$B$3</f>
        <v>335311.945666667</v>
      </c>
      <c r="AA9" s="12" t="n">
        <f aca="false">SUMPRODUCT(('Raw Data with Analysis'!AA$12:AA$108=0)*('Raw Data with Analysis'!AM$12:AM$108&gt;0)*'Raw Data with Analysis'!AM$12:AM$108)*$B$3</f>
        <v>313773.849</v>
      </c>
      <c r="AB9" s="12" t="n">
        <f aca="false">SUMPRODUCT(('Raw Data with Analysis'!AB$12:AB$108=0)*('Raw Data with Analysis'!AN$12:AN$108&gt;0)*'Raw Data with Analysis'!AN$12:AN$108)*$B$3</f>
        <v>313773.849</v>
      </c>
      <c r="AC9" s="12" t="n">
        <f aca="false">SUMPRODUCT(('Raw Data with Analysis'!AC$12:AC$108=0)*('Raw Data with Analysis'!AO$12:AO$108&gt;0)*'Raw Data with Analysis'!AO$12:AO$108)*$B$3</f>
        <v>305773.849</v>
      </c>
      <c r="AD9" s="12" t="n">
        <f aca="false">SUMPRODUCT(('Raw Data with Analysis'!AD$12:AD$108=0)*('Raw Data with Analysis'!AP$12:AP$108&gt;0)*'Raw Data with Analysis'!AP$12:AP$108)*$B$3</f>
        <v>294723.849</v>
      </c>
      <c r="AE9" s="12" t="n">
        <f aca="false">SUMPRODUCT(('Raw Data with Analysis'!AE$12:AE$108=0)*('Raw Data with Analysis'!AQ$12:AQ$108&gt;0)*'Raw Data with Analysis'!AQ$12:AQ$108)*$B$3</f>
        <v>299900.13</v>
      </c>
      <c r="AF9" s="12" t="n">
        <f aca="false">SUMPRODUCT(('Raw Data with Analysis'!AF$12:AF$108=0)*('Raw Data with Analysis'!AR$12:AR$108&gt;0)*'Raw Data with Analysis'!AR$12:AR$108)*$B$3</f>
        <v>374415.13</v>
      </c>
      <c r="AG9" s="12" t="n">
        <f aca="false">SUMPRODUCT(('Raw Data with Analysis'!AG$12:AG$108=0)*('Raw Data with Analysis'!AS$12:AS$108&gt;0)*'Raw Data with Analysis'!AS$12:AS$108)*$B$3</f>
        <v>361481.8</v>
      </c>
      <c r="AH9" s="12" t="n">
        <f aca="false">SUMPRODUCT(('Raw Data with Analysis'!AH$12:AH$108=0)*('Raw Data with Analysis'!AT$12:AT$108&gt;0)*'Raw Data with Analysis'!AT$12:AT$108)*$B$3</f>
        <v>315481.8</v>
      </c>
      <c r="AI9" s="12" t="n">
        <f aca="false">SUMPRODUCT(('Raw Data with Analysis'!AI$12:AI$108=0)*('Raw Data with Analysis'!AU$12:AU$108&gt;0)*'Raw Data with Analysis'!AU$12:AU$108)*$B$3</f>
        <v>339624.107692308</v>
      </c>
      <c r="AJ9" s="12" t="n">
        <f aca="false">SUMPRODUCT(('Raw Data with Analysis'!AJ$12:AJ$108=0)*('Raw Data with Analysis'!AV$12:AV$108&gt;0)*'Raw Data with Analysis'!AV$12:AV$108)*$B$3</f>
        <v>405424.107692308</v>
      </c>
      <c r="AK9" s="12" t="n">
        <f aca="false">SUMPRODUCT(('Raw Data with Analysis'!AK$12:AK$108=0)*('Raw Data with Analysis'!AW$12:AW$108&gt;0)*'Raw Data with Analysis'!AW$12:AW$108)*$B$3</f>
        <v>274690.637692308</v>
      </c>
      <c r="AL9" s="12" t="n">
        <f aca="false">SUMPRODUCT(('Raw Data with Analysis'!AL$12:AL$108=0)*('Raw Data with Analysis'!AX$12:AX$108&gt;0)*'Raw Data with Analysis'!AX$12:AX$108)*$B$3</f>
        <v>228490.637692308</v>
      </c>
      <c r="AM9" s="12" t="n">
        <f aca="false">SUMPRODUCT(('Raw Data with Analysis'!AM$12:AM$108=0)*('Raw Data with Analysis'!AY$12:AY$108&gt;0)*'Raw Data with Analysis'!AY$12:AY$108)*$B$3</f>
        <v>203440.637692308</v>
      </c>
      <c r="AN9" s="12" t="n">
        <f aca="false">SUMPRODUCT(('Raw Data with Analysis'!AN$12:AN$108=0)*('Raw Data with Analysis'!AZ$12:AZ$108&gt;0)*'Raw Data with Analysis'!AZ$12:AZ$108)*$B$3</f>
        <v>302126.637692308</v>
      </c>
      <c r="AO9" s="12" t="n">
        <f aca="false">SUMPRODUCT(('Raw Data with Analysis'!AO$12:AO$108=0)*('Raw Data with Analysis'!BA$12:BA$108&gt;0)*'Raw Data with Analysis'!BA$12:BA$108)*$B$3</f>
        <v>376836.803406593</v>
      </c>
      <c r="AP9" s="12" t="n">
        <f aca="false">SUMPRODUCT(('Raw Data with Analysis'!AP$12:AP$108=0)*('Raw Data with Analysis'!BB$12:BB$108&gt;0)*'Raw Data with Analysis'!BB$12:BB$108)*$B$3</f>
        <v>561436.803406593</v>
      </c>
      <c r="AQ9" s="12" t="n">
        <f aca="false">SUMPRODUCT(('Raw Data with Analysis'!AQ$12:AQ$108=0)*('Raw Data with Analysis'!BC$12:BC$108&gt;0)*'Raw Data with Analysis'!BC$12:BC$108)*$B$3</f>
        <v>537636.843406593</v>
      </c>
      <c r="AR9" s="12" t="n">
        <f aca="false">SUMPRODUCT(('Raw Data with Analysis'!AR$12:AR$108=0)*('Raw Data with Analysis'!BD$12:BD$108&gt;0)*'Raw Data with Analysis'!BD$12:BD$108)*$B$3</f>
        <v>472972.043406593</v>
      </c>
      <c r="AS9" s="12" t="n">
        <f aca="false">SUMPRODUCT(('Raw Data with Analysis'!AS$12:AS$108=0)*('Raw Data with Analysis'!BE$12:BE$108&gt;0)*'Raw Data with Analysis'!BE$12:BE$108)*$B$3</f>
        <v>472972.043406593</v>
      </c>
      <c r="AT9" s="12" t="n">
        <f aca="false">SUMPRODUCT(('Raw Data with Analysis'!AT$12:AT$108=0)*('Raw Data with Analysis'!BF$12:BF$108&gt;0)*'Raw Data with Analysis'!BF$12:BF$108)*$B$3</f>
        <v>472972.043406593</v>
      </c>
      <c r="AU9" s="12" t="n">
        <f aca="false">SUMPRODUCT(('Raw Data with Analysis'!AU$12:AU$108=0)*('Raw Data with Analysis'!BG$12:BG$108&gt;0)*'Raw Data with Analysis'!BG$12:BG$108)*$B$3</f>
        <v>457779.735714285</v>
      </c>
      <c r="AV9" s="12" t="n">
        <f aca="false">SUMPRODUCT(('Raw Data with Analysis'!AV$12:AV$108=0)*('Raw Data with Analysis'!BH$12:BH$108&gt;0)*'Raw Data with Analysis'!BH$12:BH$108)*$B$3</f>
        <v>361279.33</v>
      </c>
      <c r="AW9" s="12" t="n">
        <f aca="false">SUMPRODUCT(('Raw Data with Analysis'!AW$12:AW$108=0)*('Raw Data with Analysis'!BI$12:BI$108&gt;0)*'Raw Data with Analysis'!BI$12:BI$108)*$B$3</f>
        <v>359546</v>
      </c>
      <c r="AX9" s="12" t="n">
        <f aca="false">SUMPRODUCT(('Raw Data with Analysis'!AX$12:AX$108=0)*('Raw Data with Analysis'!BJ$12:BJ$108&gt;0)*'Raw Data with Analysis'!BJ$12:BJ$108)*$B$3</f>
        <v>359546</v>
      </c>
      <c r="AY9" s="12" t="n">
        <f aca="false">SUMPRODUCT(('Raw Data with Analysis'!AY$12:AY$108=0)*('Raw Data with Analysis'!BK$12:BK$108&gt;0)*'Raw Data with Analysis'!BK$12:BK$108)*$B$3</f>
        <v>336746</v>
      </c>
      <c r="AZ9" s="12" t="n">
        <f aca="false">SUMPRODUCT(('Raw Data with Analysis'!AZ$12:AZ$108=0)*('Raw Data with Analysis'!BL$12:BL$108&gt;0)*'Raw Data with Analysis'!BL$12:BL$108)*$B$3</f>
        <v>238060</v>
      </c>
      <c r="BA9" s="12" t="n">
        <f aca="false">SUMPRODUCT(('Raw Data with Analysis'!BA$12:BA$108=0)*('Raw Data with Analysis'!BM$12:BM$108&gt;0)*'Raw Data with Analysis'!BM$12:BM$108)*$B$3</f>
        <v>184600</v>
      </c>
      <c r="BB9" s="12" t="n">
        <f aca="false">SUMPRODUCT(('Raw Data with Analysis'!BB$12:BB$108=0)*('Raw Data with Analysis'!BN$12:BN$108&gt;0)*'Raw Data with Analysis'!BN$12:BN$108)*$B$3</f>
        <v>0</v>
      </c>
    </row>
    <row r="10" customFormat="false" ht="15" hidden="false" customHeight="false" outlineLevel="0" collapsed="false">
      <c r="A10" s="11" t="s">
        <v>114</v>
      </c>
      <c r="B10" s="12" t="n">
        <f aca="false">SUMPRODUCT(('Raw Data with Analysis'!B$12:B$108&gt;0)*('Raw Data with Analysis'!N$12:N$108&gt;'Raw Data with Analysis'!B$12:B$108)*('Raw Data with Analysis'!N$12:N$108-'Raw Data with Analysis'!B$12:B$108))*$B$3</f>
        <v>208070.851517242</v>
      </c>
      <c r="C10" s="12" t="n">
        <f aca="false">SUMPRODUCT(('Raw Data with Analysis'!C$12:C$108&gt;0)*('Raw Data with Analysis'!O$12:O$108&gt;'Raw Data with Analysis'!C$12:C$108)*('Raw Data with Analysis'!O$12:O$108-'Raw Data with Analysis'!C$12:C$108))*$B$3</f>
        <v>174066.361517242</v>
      </c>
      <c r="D10" s="12" t="n">
        <f aca="false">SUMPRODUCT(('Raw Data with Analysis'!D$12:D$108&gt;0)*('Raw Data with Analysis'!P$12:P$108&gt;'Raw Data with Analysis'!D$12:D$108)*('Raw Data with Analysis'!P$12:P$108-'Raw Data with Analysis'!D$12:D$108))*$B$3</f>
        <v>175866.361517242</v>
      </c>
      <c r="E10" s="12" t="n">
        <f aca="false">SUMPRODUCT(('Raw Data with Analysis'!E$12:E$108&gt;0)*('Raw Data with Analysis'!Q$12:Q$108&gt;'Raw Data with Analysis'!E$12:E$108)*('Raw Data with Analysis'!Q$12:Q$108-'Raw Data with Analysis'!E$12:E$108))*$B$3</f>
        <v>169190.881517242</v>
      </c>
      <c r="F10" s="12" t="n">
        <f aca="false">SUMPRODUCT(('Raw Data with Analysis'!F$12:F$108&gt;0)*('Raw Data with Analysis'!R$12:R$108&gt;'Raw Data with Analysis'!F$12:F$108)*('Raw Data with Analysis'!R$12:R$108-'Raw Data with Analysis'!F$12:F$108))*$B$3</f>
        <v>140116.201517242</v>
      </c>
      <c r="G10" s="12" t="n">
        <f aca="false">SUMPRODUCT(('Raw Data with Analysis'!G$12:G$108&gt;0)*('Raw Data with Analysis'!S$12:S$108&gt;'Raw Data with Analysis'!G$12:G$108)*('Raw Data with Analysis'!S$12:S$108-'Raw Data with Analysis'!G$12:G$108))*$B$3</f>
        <v>139166.105517242</v>
      </c>
      <c r="H10" s="12" t="n">
        <f aca="false">SUMPRODUCT(('Raw Data with Analysis'!H$12:H$108&gt;0)*('Raw Data with Analysis'!T$12:T$108&gt;'Raw Data with Analysis'!H$12:H$108)*('Raw Data with Analysis'!T$12:T$108-'Raw Data with Analysis'!H$12:H$108))*$B$3</f>
        <v>125983.525517242</v>
      </c>
      <c r="I10" s="12" t="n">
        <f aca="false">SUMPRODUCT(('Raw Data with Analysis'!I$12:I$108&gt;0)*('Raw Data with Analysis'!U$12:U$108&gt;'Raw Data with Analysis'!I$12:I$108)*('Raw Data with Analysis'!U$12:U$108-'Raw Data with Analysis'!I$12:I$108))*$B$3</f>
        <v>125983.525517242</v>
      </c>
      <c r="J10" s="12" t="n">
        <f aca="false">SUMPRODUCT(('Raw Data with Analysis'!J$12:J$108&gt;0)*('Raw Data with Analysis'!V$12:V$108&gt;'Raw Data with Analysis'!J$12:J$108)*('Raw Data with Analysis'!V$12:V$108-'Raw Data with Analysis'!J$12:J$108))*$B$3</f>
        <v>127997.925517241</v>
      </c>
      <c r="K10" s="12" t="n">
        <f aca="false">SUMPRODUCT(('Raw Data with Analysis'!K$12:K$108&gt;0)*('Raw Data with Analysis'!W$12:W$108&gt;'Raw Data with Analysis'!K$12:K$108)*('Raw Data with Analysis'!W$12:W$108-'Raw Data with Analysis'!K$12:K$108))*$B$3</f>
        <v>133198.125517241</v>
      </c>
      <c r="L10" s="12" t="n">
        <f aca="false">SUMPRODUCT(('Raw Data with Analysis'!L$12:L$108&gt;0)*('Raw Data with Analysis'!X$12:X$108&gt;'Raw Data with Analysis'!L$12:L$108)*('Raw Data with Analysis'!X$12:X$108-'Raw Data with Analysis'!L$12:L$108))*$B$3</f>
        <v>135598.125517241</v>
      </c>
      <c r="M10" s="12" t="n">
        <f aca="false">SUMPRODUCT(('Raw Data with Analysis'!M$12:M$108&gt;0)*('Raw Data with Analysis'!Y$12:Y$108&gt;'Raw Data with Analysis'!M$12:M$108)*('Raw Data with Analysis'!Y$12:Y$108-'Raw Data with Analysis'!M$12:M$108))*$B$3</f>
        <v>104804.914482759</v>
      </c>
      <c r="N10" s="12" t="n">
        <f aca="false">SUMPRODUCT(('Raw Data with Analysis'!N$12:N$108&gt;0)*('Raw Data with Analysis'!Z$12:Z$108&gt;'Raw Data with Analysis'!N$12:N$108)*('Raw Data with Analysis'!Z$12:Z$108-'Raw Data with Analysis'!N$12:N$108))*$B$3</f>
        <v>152203.324482758</v>
      </c>
      <c r="O10" s="12" t="n">
        <f aca="false">SUMPRODUCT(('Raw Data with Analysis'!O$12:O$108&gt;0)*('Raw Data with Analysis'!AA$12:AA$108&gt;'Raw Data with Analysis'!O$12:O$108)*('Raw Data with Analysis'!AA$12:AA$108-'Raw Data with Analysis'!O$12:O$108))*$B$3</f>
        <v>169480.084482758</v>
      </c>
      <c r="P10" s="12" t="n">
        <f aca="false">SUMPRODUCT(('Raw Data with Analysis'!P$12:P$108&gt;0)*('Raw Data with Analysis'!AB$12:AB$108&gt;'Raw Data with Analysis'!P$12:P$108)*('Raw Data with Analysis'!AB$12:AB$108-'Raw Data with Analysis'!P$12:P$108))*$B$3</f>
        <v>167138.494482758</v>
      </c>
      <c r="Q10" s="12" t="n">
        <f aca="false">SUMPRODUCT(('Raw Data with Analysis'!Q$12:Q$108&gt;0)*('Raw Data with Analysis'!AC$12:AC$108&gt;'Raw Data with Analysis'!Q$12:Q$108)*('Raw Data with Analysis'!AC$12:AC$108-'Raw Data with Analysis'!Q$12:Q$108))*$B$3</f>
        <v>176138.734482758</v>
      </c>
      <c r="R10" s="12" t="n">
        <f aca="false">SUMPRODUCT(('Raw Data with Analysis'!R$12:R$108&gt;0)*('Raw Data with Analysis'!AD$12:AD$108&gt;'Raw Data with Analysis'!R$12:R$108)*('Raw Data with Analysis'!AD$12:AD$108-'Raw Data with Analysis'!R$12:R$108))*$B$3</f>
        <v>176138.734482758</v>
      </c>
      <c r="S10" s="12" t="n">
        <f aca="false">SUMPRODUCT(('Raw Data with Analysis'!S$12:S$108&gt;0)*('Raw Data with Analysis'!AE$12:AE$108&gt;'Raw Data with Analysis'!S$12:S$108)*('Raw Data with Analysis'!AE$12:AE$108-'Raw Data with Analysis'!S$12:S$108))*$B$3</f>
        <v>258626.434482758</v>
      </c>
      <c r="T10" s="12" t="n">
        <f aca="false">SUMPRODUCT(('Raw Data with Analysis'!T$12:T$108&gt;0)*('Raw Data with Analysis'!AF$12:AF$108&gt;'Raw Data with Analysis'!T$12:T$108)*('Raw Data with Analysis'!AF$12:AF$108-'Raw Data with Analysis'!T$12:T$108))*$B$3</f>
        <v>244423.034482759</v>
      </c>
      <c r="U10" s="12" t="n">
        <f aca="false">SUMPRODUCT(('Raw Data with Analysis'!U$12:U$108&gt;0)*('Raw Data with Analysis'!AG$12:AG$108&gt;'Raw Data with Analysis'!U$12:U$108)*('Raw Data with Analysis'!AG$12:AG$108-'Raw Data with Analysis'!U$12:U$108))*$B$3</f>
        <v>246058.034482759</v>
      </c>
      <c r="V10" s="12" t="n">
        <f aca="false">SUMPRODUCT(('Raw Data with Analysis'!V$12:V$108&gt;0)*('Raw Data with Analysis'!AH$12:AH$108&gt;'Raw Data with Analysis'!V$12:V$108)*('Raw Data with Analysis'!AH$12:AH$108-'Raw Data with Analysis'!V$12:V$108))*$B$3</f>
        <v>168207.870000001</v>
      </c>
      <c r="W10" s="12" t="n">
        <f aca="false">SUMPRODUCT(('Raw Data with Analysis'!W$12:W$108&gt;0)*('Raw Data with Analysis'!AI$12:AI$108&gt;'Raw Data with Analysis'!W$12:W$108)*('Raw Data with Analysis'!AI$12:AI$108-'Raw Data with Analysis'!W$12:W$108))*$B$3</f>
        <v>163282.790000001</v>
      </c>
      <c r="X10" s="12" t="n">
        <f aca="false">SUMPRODUCT(('Raw Data with Analysis'!X$12:X$108&gt;0)*('Raw Data with Analysis'!AJ$12:AJ$108&gt;'Raw Data with Analysis'!X$12:X$108)*('Raw Data with Analysis'!AJ$12:AJ$108-'Raw Data with Analysis'!X$12:X$108))*$B$3</f>
        <v>162282.710000001</v>
      </c>
      <c r="Y10" s="12" t="n">
        <f aca="false">SUMPRODUCT(('Raw Data with Analysis'!Y$12:Y$108&gt;0)*('Raw Data with Analysis'!AK$12:AK$108&gt;'Raw Data with Analysis'!Y$12:Y$108)*('Raw Data with Analysis'!AK$12:AK$108-'Raw Data with Analysis'!Y$12:Y$108))*$B$3</f>
        <v>211998.620000001</v>
      </c>
      <c r="Z10" s="12" t="n">
        <f aca="false">SUMPRODUCT(('Raw Data with Analysis'!Z$12:Z$108&gt;0)*('Raw Data with Analysis'!AL$12:AL$108&gt;'Raw Data with Analysis'!Z$12:Z$108)*('Raw Data with Analysis'!AL$12:AL$108-'Raw Data with Analysis'!Z$12:Z$108))*$B$3</f>
        <v>201373.350000001</v>
      </c>
      <c r="AA10" s="12" t="n">
        <f aca="false">SUMPRODUCT(('Raw Data with Analysis'!AA$12:AA$108&gt;0)*('Raw Data with Analysis'!AM$12:AM$108&gt;'Raw Data with Analysis'!AA$12:AA$108)*('Raw Data with Analysis'!AM$12:AM$108-'Raw Data with Analysis'!AA$12:AA$108))*$B$3</f>
        <v>221453.230000001</v>
      </c>
      <c r="AB10" s="12" t="n">
        <f aca="false">SUMPRODUCT(('Raw Data with Analysis'!AB$12:AB$108&gt;0)*('Raw Data with Analysis'!AN$12:AN$108&gt;'Raw Data with Analysis'!AB$12:AB$108)*('Raw Data with Analysis'!AN$12:AN$108-'Raw Data with Analysis'!AB$12:AB$108))*$B$3</f>
        <v>217694.860000001</v>
      </c>
      <c r="AC10" s="12" t="n">
        <f aca="false">SUMPRODUCT(('Raw Data with Analysis'!AC$12:AC$108&gt;0)*('Raw Data with Analysis'!AO$12:AO$108&gt;'Raw Data with Analysis'!AC$12:AC$108)*('Raw Data with Analysis'!AO$12:AO$108-'Raw Data with Analysis'!AC$12:AC$108))*$B$3</f>
        <v>217694.860000001</v>
      </c>
      <c r="AD10" s="12" t="n">
        <f aca="false">SUMPRODUCT(('Raw Data with Analysis'!AD$12:AD$108&gt;0)*('Raw Data with Analysis'!AP$12:AP$108&gt;'Raw Data with Analysis'!AD$12:AD$108)*('Raw Data with Analysis'!AP$12:AP$108-'Raw Data with Analysis'!AD$12:AD$108))*$B$3</f>
        <v>194594.553333334</v>
      </c>
      <c r="AE10" s="12" t="n">
        <f aca="false">SUMPRODUCT(('Raw Data with Analysis'!AE$12:AE$108&gt;0)*('Raw Data with Analysis'!AQ$12:AQ$108&gt;'Raw Data with Analysis'!AE$12:AE$108)*('Raw Data with Analysis'!AQ$12:AQ$108-'Raw Data with Analysis'!AE$12:AE$108))*$B$3</f>
        <v>263067.973333334</v>
      </c>
      <c r="AF10" s="12" t="n">
        <f aca="false">SUMPRODUCT(('Raw Data with Analysis'!AF$12:AF$108&gt;0)*('Raw Data with Analysis'!AR$12:AR$108&gt;'Raw Data with Analysis'!AF$12:AF$108)*('Raw Data with Analysis'!AR$12:AR$108-'Raw Data with Analysis'!AF$12:AF$108))*$B$3</f>
        <v>430195.855151514</v>
      </c>
      <c r="AG10" s="12" t="n">
        <f aca="false">SUMPRODUCT(('Raw Data with Analysis'!AG$12:AG$108&gt;0)*('Raw Data with Analysis'!AS$12:AS$108&gt;'Raw Data with Analysis'!AG$12:AG$108)*('Raw Data with Analysis'!AS$12:AS$108-'Raw Data with Analysis'!AG$12:AG$108))*$B$3</f>
        <v>471652.710151514</v>
      </c>
      <c r="AH10" s="12" t="n">
        <f aca="false">SUMPRODUCT(('Raw Data with Analysis'!AH$12:AH$108&gt;0)*('Raw Data with Analysis'!AT$12:AT$108&gt;'Raw Data with Analysis'!AH$12:AH$108)*('Raw Data with Analysis'!AT$12:AT$108-'Raw Data with Analysis'!AH$12:AH$108))*$B$3</f>
        <v>470385.550151514</v>
      </c>
      <c r="AI10" s="12" t="n">
        <f aca="false">SUMPRODUCT(('Raw Data with Analysis'!AI$12:AI$108&gt;0)*('Raw Data with Analysis'!AU$12:AU$108&gt;'Raw Data with Analysis'!AI$12:AI$108)*('Raw Data with Analysis'!AU$12:AU$108-'Raw Data with Analysis'!AI$12:AI$108))*$B$3</f>
        <v>434975.773151515</v>
      </c>
      <c r="AJ10" s="12" t="n">
        <f aca="false">SUMPRODUCT(('Raw Data with Analysis'!AJ$12:AJ$108&gt;0)*('Raw Data with Analysis'!AV$12:AV$108&gt;'Raw Data with Analysis'!AJ$12:AJ$108)*('Raw Data with Analysis'!AV$12:AV$108-'Raw Data with Analysis'!AJ$12:AJ$108))*$B$3</f>
        <v>429975.773151516</v>
      </c>
      <c r="AK10" s="12" t="n">
        <f aca="false">SUMPRODUCT(('Raw Data with Analysis'!AK$12:AK$108&gt;0)*('Raw Data with Analysis'!AW$12:AW$108&gt;'Raw Data with Analysis'!AK$12:AK$108)*('Raw Data with Analysis'!AW$12:AW$108-'Raw Data with Analysis'!AK$12:AK$108))*$B$3</f>
        <v>445217.523151515</v>
      </c>
      <c r="AL10" s="12" t="n">
        <f aca="false">SUMPRODUCT(('Raw Data with Analysis'!AL$12:AL$108&gt;0)*('Raw Data with Analysis'!AX$12:AX$108&gt;'Raw Data with Analysis'!AL$12:AL$108)*('Raw Data with Analysis'!AX$12:AX$108-'Raw Data with Analysis'!AL$12:AL$108))*$B$3</f>
        <v>530478.739151515</v>
      </c>
      <c r="AM10" s="12" t="n">
        <f aca="false">SUMPRODUCT(('Raw Data with Analysis'!AM$12:AM$108&gt;0)*('Raw Data with Analysis'!AY$12:AY$108&gt;'Raw Data with Analysis'!AM$12:AM$108)*('Raw Data with Analysis'!AY$12:AY$108-'Raw Data with Analysis'!AM$12:AM$108))*$B$3</f>
        <v>572960.988545455</v>
      </c>
      <c r="AN10" s="12" t="n">
        <f aca="false">SUMPRODUCT(('Raw Data with Analysis'!AN$12:AN$108&gt;0)*('Raw Data with Analysis'!AZ$12:AZ$108&gt;'Raw Data with Analysis'!AN$12:AN$108)*('Raw Data with Analysis'!AZ$12:AZ$108-'Raw Data with Analysis'!AN$12:AN$108))*$B$3</f>
        <v>575765.402663101</v>
      </c>
      <c r="AO10" s="12" t="n">
        <f aca="false">SUMPRODUCT(('Raw Data with Analysis'!AO$12:AO$108&gt;0)*('Raw Data with Analysis'!BA$12:BA$108&gt;'Raw Data with Analysis'!AO$12:AO$108)*('Raw Data with Analysis'!BA$12:BA$108-'Raw Data with Analysis'!AO$12:AO$108))*$B$3</f>
        <v>586904.657663101</v>
      </c>
      <c r="AP10" s="12" t="n">
        <f aca="false">SUMPRODUCT(('Raw Data with Analysis'!AP$12:AP$108&gt;0)*('Raw Data with Analysis'!BB$12:BB$108&gt;'Raw Data with Analysis'!AP$12:AP$108)*('Raw Data with Analysis'!BB$12:BB$108-'Raw Data with Analysis'!AP$12:AP$108))*$B$3</f>
        <v>838164.062663101</v>
      </c>
      <c r="AQ10" s="12" t="n">
        <f aca="false">SUMPRODUCT(('Raw Data with Analysis'!AQ$12:AQ$108&gt;0)*('Raw Data with Analysis'!BC$12:BC$108&gt;'Raw Data with Analysis'!AQ$12:AQ$108)*('Raw Data with Analysis'!BC$12:BC$108-'Raw Data with Analysis'!AQ$12:AQ$108))*$B$3</f>
        <v>767403.61184492</v>
      </c>
      <c r="AR10" s="12" t="n">
        <f aca="false">SUMPRODUCT(('Raw Data with Analysis'!AR$12:AR$108&gt;0)*('Raw Data with Analysis'!BD$12:BD$108&gt;'Raw Data with Analysis'!AR$12:AR$108)*('Raw Data with Analysis'!BD$12:BD$108-'Raw Data with Analysis'!AR$12:AR$108))*$B$3</f>
        <v>668918.670026738</v>
      </c>
      <c r="AS10" s="12" t="n">
        <f aca="false">SUMPRODUCT(('Raw Data with Analysis'!AS$12:AS$108&gt;0)*('Raw Data with Analysis'!BE$12:BE$108&gt;'Raw Data with Analysis'!AS$12:AS$108)*('Raw Data with Analysis'!BE$12:BE$108-'Raw Data with Analysis'!AS$12:AS$108))*$B$3</f>
        <v>679915.555026738</v>
      </c>
      <c r="AT10" s="12" t="n">
        <f aca="false">SUMPRODUCT(('Raw Data with Analysis'!AT$12:AT$108&gt;0)*('Raw Data with Analysis'!BF$12:BF$108&gt;'Raw Data with Analysis'!AT$12:AT$108)*('Raw Data with Analysis'!BF$12:BF$108-'Raw Data with Analysis'!AT$12:AT$108))*$B$3</f>
        <v>666383.405026738</v>
      </c>
      <c r="AU10" s="12" t="n">
        <f aca="false">SUMPRODUCT(('Raw Data with Analysis'!AU$12:AU$108&gt;0)*('Raw Data with Analysis'!BG$12:BG$108&gt;'Raw Data with Analysis'!AU$12:AU$108)*('Raw Data with Analysis'!BG$12:BG$108-'Raw Data with Analysis'!AU$12:AU$108))*$B$3</f>
        <v>669473.365026737</v>
      </c>
      <c r="AV10" s="12" t="n">
        <f aca="false">SUMPRODUCT(('Raw Data with Analysis'!AV$12:AV$108&gt;0)*('Raw Data with Analysis'!BH$12:BH$108&gt;'Raw Data with Analysis'!AV$12:AV$108)*('Raw Data with Analysis'!BH$12:BH$108-'Raw Data with Analysis'!AV$12:AV$108))*$B$3</f>
        <v>688850.897334429</v>
      </c>
      <c r="AW10" s="12" t="n">
        <f aca="false">SUMPRODUCT(('Raw Data with Analysis'!AW$12:AW$108&gt;0)*('Raw Data with Analysis'!BI$12:BI$108&gt;'Raw Data with Analysis'!AW$12:AW$108)*('Raw Data with Analysis'!BI$12:BI$108-'Raw Data with Analysis'!AW$12:AW$108))*$B$3</f>
        <v>627018.23733443</v>
      </c>
      <c r="AX10" s="12" t="n">
        <f aca="false">SUMPRODUCT(('Raw Data with Analysis'!AX$12:AX$108&gt;0)*('Raw Data with Analysis'!BJ$12:BJ$108&gt;'Raw Data with Analysis'!AX$12:AX$108)*('Raw Data with Analysis'!BJ$12:BJ$108-'Raw Data with Analysis'!AX$12:AX$108))*$B$3</f>
        <v>1391483.04460716</v>
      </c>
      <c r="AY10" s="12" t="n">
        <f aca="false">SUMPRODUCT(('Raw Data with Analysis'!AY$12:AY$108&gt;0)*('Raw Data with Analysis'!BK$12:BK$108&gt;'Raw Data with Analysis'!AY$12:AY$108)*('Raw Data with Analysis'!BK$12:BK$108-'Raw Data with Analysis'!AY$12:AY$108))*$B$3</f>
        <v>1391139.22460716</v>
      </c>
      <c r="AZ10" s="12" t="n">
        <f aca="false">SUMPRODUCT(('Raw Data with Analysis'!AZ$12:AZ$108&gt;0)*('Raw Data with Analysis'!BL$12:BL$108&gt;'Raw Data with Analysis'!AZ$12:AZ$108)*('Raw Data with Analysis'!BL$12:BL$108-'Raw Data with Analysis'!AZ$12:AZ$108))*$B$3</f>
        <v>1411438.93048951</v>
      </c>
      <c r="BA10" s="12" t="n">
        <f aca="false">SUMPRODUCT(('Raw Data with Analysis'!BA$12:BA$108&gt;0)*('Raw Data with Analysis'!BM$12:BM$108&gt;'Raw Data with Analysis'!BA$12:BA$108)*('Raw Data with Analysis'!BM$12:BM$108-'Raw Data with Analysis'!BA$12:BA$108))*$B$3</f>
        <v>1427086.82977522</v>
      </c>
      <c r="BB10" s="12" t="n">
        <f aca="false">SUMPRODUCT(('Raw Data with Analysis'!BB$12:BB$108&gt;0)*('Raw Data with Analysis'!BN$12:BN$108&gt;'Raw Data with Analysis'!BB$12:BB$108)*('Raw Data with Analysis'!BN$12:BN$108-'Raw Data with Analysis'!BB$12:BB$108))*$B$3</f>
        <v>1182036.78477522</v>
      </c>
    </row>
    <row r="11" customFormat="false" ht="15" hidden="false" customHeight="false" outlineLevel="0" collapsed="false">
      <c r="A11" s="11" t="s">
        <v>115</v>
      </c>
      <c r="B11" s="12" t="n">
        <f aca="false">SUMPRODUCT(('Raw Data with Analysis'!B$12:B$108&gt;0)*('Raw Data with Analysis'!N$12:N$108&gt;0)*('Raw Data with Analysis'!N$12:N$108&lt;'Raw Data with Analysis'!B$12:B$108)*('Raw Data with Analysis'!N$12:N$108-'Raw Data with Analysis'!B$12:B$108))*$B$3</f>
        <v>-126721.37</v>
      </c>
      <c r="C11" s="12" t="n">
        <f aca="false">SUMPRODUCT(('Raw Data with Analysis'!C$12:C$108&gt;0)*('Raw Data with Analysis'!O$12:O$108&gt;0)*('Raw Data with Analysis'!O$12:O$108&lt;'Raw Data with Analysis'!C$12:C$108)*('Raw Data with Analysis'!O$12:O$108-'Raw Data with Analysis'!C$12:C$108))*$B$3</f>
        <v>-126721.37</v>
      </c>
      <c r="D11" s="12" t="n">
        <f aca="false">SUMPRODUCT(('Raw Data with Analysis'!D$12:D$108&gt;0)*('Raw Data with Analysis'!P$12:P$108&gt;0)*('Raw Data with Analysis'!P$12:P$108&lt;'Raw Data with Analysis'!D$12:D$108)*('Raw Data with Analysis'!P$12:P$108-'Raw Data with Analysis'!D$12:D$108))*$B$3</f>
        <v>-108131.37</v>
      </c>
      <c r="E11" s="12" t="n">
        <f aca="false">SUMPRODUCT(('Raw Data with Analysis'!E$12:E$108&gt;0)*('Raw Data with Analysis'!Q$12:Q$108&gt;0)*('Raw Data with Analysis'!Q$12:Q$108&lt;'Raw Data with Analysis'!E$12:E$108)*('Raw Data with Analysis'!Q$12:Q$108-'Raw Data with Analysis'!E$12:E$108))*$B$3</f>
        <v>-117731.37</v>
      </c>
      <c r="F11" s="12" t="n">
        <f aca="false">SUMPRODUCT(('Raw Data with Analysis'!F$12:F$108&gt;0)*('Raw Data with Analysis'!R$12:R$108&gt;0)*('Raw Data with Analysis'!R$12:R$108&lt;'Raw Data with Analysis'!F$12:F$108)*('Raw Data with Analysis'!R$12:R$108-'Raw Data with Analysis'!F$12:F$108))*$B$3</f>
        <v>-120931.37</v>
      </c>
      <c r="G11" s="12" t="n">
        <f aca="false">SUMPRODUCT(('Raw Data with Analysis'!G$12:G$108&gt;0)*('Raw Data with Analysis'!S$12:S$108&gt;0)*('Raw Data with Analysis'!S$12:S$108&lt;'Raw Data with Analysis'!G$12:G$108)*('Raw Data with Analysis'!S$12:S$108-'Raw Data with Analysis'!G$12:G$108))*$B$3</f>
        <v>-120931.57</v>
      </c>
      <c r="H11" s="12" t="n">
        <f aca="false">SUMPRODUCT(('Raw Data with Analysis'!H$12:H$108&gt;0)*('Raw Data with Analysis'!T$12:T$108&gt;0)*('Raw Data with Analysis'!T$12:T$108&lt;'Raw Data with Analysis'!H$12:H$108)*('Raw Data with Analysis'!T$12:T$108-'Raw Data with Analysis'!H$12:H$108))*$B$3</f>
        <v>-130165.43</v>
      </c>
      <c r="I11" s="12" t="n">
        <f aca="false">SUMPRODUCT(('Raw Data with Analysis'!I$12:I$108&gt;0)*('Raw Data with Analysis'!U$12:U$108&gt;0)*('Raw Data with Analysis'!U$12:U$108&lt;'Raw Data with Analysis'!I$12:I$108)*('Raw Data with Analysis'!U$12:U$108-'Raw Data with Analysis'!I$12:I$108))*$B$3</f>
        <v>-130165.23</v>
      </c>
      <c r="J11" s="12" t="n">
        <f aca="false">SUMPRODUCT(('Raw Data with Analysis'!J$12:J$108&gt;0)*('Raw Data with Analysis'!V$12:V$108&gt;0)*('Raw Data with Analysis'!V$12:V$108&lt;'Raw Data with Analysis'!J$12:J$108)*('Raw Data with Analysis'!V$12:V$108-'Raw Data with Analysis'!J$12:J$108))*$B$3</f>
        <v>-125456.927826087</v>
      </c>
      <c r="K11" s="12" t="n">
        <f aca="false">SUMPRODUCT(('Raw Data with Analysis'!K$12:K$108&gt;0)*('Raw Data with Analysis'!W$12:W$108&gt;0)*('Raw Data with Analysis'!W$12:W$108&lt;'Raw Data with Analysis'!K$12:K$108)*('Raw Data with Analysis'!W$12:W$108-'Raw Data with Analysis'!K$12:K$108))*$B$3</f>
        <v>-125457.167826087</v>
      </c>
      <c r="L11" s="12" t="n">
        <f aca="false">SUMPRODUCT(('Raw Data with Analysis'!L$12:L$108&gt;0)*('Raw Data with Analysis'!X$12:X$108&gt;0)*('Raw Data with Analysis'!X$12:X$108&lt;'Raw Data with Analysis'!L$12:L$108)*('Raw Data with Analysis'!X$12:X$108-'Raw Data with Analysis'!L$12:L$108))*$B$3</f>
        <v>-126057.167826087</v>
      </c>
      <c r="M11" s="12" t="n">
        <f aca="false">SUMPRODUCT(('Raw Data with Analysis'!M$12:M$108&gt;0)*('Raw Data with Analysis'!Y$12:Y$108&gt;0)*('Raw Data with Analysis'!Y$12:Y$108&lt;'Raw Data with Analysis'!M$12:M$108)*('Raw Data with Analysis'!Y$12:Y$108-'Raw Data with Analysis'!M$12:M$108))*$B$3</f>
        <v>-88701.3478260873</v>
      </c>
      <c r="N11" s="12" t="n">
        <f aca="false">SUMPRODUCT(('Raw Data with Analysis'!N$12:N$108&gt;0)*('Raw Data with Analysis'!Z$12:Z$108&gt;0)*('Raw Data with Analysis'!Z$12:Z$108&lt;'Raw Data with Analysis'!N$12:N$108)*('Raw Data with Analysis'!Z$12:Z$108-'Raw Data with Analysis'!N$12:N$108))*$B$3</f>
        <v>-78169.3478260869</v>
      </c>
      <c r="O11" s="12" t="n">
        <f aca="false">SUMPRODUCT(('Raw Data with Analysis'!O$12:O$108&gt;0)*('Raw Data with Analysis'!AA$12:AA$108&gt;0)*('Raw Data with Analysis'!AA$12:AA$108&lt;'Raw Data with Analysis'!O$12:O$108)*('Raw Data with Analysis'!AA$12:AA$108-'Raw Data with Analysis'!O$12:O$108))*$B$3</f>
        <v>-92399.357826087</v>
      </c>
      <c r="P11" s="12" t="n">
        <f aca="false">SUMPRODUCT(('Raw Data with Analysis'!P$12:P$108&gt;0)*('Raw Data with Analysis'!AB$12:AB$108&gt;0)*('Raw Data with Analysis'!AB$12:AB$108&lt;'Raw Data with Analysis'!P$12:P$108)*('Raw Data with Analysis'!AB$12:AB$108-'Raw Data with Analysis'!P$12:P$108))*$B$3</f>
        <v>-106859.357826087</v>
      </c>
      <c r="Q11" s="12" t="n">
        <f aca="false">SUMPRODUCT(('Raw Data with Analysis'!Q$12:Q$108&gt;0)*('Raw Data with Analysis'!AC$12:AC$108&gt;0)*('Raw Data with Analysis'!AC$12:AC$108&lt;'Raw Data with Analysis'!Q$12:Q$108)*('Raw Data with Analysis'!AC$12:AC$108-'Raw Data with Analysis'!Q$12:Q$108))*$B$3</f>
        <v>-105959.117826087</v>
      </c>
      <c r="R11" s="12" t="n">
        <f aca="false">SUMPRODUCT(('Raw Data with Analysis'!R$12:R$108&gt;0)*('Raw Data with Analysis'!AD$12:AD$108&gt;0)*('Raw Data with Analysis'!AD$12:AD$108&lt;'Raw Data with Analysis'!R$12:R$108)*('Raw Data with Analysis'!AD$12:AD$108-'Raw Data with Analysis'!R$12:R$108))*$B$3</f>
        <v>-106059.237826087</v>
      </c>
      <c r="S11" s="12" t="n">
        <f aca="false">SUMPRODUCT(('Raw Data with Analysis'!S$12:S$108&gt;0)*('Raw Data with Analysis'!AE$12:AE$108&gt;0)*('Raw Data with Analysis'!AE$12:AE$108&lt;'Raw Data with Analysis'!S$12:S$108)*('Raw Data with Analysis'!AE$12:AE$108-'Raw Data with Analysis'!S$12:S$108))*$B$3</f>
        <v>-106059.237826087</v>
      </c>
      <c r="T11" s="12" t="n">
        <f aca="false">SUMPRODUCT(('Raw Data with Analysis'!T$12:T$108&gt;0)*('Raw Data with Analysis'!AF$12:AF$108&gt;0)*('Raw Data with Analysis'!AF$12:AF$108&lt;'Raw Data with Analysis'!T$12:T$108)*('Raw Data with Analysis'!AF$12:AF$108-'Raw Data with Analysis'!T$12:T$108))*$B$3</f>
        <v>-37184.4778260869</v>
      </c>
      <c r="U11" s="12" t="n">
        <f aca="false">SUMPRODUCT(('Raw Data with Analysis'!U$12:U$108&gt;0)*('Raw Data with Analysis'!AG$12:AG$108&gt;0)*('Raw Data with Analysis'!AG$12:AG$108&lt;'Raw Data with Analysis'!U$12:U$108)*('Raw Data with Analysis'!AG$12:AG$108-'Raw Data with Analysis'!U$12:U$108))*$B$3</f>
        <v>-37184.4778260869</v>
      </c>
      <c r="V11" s="12" t="n">
        <f aca="false">SUMPRODUCT(('Raw Data with Analysis'!V$12:V$108&gt;0)*('Raw Data with Analysis'!AH$12:AH$108&gt;0)*('Raw Data with Analysis'!AH$12:AH$108&lt;'Raw Data with Analysis'!V$12:V$108)*('Raw Data with Analysis'!AH$12:AH$108-'Raw Data with Analysis'!V$12:V$108))*$B$3</f>
        <v>-40465.1555172413</v>
      </c>
      <c r="W11" s="12" t="n">
        <f aca="false">SUMPRODUCT(('Raw Data with Analysis'!W$12:W$108&gt;0)*('Raw Data with Analysis'!AI$12:AI$108&gt;0)*('Raw Data with Analysis'!AI$12:AI$108&lt;'Raw Data with Analysis'!W$12:W$108)*('Raw Data with Analysis'!AI$12:AI$108-'Raw Data with Analysis'!W$12:W$108))*$B$3</f>
        <v>-48214.1555172413</v>
      </c>
      <c r="X11" s="12" t="n">
        <f aca="false">SUMPRODUCT(('Raw Data with Analysis'!X$12:X$108&gt;0)*('Raw Data with Analysis'!AJ$12:AJ$108&gt;0)*('Raw Data with Analysis'!AJ$12:AJ$108&lt;'Raw Data with Analysis'!X$12:X$108)*('Raw Data with Analysis'!AJ$12:AJ$108-'Raw Data with Analysis'!X$12:X$108))*$B$3</f>
        <v>-48214.1555172413</v>
      </c>
      <c r="Y11" s="12" t="n">
        <f aca="false">SUMPRODUCT(('Raw Data with Analysis'!Y$12:Y$108&gt;0)*('Raw Data with Analysis'!AK$12:AK$108&gt;0)*('Raw Data with Analysis'!AK$12:AK$108&lt;'Raw Data with Analysis'!Y$12:Y$108)*('Raw Data with Analysis'!AK$12:AK$108-'Raw Data with Analysis'!Y$12:Y$108))*$B$3</f>
        <v>-46312.0376923076</v>
      </c>
      <c r="Z11" s="12" t="n">
        <f aca="false">SUMPRODUCT(('Raw Data with Analysis'!Z$12:Z$108&gt;0)*('Raw Data with Analysis'!AL$12:AL$108&gt;0)*('Raw Data with Analysis'!AL$12:AL$108&lt;'Raw Data with Analysis'!Z$12:Z$108)*('Raw Data with Analysis'!AL$12:AL$108-'Raw Data with Analysis'!Z$12:Z$108))*$B$3</f>
        <v>-1232001.73067573</v>
      </c>
      <c r="AA11" s="12" t="n">
        <f aca="false">SUMPRODUCT(('Raw Data with Analysis'!AA$12:AA$108&gt;0)*('Raw Data with Analysis'!AM$12:AM$108&gt;0)*('Raw Data with Analysis'!AM$12:AM$108&lt;'Raw Data with Analysis'!AA$12:AA$108)*('Raw Data with Analysis'!AM$12:AM$108-'Raw Data with Analysis'!AA$12:AA$108))*$B$3</f>
        <v>-1262158.873403</v>
      </c>
      <c r="AB11" s="12" t="n">
        <f aca="false">SUMPRODUCT(('Raw Data with Analysis'!AB$12:AB$108&gt;0)*('Raw Data with Analysis'!AN$12:AN$108&gt;0)*('Raw Data with Analysis'!AN$12:AN$108&lt;'Raw Data with Analysis'!AB$12:AB$108)*('Raw Data with Analysis'!AN$12:AN$108-'Raw Data with Analysis'!AB$12:AB$108))*$B$3</f>
        <v>-1253257.243403</v>
      </c>
      <c r="AC11" s="12" t="n">
        <f aca="false">SUMPRODUCT(('Raw Data with Analysis'!AC$12:AC$108&gt;0)*('Raw Data with Analysis'!AO$12:AO$108&gt;0)*('Raw Data with Analysis'!AO$12:AO$108&lt;'Raw Data with Analysis'!AC$12:AC$108)*('Raw Data with Analysis'!AO$12:AO$108-'Raw Data with Analysis'!AC$12:AC$108))*$B$3</f>
        <v>-1245508.243403</v>
      </c>
      <c r="AD11" s="12" t="n">
        <f aca="false">SUMPRODUCT(('Raw Data with Analysis'!AD$12:AD$108&gt;0)*('Raw Data with Analysis'!AP$12:AP$108&gt;0)*('Raw Data with Analysis'!AP$12:AP$108&lt;'Raw Data with Analysis'!AD$12:AD$108)*('Raw Data with Analysis'!AP$12:AP$108-'Raw Data with Analysis'!AD$12:AD$108))*$B$3</f>
        <v>-1245508.251403</v>
      </c>
      <c r="AE11" s="12" t="n">
        <f aca="false">SUMPRODUCT(('Raw Data with Analysis'!AE$12:AE$108&gt;0)*('Raw Data with Analysis'!AQ$12:AQ$108&gt;0)*('Raw Data with Analysis'!AQ$12:AQ$108&lt;'Raw Data with Analysis'!AE$12:AE$108)*('Raw Data with Analysis'!AQ$12:AQ$108-'Raw Data with Analysis'!AE$12:AE$108))*$B$3</f>
        <v>-1184395.04841958</v>
      </c>
      <c r="AF11" s="12" t="n">
        <f aca="false">SUMPRODUCT(('Raw Data with Analysis'!AF$12:AF$108&gt;0)*('Raw Data with Analysis'!AR$12:AR$108&gt;0)*('Raw Data with Analysis'!AR$12:AR$108&lt;'Raw Data with Analysis'!AF$12:AF$108)*('Raw Data with Analysis'!AR$12:AR$108-'Raw Data with Analysis'!AF$12:AF$108))*$B$3</f>
        <v>-1195995.04841958</v>
      </c>
      <c r="AG11" s="12" t="n">
        <f aca="false">SUMPRODUCT(('Raw Data with Analysis'!AG$12:AG$108&gt;0)*('Raw Data with Analysis'!AS$12:AS$108&gt;0)*('Raw Data with Analysis'!AS$12:AS$108&lt;'Raw Data with Analysis'!AG$12:AG$108)*('Raw Data with Analysis'!AS$12:AS$108-'Raw Data with Analysis'!AG$12:AG$108))*$B$3</f>
        <v>-1196228.36041958</v>
      </c>
      <c r="AH11" s="12" t="n">
        <f aca="false">SUMPRODUCT(('Raw Data with Analysis'!AH$12:AH$108&gt;0)*('Raw Data with Analysis'!AT$12:AT$108&gt;0)*('Raw Data with Analysis'!AT$12:AT$108&lt;'Raw Data with Analysis'!AH$12:AH$108)*('Raw Data with Analysis'!AT$12:AT$108-'Raw Data with Analysis'!AH$12:AH$108))*$B$3</f>
        <v>-1213818.17041958</v>
      </c>
      <c r="AI11" s="12" t="n">
        <f aca="false">SUMPRODUCT(('Raw Data with Analysis'!AI$12:AI$108&gt;0)*('Raw Data with Analysis'!AU$12:AU$108&gt;0)*('Raw Data with Analysis'!AU$12:AU$108&lt;'Raw Data with Analysis'!AI$12:AI$108)*('Raw Data with Analysis'!AU$12:AU$108-'Raw Data with Analysis'!AI$12:AI$108))*$B$3</f>
        <v>-1193718.17041958</v>
      </c>
      <c r="AJ11" s="12" t="n">
        <f aca="false">SUMPRODUCT(('Raw Data with Analysis'!AJ$12:AJ$108&gt;0)*('Raw Data with Analysis'!AV$12:AV$108&gt;0)*('Raw Data with Analysis'!AV$12:AV$108&lt;'Raw Data with Analysis'!AJ$12:AJ$108)*('Raw Data with Analysis'!AV$12:AV$108-'Raw Data with Analysis'!AJ$12:AJ$108))*$B$3</f>
        <v>-1191918.17041958</v>
      </c>
      <c r="AK11" s="12" t="n">
        <f aca="false">SUMPRODUCT(('Raw Data with Analysis'!AK$12:AK$108&gt;0)*('Raw Data with Analysis'!AW$12:AW$108&gt;0)*('Raw Data with Analysis'!AW$12:AW$108&lt;'Raw Data with Analysis'!AK$12:AK$108)*('Raw Data with Analysis'!AW$12:AW$108-'Raw Data with Analysis'!AK$12:AK$108))*$B$3</f>
        <v>-1175857.30272727</v>
      </c>
      <c r="AL11" s="12" t="n">
        <f aca="false">SUMPRODUCT(('Raw Data with Analysis'!AL$12:AL$108&gt;0)*('Raw Data with Analysis'!AX$12:AX$108&gt;0)*('Raw Data with Analysis'!AX$12:AX$108&lt;'Raw Data with Analysis'!AL$12:AL$108)*('Raw Data with Analysis'!AX$12:AX$108-'Raw Data with Analysis'!AL$12:AL$108))*$B$3</f>
        <v>-42843.5400000001</v>
      </c>
      <c r="AM11" s="12" t="n">
        <f aca="false">SUMPRODUCT(('Raw Data with Analysis'!AM$12:AM$108&gt;0)*('Raw Data with Analysis'!AY$12:AY$108&gt;0)*('Raw Data with Analysis'!AY$12:AY$108&lt;'Raw Data with Analysis'!AM$12:AM$108)*('Raw Data with Analysis'!AY$12:AY$108-'Raw Data with Analysis'!AM$12:AM$108))*$B$3</f>
        <v>-123874.66</v>
      </c>
      <c r="AN11" s="12" t="n">
        <f aca="false">SUMPRODUCT(('Raw Data with Analysis'!AN$12:AN$108&gt;0)*('Raw Data with Analysis'!AZ$12:AZ$108&gt;0)*('Raw Data with Analysis'!AZ$12:AZ$108&lt;'Raw Data with Analysis'!AN$12:AN$108)*('Raw Data with Analysis'!AZ$12:AZ$108-'Raw Data with Analysis'!AN$12:AN$108))*$B$3</f>
        <v>-118316.29</v>
      </c>
      <c r="AO11" s="12" t="n">
        <f aca="false">SUMPRODUCT(('Raw Data with Analysis'!AO$12:AO$108&gt;0)*('Raw Data with Analysis'!BA$12:BA$108&gt;0)*('Raw Data with Analysis'!BA$12:BA$108&lt;'Raw Data with Analysis'!AO$12:AO$108)*('Raw Data with Analysis'!BA$12:BA$108-'Raw Data with Analysis'!AO$12:AO$108))*$B$3</f>
        <v>-114167.955</v>
      </c>
      <c r="AP11" s="12" t="n">
        <f aca="false">SUMPRODUCT(('Raw Data with Analysis'!AP$12:AP$108&gt;0)*('Raw Data with Analysis'!BB$12:BB$108&gt;0)*('Raw Data with Analysis'!BB$12:BB$108&lt;'Raw Data with Analysis'!AP$12:AP$108)*('Raw Data with Analysis'!BB$12:BB$108-'Raw Data with Analysis'!AP$12:AP$108))*$B$3</f>
        <v>-114167.955</v>
      </c>
      <c r="AQ11" s="12" t="n">
        <f aca="false">SUMPRODUCT(('Raw Data with Analysis'!AQ$12:AQ$108&gt;0)*('Raw Data with Analysis'!BC$12:BC$108&gt;0)*('Raw Data with Analysis'!BC$12:BC$108&lt;'Raw Data with Analysis'!AQ$12:AQ$108)*('Raw Data with Analysis'!BC$12:BC$108-'Raw Data with Analysis'!AQ$12:AQ$108))*$B$3</f>
        <v>-126161.955</v>
      </c>
      <c r="AR11" s="12" t="n">
        <f aca="false">SUMPRODUCT(('Raw Data with Analysis'!AR$12:AR$108&gt;0)*('Raw Data with Analysis'!BD$12:BD$108&gt;0)*('Raw Data with Analysis'!BD$12:BD$108&lt;'Raw Data with Analysis'!AR$12:AR$108)*('Raw Data with Analysis'!BD$12:BD$108-'Raw Data with Analysis'!AR$12:AR$108))*$B$3</f>
        <v>-231814.034999999</v>
      </c>
      <c r="AS11" s="12" t="n">
        <f aca="false">SUMPRODUCT(('Raw Data with Analysis'!AS$12:AS$108&gt;0)*('Raw Data with Analysis'!BE$12:BE$108&gt;0)*('Raw Data with Analysis'!BE$12:BE$108&lt;'Raw Data with Analysis'!AS$12:AS$108)*('Raw Data with Analysis'!BE$12:BE$108-'Raw Data with Analysis'!AS$12:AS$108))*$B$3</f>
        <v>-231714.034999999</v>
      </c>
      <c r="AT11" s="12" t="n">
        <f aca="false">SUMPRODUCT(('Raw Data with Analysis'!AT$12:AT$108&gt;0)*('Raw Data with Analysis'!BF$12:BF$108&gt;0)*('Raw Data with Analysis'!BF$12:BF$108&lt;'Raw Data with Analysis'!AT$12:AT$108)*('Raw Data with Analysis'!BF$12:BF$108-'Raw Data with Analysis'!AT$12:AT$108))*$B$3</f>
        <v>-257002.374999999</v>
      </c>
      <c r="AU11" s="12" t="n">
        <f aca="false">SUMPRODUCT(('Raw Data with Analysis'!AU$12:AU$108&gt;0)*('Raw Data with Analysis'!BG$12:BG$108&gt;0)*('Raw Data with Analysis'!BG$12:BG$108&lt;'Raw Data with Analysis'!AU$12:AU$108)*('Raw Data with Analysis'!BG$12:BG$108-'Raw Data with Analysis'!AU$12:AU$108))*$B$3</f>
        <v>-257360.374999999</v>
      </c>
      <c r="AV11" s="12" t="n">
        <f aca="false">SUMPRODUCT(('Raw Data with Analysis'!AV$12:AV$108&gt;0)*('Raw Data with Analysis'!BH$12:BH$108&gt;0)*('Raw Data with Analysis'!BH$12:BH$108&lt;'Raw Data with Analysis'!AV$12:AV$108)*('Raw Data with Analysis'!BH$12:BH$108-'Raw Data with Analysis'!AV$12:AV$108))*$B$3</f>
        <v>-249010.374999999</v>
      </c>
      <c r="AW11" s="12" t="n">
        <f aca="false">SUMPRODUCT(('Raw Data with Analysis'!AW$12:AW$108&gt;0)*('Raw Data with Analysis'!BI$12:BI$108&gt;0)*('Raw Data with Analysis'!BI$12:BI$108&lt;'Raw Data with Analysis'!AW$12:AW$108)*('Raw Data with Analysis'!BI$12:BI$108-'Raw Data with Analysis'!AW$12:AW$108))*$B$3</f>
        <v>-251684.929999999</v>
      </c>
      <c r="AX11" s="12" t="n">
        <f aca="false">SUMPRODUCT(('Raw Data with Analysis'!AX$12:AX$108&gt;0)*('Raw Data with Analysis'!BJ$12:BJ$108&gt;0)*('Raw Data with Analysis'!BJ$12:BJ$108&lt;'Raw Data with Analysis'!AX$12:AX$108)*('Raw Data with Analysis'!BJ$12:BJ$108-'Raw Data with Analysis'!AX$12:AX$108))*$B$3</f>
        <v>-248881.78</v>
      </c>
      <c r="AY11" s="12" t="n">
        <f aca="false">SUMPRODUCT(('Raw Data with Analysis'!AY$12:AY$108&gt;0)*('Raw Data with Analysis'!BK$12:BK$108&gt;0)*('Raw Data with Analysis'!BK$12:BK$108&lt;'Raw Data with Analysis'!AY$12:AY$108)*('Raw Data with Analysis'!BK$12:BK$108-'Raw Data with Analysis'!AY$12:AY$108))*$B$3</f>
        <v>-204589.38</v>
      </c>
      <c r="AZ11" s="12" t="n">
        <f aca="false">SUMPRODUCT(('Raw Data with Analysis'!AZ$12:AZ$108&gt;0)*('Raw Data with Analysis'!BL$12:BL$108&gt;0)*('Raw Data with Analysis'!BL$12:BL$108&lt;'Raw Data with Analysis'!AZ$12:AZ$108)*('Raw Data with Analysis'!BL$12:BL$108-'Raw Data with Analysis'!AZ$12:AZ$108))*$B$3</f>
        <v>-206889.38</v>
      </c>
      <c r="BA11" s="12" t="n">
        <f aca="false">SUMPRODUCT(('Raw Data with Analysis'!BA$12:BA$108&gt;0)*('Raw Data with Analysis'!BM$12:BM$108&gt;0)*('Raw Data with Analysis'!BM$12:BM$108&lt;'Raw Data with Analysis'!BA$12:BA$108)*('Raw Data with Analysis'!BM$12:BM$108-'Raw Data with Analysis'!BA$12:BA$108))*$B$3</f>
        <v>-210204.395</v>
      </c>
      <c r="BB11" s="12" t="n">
        <f aca="false">SUMPRODUCT(('Raw Data with Analysis'!BB$12:BB$108&gt;0)*('Raw Data with Analysis'!BN$12:BN$108&gt;0)*('Raw Data with Analysis'!BN$12:BN$108&lt;'Raw Data with Analysis'!BB$12:BB$108)*('Raw Data with Analysis'!BN$12:BN$108-'Raw Data with Analysis'!BB$12:BB$108))*$B$3</f>
        <v>-216413.755</v>
      </c>
    </row>
    <row r="12" customFormat="false" ht="15" hidden="false" customHeight="false" outlineLevel="0" collapsed="false">
      <c r="A12" s="11" t="s">
        <v>116</v>
      </c>
      <c r="B12" s="12" t="n">
        <f aca="false">SUMPRODUCT(('Raw Data with Analysis'!B$12:B$108&gt;0)*('Raw Data with Analysis'!N$12:N$108=0)*(-'Raw Data with Analysis'!B$12:B$108))*$B$3</f>
        <v>-220251</v>
      </c>
      <c r="C12" s="12" t="n">
        <f aca="false">SUMPRODUCT(('Raw Data with Analysis'!C$12:C$108&gt;0)*('Raw Data with Analysis'!O$12:O$108=0)*(-'Raw Data with Analysis'!C$12:C$108))*$B$3</f>
        <v>-220251</v>
      </c>
      <c r="D12" s="12" t="n">
        <f aca="false">SUMPRODUCT(('Raw Data with Analysis'!D$12:D$108&gt;0)*('Raw Data with Analysis'!P$12:P$108=0)*(-'Raw Data with Analysis'!D$12:D$108))*$B$3</f>
        <v>-223751</v>
      </c>
      <c r="E12" s="12" t="n">
        <f aca="false">SUMPRODUCT(('Raw Data with Analysis'!E$12:E$108&gt;0)*('Raw Data with Analysis'!Q$12:Q$108=0)*(-'Raw Data with Analysis'!E$12:E$108))*$B$3</f>
        <v>-222335</v>
      </c>
      <c r="F12" s="12" t="n">
        <f aca="false">SUMPRODUCT(('Raw Data with Analysis'!F$12:F$108&gt;0)*('Raw Data with Analysis'!R$12:R$108=0)*(-'Raw Data with Analysis'!F$12:F$108))*$B$3</f>
        <v>-222335</v>
      </c>
      <c r="G12" s="12" t="n">
        <f aca="false">SUMPRODUCT(('Raw Data with Analysis'!G$12:G$108&gt;0)*('Raw Data with Analysis'!S$12:S$108=0)*(-'Raw Data with Analysis'!G$12:G$108))*$B$3</f>
        <v>-222335</v>
      </c>
      <c r="H12" s="12" t="n">
        <f aca="false">SUMPRODUCT(('Raw Data with Analysis'!H$12:H$108&gt;0)*('Raw Data with Analysis'!T$12:T$108=0)*(-'Raw Data with Analysis'!H$12:H$108))*$B$3</f>
        <v>-42685</v>
      </c>
      <c r="I12" s="12" t="n">
        <f aca="false">SUMPRODUCT(('Raw Data with Analysis'!I$12:I$108&gt;0)*('Raw Data with Analysis'!U$12:U$108=0)*(-'Raw Data with Analysis'!I$12:I$108))*$B$3</f>
        <v>-138054.16</v>
      </c>
      <c r="J12" s="12" t="n">
        <f aca="false">SUMPRODUCT(('Raw Data with Analysis'!J$12:J$108&gt;0)*('Raw Data with Analysis'!V$12:V$108=0)*(-'Raw Data with Analysis'!J$12:J$108))*$B$3</f>
        <v>-126453.2</v>
      </c>
      <c r="K12" s="12" t="n">
        <f aca="false">SUMPRODUCT(('Raw Data with Analysis'!K$12:K$108&gt;0)*('Raw Data with Analysis'!W$12:W$108=0)*(-'Raw Data with Analysis'!K$12:K$108))*$B$3</f>
        <v>-120753.2</v>
      </c>
      <c r="L12" s="12" t="n">
        <f aca="false">SUMPRODUCT(('Raw Data with Analysis'!L$12:L$108&gt;0)*('Raw Data with Analysis'!X$12:X$108=0)*(-'Raw Data with Analysis'!L$12:L$108))*$B$3</f>
        <v>-121553.24</v>
      </c>
      <c r="M12" s="12" t="n">
        <f aca="false">SUMPRODUCT(('Raw Data with Analysis'!M$12:M$108&gt;0)*('Raw Data with Analysis'!Y$12:Y$108=0)*(-'Raw Data with Analysis'!M$12:M$108))*$B$3</f>
        <v>-127398.24</v>
      </c>
      <c r="N12" s="12" t="n">
        <f aca="false">SUMPRODUCT(('Raw Data with Analysis'!N$12:N$108&gt;0)*('Raw Data with Analysis'!Z$12:Z$108=0)*(-'Raw Data with Analysis'!N$12:N$108))*$B$3</f>
        <v>-127398.24</v>
      </c>
      <c r="O12" s="12" t="n">
        <f aca="false">SUMPRODUCT(('Raw Data with Analysis'!O$12:O$108&gt;0)*('Raw Data with Analysis'!AA$12:AA$108=0)*(-'Raw Data with Analysis'!O$12:O$108))*$B$3</f>
        <v>-127398.24</v>
      </c>
      <c r="P12" s="12" t="n">
        <f aca="false">SUMPRODUCT(('Raw Data with Analysis'!P$12:P$108&gt;0)*('Raw Data with Analysis'!AB$12:AB$108=0)*(-'Raw Data with Analysis'!P$12:P$108))*$B$3</f>
        <v>-123898.24</v>
      </c>
      <c r="Q12" s="12" t="n">
        <f aca="false">SUMPRODUCT(('Raw Data with Analysis'!Q$12:Q$108&gt;0)*('Raw Data with Analysis'!AC$12:AC$108=0)*(-'Raw Data with Analysis'!Q$12:Q$108))*$B$3</f>
        <v>-23545.24</v>
      </c>
      <c r="R12" s="12" t="n">
        <f aca="false">SUMPRODUCT(('Raw Data with Analysis'!R$12:R$108&gt;0)*('Raw Data with Analysis'!AD$12:AD$108=0)*(-'Raw Data with Analysis'!R$12:R$108))*$B$3</f>
        <v>-26545.24</v>
      </c>
      <c r="S12" s="12" t="n">
        <f aca="false">SUMPRODUCT(('Raw Data with Analysis'!S$12:S$108&gt;0)*('Raw Data with Analysis'!AE$12:AE$108=0)*(-'Raw Data with Analysis'!S$12:S$108))*$B$3</f>
        <v>-21745</v>
      </c>
      <c r="T12" s="12" t="n">
        <f aca="false">SUMPRODUCT(('Raw Data with Analysis'!T$12:T$108&gt;0)*('Raw Data with Analysis'!AF$12:AF$108=0)*(-'Raw Data with Analysis'!T$12:T$108))*$B$3</f>
        <v>-34370</v>
      </c>
      <c r="U12" s="12" t="n">
        <f aca="false">SUMPRODUCT(('Raw Data with Analysis'!U$12:U$108&gt;0)*('Raw Data with Analysis'!AG$12:AG$108=0)*(-'Raw Data with Analysis'!U$12:U$108))*$B$3</f>
        <v>-34370</v>
      </c>
      <c r="V12" s="12" t="n">
        <f aca="false">SUMPRODUCT(('Raw Data with Analysis'!V$12:V$108&gt;0)*('Raw Data with Analysis'!AH$12:AH$108=0)*(-'Raw Data with Analysis'!V$12:V$108))*$B$3</f>
        <v>-34370</v>
      </c>
      <c r="W12" s="12" t="n">
        <f aca="false">SUMPRODUCT(('Raw Data with Analysis'!W$12:W$108&gt;0)*('Raw Data with Analysis'!AI$12:AI$108=0)*(-'Raw Data with Analysis'!W$12:W$108))*$B$3</f>
        <v>-32870</v>
      </c>
      <c r="X12" s="12" t="n">
        <f aca="false">SUMPRODUCT(('Raw Data with Analysis'!X$12:X$108&gt;0)*('Raw Data with Analysis'!AJ$12:AJ$108=0)*(-'Raw Data with Analysis'!X$12:X$108))*$B$3</f>
        <v>-32870</v>
      </c>
      <c r="Y12" s="12" t="n">
        <f aca="false">SUMPRODUCT(('Raw Data with Analysis'!Y$12:Y$108&gt;0)*('Raw Data with Analysis'!AK$12:AK$108=0)*(-'Raw Data with Analysis'!Y$12:Y$108))*$B$3</f>
        <v>-167335</v>
      </c>
      <c r="Z12" s="12" t="n">
        <f aca="false">SUMPRODUCT(('Raw Data with Analysis'!Z$12:Z$108&gt;0)*('Raw Data with Analysis'!AL$12:AL$108=0)*(-'Raw Data with Analysis'!Z$12:Z$108))*$B$3</f>
        <v>-167335</v>
      </c>
      <c r="AA12" s="12" t="n">
        <f aca="false">SUMPRODUCT(('Raw Data with Analysis'!AA$12:AA$108&gt;0)*('Raw Data with Analysis'!AM$12:AM$108=0)*(-'Raw Data with Analysis'!AA$12:AA$108))*$B$3</f>
        <v>-167335</v>
      </c>
      <c r="AB12" s="12" t="n">
        <f aca="false">SUMPRODUCT(('Raw Data with Analysis'!AB$12:AB$108&gt;0)*('Raw Data with Analysis'!AN$12:AN$108=0)*(-'Raw Data with Analysis'!AB$12:AB$108))*$B$3</f>
        <v>-170035</v>
      </c>
      <c r="AC12" s="12" t="n">
        <f aca="false">SUMPRODUCT(('Raw Data with Analysis'!AC$12:AC$108&gt;0)*('Raw Data with Analysis'!AO$12:AO$108=0)*(-'Raw Data with Analysis'!AC$12:AC$108))*$B$3</f>
        <v>-178035</v>
      </c>
      <c r="AD12" s="12" t="n">
        <f aca="false">SUMPRODUCT(('Raw Data with Analysis'!AD$12:AD$108&gt;0)*('Raw Data with Analysis'!AP$12:AP$108=0)*(-'Raw Data with Analysis'!AD$12:AD$108))*$B$3</f>
        <v>-175035</v>
      </c>
      <c r="AE12" s="12" t="n">
        <f aca="false">SUMPRODUCT(('Raw Data with Analysis'!AE$12:AE$108&gt;0)*('Raw Data with Analysis'!AQ$12:AQ$108=0)*(-'Raw Data with Analysis'!AE$12:AE$108))*$B$3</f>
        <v>-175735</v>
      </c>
      <c r="AF12" s="12" t="n">
        <f aca="false">SUMPRODUCT(('Raw Data with Analysis'!AF$12:AF$108&gt;0)*('Raw Data with Analysis'!AR$12:AR$108=0)*(-'Raw Data with Analysis'!AF$12:AF$108))*$B$3</f>
        <v>-167310</v>
      </c>
      <c r="AG12" s="12" t="n">
        <f aca="false">SUMPRODUCT(('Raw Data with Analysis'!AG$12:AG$108&gt;0)*('Raw Data with Analysis'!AS$12:AS$108=0)*(-'Raw Data with Analysis'!AG$12:AG$108))*$B$3</f>
        <v>-205395</v>
      </c>
      <c r="AH12" s="12" t="n">
        <f aca="false">SUMPRODUCT(('Raw Data with Analysis'!AH$12:AH$108&gt;0)*('Raw Data with Analysis'!AT$12:AT$108=0)*(-'Raw Data with Analysis'!AH$12:AH$108))*$B$3</f>
        <v>-205395</v>
      </c>
      <c r="AI12" s="12" t="n">
        <f aca="false">SUMPRODUCT(('Raw Data with Analysis'!AI$12:AI$108&gt;0)*('Raw Data with Analysis'!AU$12:AU$108=0)*(-'Raw Data with Analysis'!AI$12:AI$108))*$B$3</f>
        <v>-205395</v>
      </c>
      <c r="AJ12" s="12" t="n">
        <f aca="false">SUMPRODUCT(('Raw Data with Analysis'!AJ$12:AJ$108&gt;0)*('Raw Data with Analysis'!AV$12:AV$108=0)*(-'Raw Data with Analysis'!AJ$12:AJ$108))*$B$3</f>
        <v>-212395</v>
      </c>
      <c r="AK12" s="12" t="n">
        <f aca="false">SUMPRODUCT(('Raw Data with Analysis'!AK$12:AK$108&gt;0)*('Raw Data with Analysis'!AW$12:AW$108=0)*(-'Raw Data with Analysis'!AK$12:AK$108))*$B$3</f>
        <v>-156551.8</v>
      </c>
      <c r="AL12" s="12" t="n">
        <f aca="false">SUMPRODUCT(('Raw Data with Analysis'!AL$12:AL$108&gt;0)*('Raw Data with Analysis'!AX$12:AX$108=0)*(-'Raw Data with Analysis'!AL$12:AL$108))*$B$3</f>
        <v>-201551.8</v>
      </c>
      <c r="AM12" s="12" t="n">
        <f aca="false">SUMPRODUCT(('Raw Data with Analysis'!AM$12:AM$108&gt;0)*('Raw Data with Analysis'!AY$12:AY$108=0)*(-'Raw Data with Analysis'!AM$12:AM$108))*$B$3</f>
        <v>-227201.8</v>
      </c>
      <c r="AN12" s="12" t="n">
        <f aca="false">SUMPRODUCT(('Raw Data with Analysis'!AN$12:AN$108&gt;0)*('Raw Data with Analysis'!AZ$12:AZ$108=0)*(-'Raw Data with Analysis'!AN$12:AN$108))*$B$3</f>
        <v>-224501.8</v>
      </c>
      <c r="AO12" s="12" t="n">
        <f aca="false">SUMPRODUCT(('Raw Data with Analysis'!AO$12:AO$108&gt;0)*('Raw Data with Analysis'!BA$12:BA$108=0)*(-'Raw Data with Analysis'!AO$12:AO$108))*$B$3</f>
        <v>-216501.8</v>
      </c>
      <c r="AP12" s="12" t="n">
        <f aca="false">SUMPRODUCT(('Raw Data with Analysis'!AP$12:AP$108&gt;0)*('Raw Data with Analysis'!BB$12:BB$108=0)*(-'Raw Data with Analysis'!AP$12:AP$108))*$B$3</f>
        <v>-216501.8</v>
      </c>
      <c r="AQ12" s="12" t="n">
        <f aca="false">SUMPRODUCT(('Raw Data with Analysis'!AQ$12:AQ$108&gt;0)*('Raw Data with Analysis'!BC$12:BC$108=0)*(-'Raw Data with Analysis'!AQ$12:AQ$108))*$B$3</f>
        <v>-225801.8</v>
      </c>
      <c r="AR12" s="12" t="n">
        <f aca="false">SUMPRODUCT(('Raw Data with Analysis'!AR$12:AR$108&gt;0)*('Raw Data with Analysis'!BD$12:BD$108=0)*(-'Raw Data with Analysis'!AR$12:AR$108))*$B$3</f>
        <v>-281116.8</v>
      </c>
      <c r="AS12" s="12" t="n">
        <f aca="false">SUMPRODUCT(('Raw Data with Analysis'!AS$12:AS$108&gt;0)*('Raw Data with Analysis'!BE$12:BE$108=0)*(-'Raw Data with Analysis'!AS$12:AS$108))*$B$3</f>
        <v>-268681.908</v>
      </c>
      <c r="AT12" s="12" t="n">
        <f aca="false">SUMPRODUCT(('Raw Data with Analysis'!AT$12:AT$108&gt;0)*('Raw Data with Analysis'!BF$12:BF$108=0)*(-'Raw Data with Analysis'!AT$12:AT$108))*$B$3</f>
        <v>-302681.908</v>
      </c>
      <c r="AU12" s="12" t="n">
        <f aca="false">SUMPRODUCT(('Raw Data with Analysis'!AU$12:AU$108&gt;0)*('Raw Data with Analysis'!BG$12:BG$108=0)*(-'Raw Data with Analysis'!AU$12:AU$108))*$B$3</f>
        <v>-302781.908</v>
      </c>
      <c r="AV12" s="12" t="n">
        <f aca="false">SUMPRODUCT(('Raw Data with Analysis'!AV$12:AV$108&gt;0)*('Raw Data with Analysis'!BH$12:BH$108=0)*(-'Raw Data with Analysis'!AV$12:AV$108))*$B$3</f>
        <v>-295781.908</v>
      </c>
      <c r="AW12" s="12" t="n">
        <f aca="false">SUMPRODUCT(('Raw Data with Analysis'!AW$12:AW$108&gt;0)*('Raw Data with Analysis'!BI$12:BI$108=0)*(-'Raw Data with Analysis'!AW$12:AW$108))*$B$3</f>
        <v>-211315.108</v>
      </c>
      <c r="AX12" s="12" t="n">
        <f aca="false">SUMPRODUCT(('Raw Data with Analysis'!AX$12:AX$108&gt;0)*('Raw Data with Analysis'!BJ$12:BJ$108=0)*(-'Raw Data with Analysis'!AX$12:AX$108))*$B$3</f>
        <v>-166315.108</v>
      </c>
      <c r="AY12" s="12" t="n">
        <f aca="false">SUMPRODUCT(('Raw Data with Analysis'!AY$12:AY$108&gt;0)*('Raw Data with Analysis'!BK$12:BK$108=0)*(-'Raw Data with Analysis'!AY$12:AY$108))*$B$3</f>
        <v>-151543.108</v>
      </c>
      <c r="AZ12" s="12" t="n">
        <f aca="false">SUMPRODUCT(('Raw Data with Analysis'!AZ$12:AZ$108&gt;0)*('Raw Data with Analysis'!BL$12:BL$108=0)*(-'Raw Data with Analysis'!AZ$12:AZ$108))*$B$3</f>
        <v>-153043.108</v>
      </c>
      <c r="BA12" s="12" t="n">
        <f aca="false">SUMPRODUCT(('Raw Data with Analysis'!BA$12:BA$108&gt;0)*('Raw Data with Analysis'!BM$12:BM$108=0)*(-'Raw Data with Analysis'!BA$12:BA$108))*$B$3</f>
        <v>-153043.108</v>
      </c>
      <c r="BB12" s="12" t="n">
        <f aca="false">SUMPRODUCT(('Raw Data with Analysis'!BB$12:BB$108&gt;0)*('Raw Data with Analysis'!BN$12:BN$108=0)*(-'Raw Data with Analysis'!BB$12:BB$108))*$B$3</f>
        <v>-206503.108</v>
      </c>
    </row>
    <row r="13" customFormat="false" ht="15" hidden="false" customHeight="false" outlineLevel="0" collapsed="false">
      <c r="A13" s="9" t="s">
        <v>117</v>
      </c>
      <c r="B13" s="13" t="n">
        <f aca="false">B8+B9+B10+B11+B12</f>
        <v>1642528.46334333</v>
      </c>
      <c r="C13" s="13" t="n">
        <f aca="false">C8+C9+C10+C11+C12</f>
        <v>1657911.58334333</v>
      </c>
      <c r="D13" s="13" t="n">
        <f aca="false">D8+D9+D10+D11+D12</f>
        <v>1663211.54334333</v>
      </c>
      <c r="E13" s="13" t="n">
        <f aca="false">E8+E9+E10+E11+E12</f>
        <v>1676958.06334333</v>
      </c>
      <c r="F13" s="13" t="n">
        <f aca="false">F8+F9+F10+F11+F12</f>
        <v>1677058.18334333</v>
      </c>
      <c r="G13" s="13" t="n">
        <f aca="false">G8+G9+G10+G11+G12</f>
        <v>1701332.74334333</v>
      </c>
      <c r="H13" s="13" t="n">
        <f aca="false">H8+H9+H10+H11+H12</f>
        <v>1669250.48334333</v>
      </c>
      <c r="I13" s="13" t="n">
        <f aca="false">I8+I9+I10+I11+I12</f>
        <v>1677000.48334333</v>
      </c>
      <c r="J13" s="13" t="n">
        <f aca="false">J8+J9+J10+J11+J12</f>
        <v>1778740.13551724</v>
      </c>
      <c r="K13" s="13" t="n">
        <f aca="false">K8+K9+K10+K11+K12</f>
        <v>1817114.05551724</v>
      </c>
      <c r="L13" s="13" t="n">
        <f aca="false">L8+L9+L10+L11+L12</f>
        <v>1845559.08320955</v>
      </c>
      <c r="M13" s="13" t="n">
        <f aca="false">M8+M9+M10+M11+M12</f>
        <v>1983039.13769231</v>
      </c>
      <c r="N13" s="13" t="n">
        <f aca="false">N8+N9+N10+N11+N12</f>
        <v>3576208.21067573</v>
      </c>
      <c r="O13" s="13" t="n">
        <f aca="false">O8+O9+O10+O11+O12</f>
        <v>3616713.32067573</v>
      </c>
      <c r="P13" s="13" t="n">
        <f aca="false">P8+P9+P10+P11+P12</f>
        <v>3606011.69067573</v>
      </c>
      <c r="Q13" s="13" t="n">
        <f aca="false">Q8+Q9+Q10+Q11+Q12</f>
        <v>3606262.69067573</v>
      </c>
      <c r="R13" s="13" t="n">
        <f aca="false">R8+R9+R10+R11+R12</f>
        <v>3637413.0053424</v>
      </c>
      <c r="S13" s="13" t="n">
        <f aca="false">S8+S9+S10+S11+S12</f>
        <v>3590370.44235897</v>
      </c>
      <c r="T13" s="13" t="n">
        <f aca="false">T8+T9+T10+T11+T12</f>
        <v>3594334.54235897</v>
      </c>
      <c r="U13" s="13" t="n">
        <f aca="false">U8+U9+U10+U11+U12</f>
        <v>3608902.87235897</v>
      </c>
      <c r="V13" s="13" t="n">
        <f aca="false">V8+V9+V10+V11+V12</f>
        <v>3669211.68235897</v>
      </c>
      <c r="W13" s="13" t="n">
        <f aca="false">W8+W9+W10+W11+W12</f>
        <v>3683061.49935897</v>
      </c>
      <c r="X13" s="13" t="n">
        <f aca="false">X8+X9+X10+X11+X12</f>
        <v>3683061.49935897</v>
      </c>
      <c r="Y13" s="13" t="n">
        <f aca="false">Y8+Y9+Y10+Y11+Y12</f>
        <v>3701018.00166666</v>
      </c>
      <c r="Z13" s="13" t="n">
        <f aca="false">Z8+Z9+Z10+Z11+Z12</f>
        <v>2713556.77566667</v>
      </c>
      <c r="AA13" s="13" t="n">
        <f aca="false">AA8+AA9+AA10+AA11+AA12</f>
        <v>2722446.52627273</v>
      </c>
      <c r="AB13" s="13" t="n">
        <f aca="false">AB8+AB9+AB10+AB11+AB12</f>
        <v>2714188.15627273</v>
      </c>
      <c r="AC13" s="13" t="n">
        <f aca="false">AC8+AC9+AC10+AC11+AC12</f>
        <v>2706188.15627273</v>
      </c>
      <c r="AD13" s="13" t="n">
        <f aca="false">AD8+AD9+AD10+AD11+AD12</f>
        <v>2706188.15627273</v>
      </c>
      <c r="AE13" s="13" t="n">
        <f aca="false">AE8+AE9+AE10+AE11+AE12</f>
        <v>2793208.49727273</v>
      </c>
      <c r="AF13" s="13" t="n">
        <f aca="false">AF8+AF9+AF10+AF11+AF12</f>
        <v>3035640.47909091</v>
      </c>
      <c r="AG13" s="13" t="n">
        <f aca="false">AG8+AG9+AG10+AG11+AG12</f>
        <v>3040414.02209091</v>
      </c>
      <c r="AH13" s="13" t="n">
        <f aca="false">AH8+AH9+AH10+AH11+AH12</f>
        <v>3035865.86209091</v>
      </c>
      <c r="AI13" s="13" t="n">
        <f aca="false">AI8+AI9+AI10+AI11+AI12</f>
        <v>3058548.20978322</v>
      </c>
      <c r="AJ13" s="13" t="n">
        <f aca="false">AJ8+AJ9+AJ10+AJ11+AJ12</f>
        <v>3114148.20978322</v>
      </c>
      <c r="AK13" s="13" t="n">
        <f aca="false">AK8+AK9+AK10+AK11+AK12</f>
        <v>3088517.05978322</v>
      </c>
      <c r="AL13" s="13" t="n">
        <f aca="false">AL8+AL9+AL10+AL11+AL12</f>
        <v>3228130.81251049</v>
      </c>
      <c r="AM13" s="13" t="n">
        <f aca="false">AM8+AM9+AM10+AM11+AM12</f>
        <v>3147771.69251049</v>
      </c>
      <c r="AN13" s="13" t="n">
        <f aca="false">AN8+AN9+AN10+AN11+AN12</f>
        <v>3249262.10662814</v>
      </c>
      <c r="AO13" s="13" t="n">
        <f aca="false">AO8+AO9+AO10+AO11+AO12</f>
        <v>3339259.86234242</v>
      </c>
      <c r="AP13" s="13" t="n">
        <f aca="false">AP8+AP9+AP10+AP11+AP12</f>
        <v>3775119.26734242</v>
      </c>
      <c r="AQ13" s="13" t="n">
        <f aca="false">AQ8+AQ9+AQ10+AQ11+AQ12</f>
        <v>3746285.19752424</v>
      </c>
      <c r="AR13" s="13" t="n">
        <f aca="false">AR8+AR9+AR10+AR11+AR12</f>
        <v>3664600.35752424</v>
      </c>
      <c r="AS13" s="13" t="n">
        <f aca="false">AS8+AS9+AS10+AS11+AS12</f>
        <v>3692905.67752424</v>
      </c>
      <c r="AT13" s="13" t="n">
        <f aca="false">AT8+AT9+AT10+AT11+AT12</f>
        <v>3615537.02752424</v>
      </c>
      <c r="AU13" s="13" t="n">
        <f aca="false">AU8+AU9+AU10+AU11+AU12</f>
        <v>3625659.02752424</v>
      </c>
      <c r="AV13" s="13" t="n">
        <f aca="false">AV8+AV9+AV10+AV11+AV12</f>
        <v>3619486.15411765</v>
      </c>
      <c r="AW13" s="13" t="n">
        <f aca="false">AW8+AW9+AW10+AW11+AW12</f>
        <v>3612081.25911765</v>
      </c>
      <c r="AX13" s="13" t="n">
        <f aca="false">AX8+AX9+AX10+AX11+AX12</f>
        <v>4563962.96911765</v>
      </c>
      <c r="AY13" s="13" t="n">
        <f aca="false">AY8+AY9+AY10+AY11+AY12</f>
        <v>4519524.42911765</v>
      </c>
      <c r="AZ13" s="13" t="n">
        <f aca="false">AZ8+AZ9+AZ10+AZ11+AZ12</f>
        <v>4538828.54911765</v>
      </c>
      <c r="BA13" s="13" t="n">
        <f aca="false">BA8+BA9+BA10+BA11+BA12</f>
        <v>4587699.18911765</v>
      </c>
      <c r="BB13" s="13" t="n">
        <f aca="false">BB8+BB9+BB10+BB11+BB12</f>
        <v>4534239.18911765</v>
      </c>
    </row>
    <row r="14" customFormat="false" ht="15" hidden="false" customHeight="false" outlineLevel="0" collapsed="false">
      <c r="A14" s="11" t="s">
        <v>118</v>
      </c>
      <c r="B14" s="12" t="n">
        <f aca="false">B13 - SUM('Raw Data with Analysis'!N$12:N$108)*$B$3</f>
        <v>0</v>
      </c>
      <c r="C14" s="12" t="n">
        <f aca="false">C13 - SUM('Raw Data with Analysis'!O$12:O$108)*$B$3</f>
        <v>0</v>
      </c>
      <c r="D14" s="12" t="n">
        <f aca="false">D13 - SUM('Raw Data with Analysis'!P$12:P$108)*$B$3</f>
        <v>0</v>
      </c>
      <c r="E14" s="12" t="n">
        <f aca="false">E13 - SUM('Raw Data with Analysis'!Q$12:Q$108)*$B$3</f>
        <v>0</v>
      </c>
      <c r="F14" s="12" t="n">
        <f aca="false">F13 - SUM('Raw Data with Analysis'!R$12:R$108)*$B$3</f>
        <v>0</v>
      </c>
      <c r="G14" s="12" t="n">
        <f aca="false">G13 - SUM('Raw Data with Analysis'!S$12:S$108)*$B$3</f>
        <v>0</v>
      </c>
      <c r="H14" s="12" t="n">
        <f aca="false">H13 - SUM('Raw Data with Analysis'!T$12:T$108)*$B$3</f>
        <v>0</v>
      </c>
      <c r="I14" s="12" t="n">
        <f aca="false">I13 - SUM('Raw Data with Analysis'!U$12:U$108)*$B$3</f>
        <v>0</v>
      </c>
      <c r="J14" s="12" t="n">
        <f aca="false">J13 - SUM('Raw Data with Analysis'!V$12:V$108)*$B$3</f>
        <v>0</v>
      </c>
      <c r="K14" s="12" t="n">
        <f aca="false">K13 - SUM('Raw Data with Analysis'!W$12:W$108)*$B$3</f>
        <v>0</v>
      </c>
      <c r="L14" s="12" t="n">
        <f aca="false">L13 - SUM('Raw Data with Analysis'!X$12:X$108)*$B$3</f>
        <v>0</v>
      </c>
      <c r="M14" s="12" t="n">
        <f aca="false">M13 - SUM('Raw Data with Analysis'!Y$12:Y$108)*$B$3</f>
        <v>0</v>
      </c>
      <c r="N14" s="12" t="n">
        <f aca="false">N13 - SUM('Raw Data with Analysis'!Z$12:Z$108)*$B$3</f>
        <v>0</v>
      </c>
      <c r="O14" s="12" t="n">
        <f aca="false">O13 - SUM('Raw Data with Analysis'!AA$12:AA$108)*$B$3</f>
        <v>0</v>
      </c>
      <c r="P14" s="12" t="n">
        <f aca="false">P13 - SUM('Raw Data with Analysis'!AB$12:AB$108)*$B$3</f>
        <v>0</v>
      </c>
      <c r="Q14" s="12" t="n">
        <f aca="false">Q13 - SUM('Raw Data with Analysis'!AC$12:AC$108)*$B$3</f>
        <v>0</v>
      </c>
      <c r="R14" s="12" t="n">
        <f aca="false">R13 - SUM('Raw Data with Analysis'!AD$12:AD$108)*$B$3</f>
        <v>0</v>
      </c>
      <c r="S14" s="12" t="n">
        <f aca="false">S13 - SUM('Raw Data with Analysis'!AE$12:AE$108)*$B$3</f>
        <v>0</v>
      </c>
      <c r="T14" s="12" t="n">
        <f aca="false">T13 - SUM('Raw Data with Analysis'!AF$12:AF$108)*$B$3</f>
        <v>0</v>
      </c>
      <c r="U14" s="12" t="n">
        <f aca="false">U13 - SUM('Raw Data with Analysis'!AG$12:AG$108)*$B$3</f>
        <v>0</v>
      </c>
      <c r="V14" s="12" t="n">
        <f aca="false">V13 - SUM('Raw Data with Analysis'!AH$12:AH$108)*$B$3</f>
        <v>0</v>
      </c>
      <c r="W14" s="12" t="n">
        <f aca="false">W13 - SUM('Raw Data with Analysis'!AI$12:AI$108)*$B$3</f>
        <v>0</v>
      </c>
      <c r="X14" s="12" t="n">
        <f aca="false">X13 - SUM('Raw Data with Analysis'!AJ$12:AJ$108)*$B$3</f>
        <v>0</v>
      </c>
      <c r="Y14" s="12" t="n">
        <f aca="false">Y13 - SUM('Raw Data with Analysis'!AK$12:AK$108)*$B$3</f>
        <v>0</v>
      </c>
      <c r="Z14" s="12" t="n">
        <f aca="false">Z13 - SUM('Raw Data with Analysis'!AL$12:AL$108)*$B$3</f>
        <v>0</v>
      </c>
      <c r="AA14" s="12" t="n">
        <f aca="false">AA13 - SUM('Raw Data with Analysis'!AM$12:AM$108)*$B$3</f>
        <v>0</v>
      </c>
      <c r="AB14" s="12" t="n">
        <f aca="false">AB13 - SUM('Raw Data with Analysis'!AN$12:AN$108)*$B$3</f>
        <v>0</v>
      </c>
      <c r="AC14" s="12" t="n">
        <f aca="false">AC13 - SUM('Raw Data with Analysis'!AO$12:AO$108)*$B$3</f>
        <v>0</v>
      </c>
      <c r="AD14" s="12" t="n">
        <f aca="false">AD13 - SUM('Raw Data with Analysis'!AP$12:AP$108)*$B$3</f>
        <v>0</v>
      </c>
      <c r="AE14" s="12" t="n">
        <f aca="false">AE13 - SUM('Raw Data with Analysis'!AQ$12:AQ$108)*$B$3</f>
        <v>0</v>
      </c>
      <c r="AF14" s="12" t="n">
        <f aca="false">AF13 - SUM('Raw Data with Analysis'!AR$12:AR$108)*$B$3</f>
        <v>0</v>
      </c>
      <c r="AG14" s="12" t="n">
        <f aca="false">AG13 - SUM('Raw Data with Analysis'!AS$12:AS$108)*$B$3</f>
        <v>0</v>
      </c>
      <c r="AH14" s="12" t="n">
        <f aca="false">AH13 - SUM('Raw Data with Analysis'!AT$12:AT$108)*$B$3</f>
        <v>0</v>
      </c>
      <c r="AI14" s="12" t="n">
        <f aca="false">AI13 - SUM('Raw Data with Analysis'!AU$12:AU$108)*$B$3</f>
        <v>0</v>
      </c>
      <c r="AJ14" s="12" t="n">
        <f aca="false">AJ13 - SUM('Raw Data with Analysis'!AV$12:AV$108)*$B$3</f>
        <v>0</v>
      </c>
      <c r="AK14" s="12" t="n">
        <f aca="false">AK13 - SUM('Raw Data with Analysis'!AW$12:AW$108)*$B$3</f>
        <v>0</v>
      </c>
      <c r="AL14" s="12" t="n">
        <f aca="false">AL13 - SUM('Raw Data with Analysis'!AX$12:AX$108)*$B$3</f>
        <v>0</v>
      </c>
      <c r="AM14" s="12" t="n">
        <f aca="false">AM13 - SUM('Raw Data with Analysis'!AY$12:AY$108)*$B$3</f>
        <v>0</v>
      </c>
      <c r="AN14" s="12" t="n">
        <f aca="false">AN13 - SUM('Raw Data with Analysis'!AZ$12:AZ$108)*$B$3</f>
        <v>0</v>
      </c>
      <c r="AO14" s="12" t="n">
        <f aca="false">AO13 - SUM('Raw Data with Analysis'!BA$12:BA$108)*$B$3</f>
        <v>0</v>
      </c>
      <c r="AP14" s="12" t="n">
        <f aca="false">AP13 - SUM('Raw Data with Analysis'!BB$12:BB$108)*$B$3</f>
        <v>0</v>
      </c>
      <c r="AQ14" s="12" t="n">
        <f aca="false">AQ13 - SUM('Raw Data with Analysis'!BC$12:BC$108)*$B$3</f>
        <v>0</v>
      </c>
      <c r="AR14" s="12" t="n">
        <f aca="false">AR13 - SUM('Raw Data with Analysis'!BD$12:BD$108)*$B$3</f>
        <v>0</v>
      </c>
      <c r="AS14" s="12" t="n">
        <f aca="false">AS13 - SUM('Raw Data with Analysis'!BE$12:BE$108)*$B$3</f>
        <v>0</v>
      </c>
      <c r="AT14" s="12" t="n">
        <f aca="false">AT13 - SUM('Raw Data with Analysis'!BF$12:BF$108)*$B$3</f>
        <v>0</v>
      </c>
      <c r="AU14" s="12" t="n">
        <f aca="false">AU13 - SUM('Raw Data with Analysis'!BG$12:BG$108)*$B$3</f>
        <v>0</v>
      </c>
      <c r="AV14" s="12" t="n">
        <f aca="false">AV13 - SUM('Raw Data with Analysis'!BH$12:BH$108)*$B$3</f>
        <v>0</v>
      </c>
      <c r="AW14" s="12" t="n">
        <f aca="false">AW13 - SUM('Raw Data with Analysis'!BI$12:BI$108)*$B$3</f>
        <v>0</v>
      </c>
      <c r="AX14" s="12" t="n">
        <f aca="false">AX13 - SUM('Raw Data with Analysis'!BJ$12:BJ$108)*$B$3</f>
        <v>0</v>
      </c>
      <c r="AY14" s="12" t="n">
        <f aca="false">AY13 - SUM('Raw Data with Analysis'!BK$12:BK$108)*$B$3</f>
        <v>0</v>
      </c>
      <c r="AZ14" s="12" t="n">
        <f aca="false">AZ13 - SUM('Raw Data with Analysis'!BL$12:BL$108)*$B$3</f>
        <v>0</v>
      </c>
      <c r="BA14" s="12" t="n">
        <f aca="false">BA13 - SUM('Raw Data with Analysis'!BM$12:BM$108)*$B$3</f>
        <v>0</v>
      </c>
      <c r="BB14" s="12" t="n">
        <f aca="false">BB13 - SUM('Raw Data with Analysis'!BN$12:BN$108)*$B$3</f>
        <v>0</v>
      </c>
    </row>
    <row r="16" customFormat="false" ht="15" hidden="false" customHeight="false" outlineLevel="0" collapsed="false">
      <c r="A16" s="14" t="s">
        <v>119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 customFormat="false" ht="15" hidden="false" customHeight="false" outlineLevel="0" collapsed="false">
      <c r="A17" s="11" t="s">
        <v>120</v>
      </c>
      <c r="B17" s="12" t="n">
        <f aca="false">HLOOKUP(SUBSTITUTE(B$6,"vs ",""),'Raw Data with Analysis'!$B$1:$BN$2,2,FALSE())</f>
        <v>37</v>
      </c>
      <c r="C17" s="12" t="n">
        <f aca="false">HLOOKUP(SUBSTITUTE(C$6,"vs ",""),'Raw Data with Analysis'!$B$1:$BN$2,2,FALSE())</f>
        <v>37</v>
      </c>
      <c r="D17" s="12" t="n">
        <f aca="false">HLOOKUP(SUBSTITUTE(D$6,"vs ",""),'Raw Data with Analysis'!$B$1:$BN$2,2,FALSE())</f>
        <v>37</v>
      </c>
      <c r="E17" s="12" t="n">
        <f aca="false">HLOOKUP(SUBSTITUTE(E$6,"vs ",""),'Raw Data with Analysis'!$B$1:$BN$2,2,FALSE())</f>
        <v>37</v>
      </c>
      <c r="F17" s="12" t="n">
        <f aca="false">HLOOKUP(SUBSTITUTE(F$6,"vs ",""),'Raw Data with Analysis'!$B$1:$BN$2,2,FALSE())</f>
        <v>37</v>
      </c>
      <c r="G17" s="12" t="n">
        <f aca="false">HLOOKUP(SUBSTITUTE(G$6,"vs ",""),'Raw Data with Analysis'!$B$1:$BN$2,2,FALSE())</f>
        <v>39</v>
      </c>
      <c r="H17" s="12" t="n">
        <f aca="false">HLOOKUP(SUBSTITUTE(H$6,"vs ",""),'Raw Data with Analysis'!$B$1:$BN$2,2,FALSE())</f>
        <v>39</v>
      </c>
      <c r="I17" s="12" t="n">
        <f aca="false">HLOOKUP(SUBSTITUTE(I$6,"vs ",""),'Raw Data with Analysis'!$B$1:$BN$2,2,FALSE())</f>
        <v>41</v>
      </c>
      <c r="J17" s="12" t="n">
        <f aca="false">HLOOKUP(SUBSTITUTE(J$6,"vs ",""),'Raw Data with Analysis'!$B$1:$BN$2,2,FALSE())</f>
        <v>41</v>
      </c>
      <c r="K17" s="12" t="n">
        <f aca="false">HLOOKUP(SUBSTITUTE(K$6,"vs ",""),'Raw Data with Analysis'!$B$1:$BN$2,2,FALSE())</f>
        <v>42</v>
      </c>
      <c r="L17" s="12" t="n">
        <f aca="false">HLOOKUP(SUBSTITUTE(L$6,"vs ",""),'Raw Data with Analysis'!$B$1:$BN$2,2,FALSE())</f>
        <v>44</v>
      </c>
      <c r="M17" s="12" t="n">
        <f aca="false">HLOOKUP(SUBSTITUTE(M$6,"vs ",""),'Raw Data with Analysis'!$B$1:$BN$2,2,FALSE())</f>
        <v>44</v>
      </c>
      <c r="N17" s="12" t="n">
        <f aca="false">HLOOKUP(SUBSTITUTE(N$6,"vs ",""),'Raw Data with Analysis'!$B$1:$BN$2,2,FALSE())</f>
        <v>44</v>
      </c>
      <c r="O17" s="12" t="n">
        <f aca="false">HLOOKUP(SUBSTITUTE(O$6,"vs ",""),'Raw Data with Analysis'!$B$1:$BN$2,2,FALSE())</f>
        <v>45</v>
      </c>
      <c r="P17" s="12" t="n">
        <f aca="false">HLOOKUP(SUBSTITUTE(P$6,"vs ",""),'Raw Data with Analysis'!$B$1:$BN$2,2,FALSE())</f>
        <v>45</v>
      </c>
      <c r="Q17" s="12" t="n">
        <f aca="false">HLOOKUP(SUBSTITUTE(Q$6,"vs ",""),'Raw Data with Analysis'!$B$1:$BN$2,2,FALSE())</f>
        <v>45</v>
      </c>
      <c r="R17" s="12" t="n">
        <f aca="false">HLOOKUP(SUBSTITUTE(R$6,"vs ",""),'Raw Data with Analysis'!$B$1:$BN$2,2,FALSE())</f>
        <v>45</v>
      </c>
      <c r="S17" s="12" t="n">
        <f aca="false">HLOOKUP(SUBSTITUTE(S$6,"vs ",""),'Raw Data with Analysis'!$B$1:$BN$2,2,FALSE())</f>
        <v>43</v>
      </c>
      <c r="T17" s="12" t="n">
        <f aca="false">HLOOKUP(SUBSTITUTE(T$6,"vs ",""),'Raw Data with Analysis'!$B$1:$BN$2,2,FALSE())</f>
        <v>42</v>
      </c>
      <c r="U17" s="12" t="n">
        <f aca="false">HLOOKUP(SUBSTITUTE(U$6,"vs ",""),'Raw Data with Analysis'!$B$1:$BN$2,2,FALSE())</f>
        <v>44</v>
      </c>
      <c r="V17" s="12" t="n">
        <f aca="false">HLOOKUP(SUBSTITUTE(V$6,"vs ",""),'Raw Data with Analysis'!$B$1:$BN$2,2,FALSE())</f>
        <v>45</v>
      </c>
      <c r="W17" s="12" t="n">
        <f aca="false">HLOOKUP(SUBSTITUTE(W$6,"vs ",""),'Raw Data with Analysis'!$B$1:$BN$2,2,FALSE())</f>
        <v>46</v>
      </c>
      <c r="X17" s="12" t="n">
        <f aca="false">HLOOKUP(SUBSTITUTE(X$6,"vs ",""),'Raw Data with Analysis'!$B$1:$BN$2,2,FALSE())</f>
        <v>48</v>
      </c>
      <c r="Y17" s="12" t="n">
        <f aca="false">HLOOKUP(SUBSTITUTE(Y$6,"vs ",""),'Raw Data with Analysis'!$B$1:$BN$2,2,FALSE())</f>
        <v>50</v>
      </c>
      <c r="Z17" s="12" t="n">
        <f aca="false">HLOOKUP(SUBSTITUTE(Z$6,"vs ",""),'Raw Data with Analysis'!$B$1:$BN$2,2,FALSE())</f>
        <v>52</v>
      </c>
      <c r="AA17" s="12" t="n">
        <f aca="false">HLOOKUP(SUBSTITUTE(AA$6,"vs ",""),'Raw Data with Analysis'!$B$1:$BN$2,2,FALSE())</f>
        <v>54</v>
      </c>
      <c r="AB17" s="12" t="n">
        <f aca="false">HLOOKUP(SUBSTITUTE(AB$6,"vs ",""),'Raw Data with Analysis'!$B$1:$BN$2,2,FALSE())</f>
        <v>54</v>
      </c>
      <c r="AC17" s="12" t="n">
        <f aca="false">HLOOKUP(SUBSTITUTE(AC$6,"vs ",""),'Raw Data with Analysis'!$B$1:$BN$2,2,FALSE())</f>
        <v>55</v>
      </c>
      <c r="AD17" s="12" t="n">
        <f aca="false">HLOOKUP(SUBSTITUTE(AD$6,"vs ",""),'Raw Data with Analysis'!$B$1:$BN$2,2,FALSE())</f>
        <v>55</v>
      </c>
      <c r="AE17" s="12" t="n">
        <f aca="false">HLOOKUP(SUBSTITUTE(AE$6,"vs ",""),'Raw Data with Analysis'!$B$1:$BN$2,2,FALSE())</f>
        <v>58</v>
      </c>
      <c r="AF17" s="12" t="n">
        <f aca="false">HLOOKUP(SUBSTITUTE(AF$6,"vs ",""),'Raw Data with Analysis'!$B$1:$BN$2,2,FALSE())</f>
        <v>57</v>
      </c>
      <c r="AG17" s="12" t="n">
        <f aca="false">HLOOKUP(SUBSTITUTE(AG$6,"vs ",""),'Raw Data with Analysis'!$B$1:$BN$2,2,FALSE())</f>
        <v>58</v>
      </c>
      <c r="AH17" s="12" t="n">
        <f aca="false">HLOOKUP(SUBSTITUTE(AH$6,"vs ",""),'Raw Data with Analysis'!$B$1:$BN$2,2,FALSE())</f>
        <v>59</v>
      </c>
      <c r="AI17" s="12" t="n">
        <f aca="false">HLOOKUP(SUBSTITUTE(AI$6,"vs ",""),'Raw Data with Analysis'!$B$1:$BN$2,2,FALSE())</f>
        <v>59</v>
      </c>
      <c r="AJ17" s="12" t="n">
        <f aca="false">HLOOKUP(SUBSTITUTE(AJ$6,"vs ",""),'Raw Data with Analysis'!$B$1:$BN$2,2,FALSE())</f>
        <v>59</v>
      </c>
      <c r="AK17" s="12" t="n">
        <f aca="false">HLOOKUP(SUBSTITUTE(AK$6,"vs ",""),'Raw Data with Analysis'!$B$1:$BN$2,2,FALSE())</f>
        <v>60</v>
      </c>
      <c r="AL17" s="12" t="n">
        <f aca="false">HLOOKUP(SUBSTITUTE(AL$6,"vs ",""),'Raw Data with Analysis'!$B$1:$BN$2,2,FALSE())</f>
        <v>62</v>
      </c>
      <c r="AM17" s="12" t="n">
        <f aca="false">HLOOKUP(SUBSTITUTE(AM$6,"vs ",""),'Raw Data with Analysis'!$B$1:$BN$2,2,FALSE())</f>
        <v>64</v>
      </c>
      <c r="AN17" s="12" t="n">
        <f aca="false">HLOOKUP(SUBSTITUTE(AN$6,"vs ",""),'Raw Data with Analysis'!$B$1:$BN$2,2,FALSE())</f>
        <v>63</v>
      </c>
      <c r="AO17" s="12" t="n">
        <f aca="false">HLOOKUP(SUBSTITUTE(AO$6,"vs ",""),'Raw Data with Analysis'!$B$1:$BN$2,2,FALSE())</f>
        <v>62</v>
      </c>
      <c r="AP17" s="12" t="n">
        <f aca="false">HLOOKUP(SUBSTITUTE(AP$6,"vs ",""),'Raw Data with Analysis'!$B$1:$BN$2,2,FALSE())</f>
        <v>62</v>
      </c>
      <c r="AQ17" s="12" t="n">
        <f aca="false">HLOOKUP(SUBSTITUTE(AQ$6,"vs ",""),'Raw Data with Analysis'!$B$1:$BN$2,2,FALSE())</f>
        <v>62</v>
      </c>
      <c r="AR17" s="12" t="n">
        <f aca="false">HLOOKUP(SUBSTITUTE(AR$6,"vs ",""),'Raw Data with Analysis'!$B$1:$BN$2,2,FALSE())</f>
        <v>62</v>
      </c>
      <c r="AS17" s="12" t="n">
        <f aca="false">HLOOKUP(SUBSTITUTE(AS$6,"vs ",""),'Raw Data with Analysis'!$B$1:$BN$2,2,FALSE())</f>
        <v>60</v>
      </c>
      <c r="AT17" s="12" t="n">
        <f aca="false">HLOOKUP(SUBSTITUTE(AT$6,"vs ",""),'Raw Data with Analysis'!$B$1:$BN$2,2,FALSE())</f>
        <v>60</v>
      </c>
      <c r="AU17" s="12" t="n">
        <f aca="false">HLOOKUP(SUBSTITUTE(AU$6,"vs ",""),'Raw Data with Analysis'!$B$1:$BN$2,2,FALSE())</f>
        <v>62</v>
      </c>
      <c r="AV17" s="12" t="n">
        <f aca="false">HLOOKUP(SUBSTITUTE(AV$6,"vs ",""),'Raw Data with Analysis'!$B$1:$BN$2,2,FALSE())</f>
        <v>62</v>
      </c>
      <c r="AW17" s="12" t="n">
        <f aca="false">HLOOKUP(SUBSTITUTE(AW$6,"vs ",""),'Raw Data with Analysis'!$B$1:$BN$2,2,FALSE())</f>
        <v>61</v>
      </c>
      <c r="AX17" s="12" t="n">
        <f aca="false">HLOOKUP(SUBSTITUTE(AX$6,"vs ",""),'Raw Data with Analysis'!$B$1:$BN$2,2,FALSE())</f>
        <v>60</v>
      </c>
      <c r="AY17" s="12" t="n">
        <f aca="false">HLOOKUP(SUBSTITUTE(AY$6,"vs ",""),'Raw Data with Analysis'!$B$1:$BN$2,2,FALSE())</f>
        <v>61</v>
      </c>
      <c r="AZ17" s="12" t="n">
        <f aca="false">HLOOKUP(SUBSTITUTE(AZ$6,"vs ",""),'Raw Data with Analysis'!$B$1:$BN$2,2,FALSE())</f>
        <v>64</v>
      </c>
      <c r="BA17" s="12" t="n">
        <f aca="false">HLOOKUP(SUBSTITUTE(BA$6,"vs ",""),'Raw Data with Analysis'!$B$1:$BN$2,2,FALSE())</f>
        <v>65</v>
      </c>
      <c r="BB17" s="12" t="n">
        <f aca="false">HLOOKUP(SUBSTITUTE(BB$6,"vs ",""),'Raw Data with Analysis'!$B$1:$BN$2,2,FALSE())</f>
        <v>66</v>
      </c>
    </row>
    <row r="18" customFormat="false" ht="15" hidden="false" customHeight="false" outlineLevel="0" collapsed="false">
      <c r="A18" s="11" t="s">
        <v>121</v>
      </c>
      <c r="B18" s="12" t="n">
        <f aca="false">HLOOKUP(B$5,'Raw Data with Analysis'!$B$1:$BN$2,2,FALSE())</f>
        <v>44</v>
      </c>
      <c r="C18" s="12" t="n">
        <f aca="false">HLOOKUP(C$5,'Raw Data with Analysis'!$B$1:$BN$2,2,FALSE())</f>
        <v>45</v>
      </c>
      <c r="D18" s="12" t="n">
        <f aca="false">HLOOKUP(D$5,'Raw Data with Analysis'!$B$1:$BN$2,2,FALSE())</f>
        <v>45</v>
      </c>
      <c r="E18" s="12" t="n">
        <f aca="false">HLOOKUP(E$5,'Raw Data with Analysis'!$B$1:$BN$2,2,FALSE())</f>
        <v>45</v>
      </c>
      <c r="F18" s="12" t="n">
        <f aca="false">HLOOKUP(F$5,'Raw Data with Analysis'!$B$1:$BN$2,2,FALSE())</f>
        <v>45</v>
      </c>
      <c r="G18" s="12" t="n">
        <f aca="false">HLOOKUP(G$5,'Raw Data with Analysis'!$B$1:$BN$2,2,FALSE())</f>
        <v>43</v>
      </c>
      <c r="H18" s="12" t="n">
        <f aca="false">HLOOKUP(H$5,'Raw Data with Analysis'!$B$1:$BN$2,2,FALSE())</f>
        <v>42</v>
      </c>
      <c r="I18" s="12" t="n">
        <f aca="false">HLOOKUP(I$5,'Raw Data with Analysis'!$B$1:$BN$2,2,FALSE())</f>
        <v>44</v>
      </c>
      <c r="J18" s="12" t="n">
        <f aca="false">HLOOKUP(J$5,'Raw Data with Analysis'!$B$1:$BN$2,2,FALSE())</f>
        <v>45</v>
      </c>
      <c r="K18" s="12" t="n">
        <f aca="false">HLOOKUP(K$5,'Raw Data with Analysis'!$B$1:$BN$2,2,FALSE())</f>
        <v>46</v>
      </c>
      <c r="L18" s="12" t="n">
        <f aca="false">HLOOKUP(L$5,'Raw Data with Analysis'!$B$1:$BN$2,2,FALSE())</f>
        <v>48</v>
      </c>
      <c r="M18" s="12" t="n">
        <f aca="false">HLOOKUP(M$5,'Raw Data with Analysis'!$B$1:$BN$2,2,FALSE())</f>
        <v>50</v>
      </c>
      <c r="N18" s="12" t="n">
        <f aca="false">HLOOKUP(N$5,'Raw Data with Analysis'!$B$1:$BN$2,2,FALSE())</f>
        <v>52</v>
      </c>
      <c r="O18" s="12" t="n">
        <f aca="false">HLOOKUP(O$5,'Raw Data with Analysis'!$B$1:$BN$2,2,FALSE())</f>
        <v>54</v>
      </c>
      <c r="P18" s="12" t="n">
        <f aca="false">HLOOKUP(P$5,'Raw Data with Analysis'!$B$1:$BN$2,2,FALSE())</f>
        <v>54</v>
      </c>
      <c r="Q18" s="12" t="n">
        <f aca="false">HLOOKUP(Q$5,'Raw Data with Analysis'!$B$1:$BN$2,2,FALSE())</f>
        <v>55</v>
      </c>
      <c r="R18" s="12" t="n">
        <f aca="false">HLOOKUP(R$5,'Raw Data with Analysis'!$B$1:$BN$2,2,FALSE())</f>
        <v>55</v>
      </c>
      <c r="S18" s="12" t="n">
        <f aca="false">HLOOKUP(S$5,'Raw Data with Analysis'!$B$1:$BN$2,2,FALSE())</f>
        <v>58</v>
      </c>
      <c r="T18" s="12" t="n">
        <f aca="false">HLOOKUP(T$5,'Raw Data with Analysis'!$B$1:$BN$2,2,FALSE())</f>
        <v>57</v>
      </c>
      <c r="U18" s="12" t="n">
        <f aca="false">HLOOKUP(U$5,'Raw Data with Analysis'!$B$1:$BN$2,2,FALSE())</f>
        <v>58</v>
      </c>
      <c r="V18" s="12" t="n">
        <f aca="false">HLOOKUP(V$5,'Raw Data with Analysis'!$B$1:$BN$2,2,FALSE())</f>
        <v>59</v>
      </c>
      <c r="W18" s="12" t="n">
        <f aca="false">HLOOKUP(W$5,'Raw Data with Analysis'!$B$1:$BN$2,2,FALSE())</f>
        <v>59</v>
      </c>
      <c r="X18" s="12" t="n">
        <f aca="false">HLOOKUP(X$5,'Raw Data with Analysis'!$B$1:$BN$2,2,FALSE())</f>
        <v>59</v>
      </c>
      <c r="Y18" s="12" t="n">
        <f aca="false">HLOOKUP(Y$5,'Raw Data with Analysis'!$B$1:$BN$2,2,FALSE())</f>
        <v>60</v>
      </c>
      <c r="Z18" s="12" t="n">
        <f aca="false">HLOOKUP(Z$5,'Raw Data with Analysis'!$B$1:$BN$2,2,FALSE())</f>
        <v>62</v>
      </c>
      <c r="AA18" s="12" t="n">
        <f aca="false">HLOOKUP(AA$5,'Raw Data with Analysis'!$B$1:$BN$2,2,FALSE())</f>
        <v>64</v>
      </c>
      <c r="AB18" s="12" t="n">
        <f aca="false">HLOOKUP(AB$5,'Raw Data with Analysis'!$B$1:$BN$2,2,FALSE())</f>
        <v>63</v>
      </c>
      <c r="AC18" s="12" t="n">
        <f aca="false">HLOOKUP(AC$5,'Raw Data with Analysis'!$B$1:$BN$2,2,FALSE())</f>
        <v>62</v>
      </c>
      <c r="AD18" s="12" t="n">
        <f aca="false">HLOOKUP(AD$5,'Raw Data with Analysis'!$B$1:$BN$2,2,FALSE())</f>
        <v>62</v>
      </c>
      <c r="AE18" s="12" t="n">
        <f aca="false">HLOOKUP(AE$5,'Raw Data with Analysis'!$B$1:$BN$2,2,FALSE())</f>
        <v>62</v>
      </c>
      <c r="AF18" s="12" t="n">
        <f aca="false">HLOOKUP(AF$5,'Raw Data with Analysis'!$B$1:$BN$2,2,FALSE())</f>
        <v>62</v>
      </c>
      <c r="AG18" s="12" t="n">
        <f aca="false">HLOOKUP(AG$5,'Raw Data with Analysis'!$B$1:$BN$2,2,FALSE())</f>
        <v>60</v>
      </c>
      <c r="AH18" s="12" t="n">
        <f aca="false">HLOOKUP(AH$5,'Raw Data with Analysis'!$B$1:$BN$2,2,FALSE())</f>
        <v>60</v>
      </c>
      <c r="AI18" s="12" t="n">
        <f aca="false">HLOOKUP(AI$5,'Raw Data with Analysis'!$B$1:$BN$2,2,FALSE())</f>
        <v>62</v>
      </c>
      <c r="AJ18" s="12" t="n">
        <f aca="false">HLOOKUP(AJ$5,'Raw Data with Analysis'!$B$1:$BN$2,2,FALSE())</f>
        <v>62</v>
      </c>
      <c r="AK18" s="12" t="n">
        <f aca="false">HLOOKUP(AK$5,'Raw Data with Analysis'!$B$1:$BN$2,2,FALSE())</f>
        <v>61</v>
      </c>
      <c r="AL18" s="12" t="n">
        <f aca="false">HLOOKUP(AL$5,'Raw Data with Analysis'!$B$1:$BN$2,2,FALSE())</f>
        <v>60</v>
      </c>
      <c r="AM18" s="12" t="n">
        <f aca="false">HLOOKUP(AM$5,'Raw Data with Analysis'!$B$1:$BN$2,2,FALSE())</f>
        <v>61</v>
      </c>
      <c r="AN18" s="12" t="n">
        <f aca="false">HLOOKUP(AN$5,'Raw Data with Analysis'!$B$1:$BN$2,2,FALSE())</f>
        <v>64</v>
      </c>
      <c r="AO18" s="12" t="n">
        <f aca="false">HLOOKUP(AO$5,'Raw Data with Analysis'!$B$1:$BN$2,2,FALSE())</f>
        <v>65</v>
      </c>
      <c r="AP18" s="12" t="n">
        <f aca="false">HLOOKUP(AP$5,'Raw Data with Analysis'!$B$1:$BN$2,2,FALSE())</f>
        <v>66</v>
      </c>
      <c r="AQ18" s="12" t="n">
        <f aca="false">HLOOKUP(AQ$5,'Raw Data with Analysis'!$B$1:$BN$2,2,FALSE())</f>
        <v>65</v>
      </c>
      <c r="AR18" s="12" t="n">
        <f aca="false">HLOOKUP(AR$5,'Raw Data with Analysis'!$B$1:$BN$2,2,FALSE())</f>
        <v>64</v>
      </c>
      <c r="AS18" s="12" t="n">
        <f aca="false">HLOOKUP(AS$5,'Raw Data with Analysis'!$B$1:$BN$2,2,FALSE())</f>
        <v>64</v>
      </c>
      <c r="AT18" s="12" t="n">
        <f aca="false">HLOOKUP(AT$5,'Raw Data with Analysis'!$B$1:$BN$2,2,FALSE())</f>
        <v>63</v>
      </c>
      <c r="AU18" s="12" t="n">
        <f aca="false">HLOOKUP(AU$5,'Raw Data with Analysis'!$B$1:$BN$2,2,FALSE())</f>
        <v>62</v>
      </c>
      <c r="AV18" s="12" t="n">
        <f aca="false">HLOOKUP(AV$5,'Raw Data with Analysis'!$B$1:$BN$2,2,FALSE())</f>
        <v>62</v>
      </c>
      <c r="AW18" s="12" t="n">
        <f aca="false">HLOOKUP(AW$5,'Raw Data with Analysis'!$B$1:$BN$2,2,FALSE())</f>
        <v>62</v>
      </c>
      <c r="AX18" s="12" t="n">
        <f aca="false">HLOOKUP(AX$5,'Raw Data with Analysis'!$B$1:$BN$2,2,FALSE())</f>
        <v>62</v>
      </c>
      <c r="AY18" s="12" t="n">
        <f aca="false">HLOOKUP(AY$5,'Raw Data with Analysis'!$B$1:$BN$2,2,FALSE())</f>
        <v>60</v>
      </c>
      <c r="AZ18" s="12" t="n">
        <f aca="false">HLOOKUP(AZ$5,'Raw Data with Analysis'!$B$1:$BN$2,2,FALSE())</f>
        <v>59</v>
      </c>
      <c r="BA18" s="12" t="n">
        <f aca="false">HLOOKUP(BA$5,'Raw Data with Analysis'!$B$1:$BN$2,2,FALSE())</f>
        <v>59</v>
      </c>
      <c r="BB18" s="12" t="n">
        <f aca="false">HLOOKUP(BB$5,'Raw Data with Analysis'!$B$1:$BN$2,2,FALSE())</f>
        <v>58</v>
      </c>
    </row>
    <row r="19" customFormat="false" ht="15" hidden="false" customHeight="false" outlineLevel="0" collapsed="false">
      <c r="A19" s="11" t="s">
        <v>122</v>
      </c>
      <c r="B19" s="15" t="n">
        <f aca="false">B17 - HLOOKUP(B$5,'Raw Data with Analysis'!$B$1:$BN$3,3,FALSE())</f>
        <v>6</v>
      </c>
      <c r="C19" s="15" t="n">
        <f aca="false">C17 - HLOOKUP(C$5,'Raw Data with Analysis'!$B$1:$BN$3,3,FALSE())</f>
        <v>6</v>
      </c>
      <c r="D19" s="15" t="n">
        <f aca="false">D17 - HLOOKUP(D$5,'Raw Data with Analysis'!$B$1:$BN$3,3,FALSE())</f>
        <v>7</v>
      </c>
      <c r="E19" s="15" t="n">
        <f aca="false">E17 - HLOOKUP(E$5,'Raw Data with Analysis'!$B$1:$BN$3,3,FALSE())</f>
        <v>7</v>
      </c>
      <c r="F19" s="15" t="n">
        <f aca="false">F17 - HLOOKUP(F$5,'Raw Data with Analysis'!$B$1:$BN$3,3,FALSE())</f>
        <v>7</v>
      </c>
      <c r="G19" s="15" t="n">
        <f aca="false">G17 - HLOOKUP(G$5,'Raw Data with Analysis'!$B$1:$BN$3,3,FALSE())</f>
        <v>7</v>
      </c>
      <c r="H19" s="15" t="n">
        <f aca="false">H17 - HLOOKUP(H$5,'Raw Data with Analysis'!$B$1:$BN$3,3,FALSE())</f>
        <v>6</v>
      </c>
      <c r="I19" s="15" t="n">
        <f aca="false">I17 - HLOOKUP(I$5,'Raw Data with Analysis'!$B$1:$BN$3,3,FALSE())</f>
        <v>8</v>
      </c>
      <c r="J19" s="15" t="n">
        <f aca="false">J17 - HLOOKUP(J$5,'Raw Data with Analysis'!$B$1:$BN$3,3,FALSE())</f>
        <v>7</v>
      </c>
      <c r="K19" s="15" t="n">
        <f aca="false">K17 - HLOOKUP(K$5,'Raw Data with Analysis'!$B$1:$BN$3,3,FALSE())</f>
        <v>7</v>
      </c>
      <c r="L19" s="15" t="n">
        <f aca="false">L17 - HLOOKUP(L$5,'Raw Data with Analysis'!$B$1:$BN$3,3,FALSE())</f>
        <v>8</v>
      </c>
      <c r="M19" s="15" t="n">
        <f aca="false">M17 - HLOOKUP(M$5,'Raw Data with Analysis'!$B$1:$BN$3,3,FALSE())</f>
        <v>9</v>
      </c>
      <c r="N19" s="15" t="n">
        <f aca="false">N17 - HLOOKUP(N$5,'Raw Data with Analysis'!$B$1:$BN$3,3,FALSE())</f>
        <v>9</v>
      </c>
      <c r="O19" s="15" t="n">
        <f aca="false">O17 - HLOOKUP(O$5,'Raw Data with Analysis'!$B$1:$BN$3,3,FALSE())</f>
        <v>9</v>
      </c>
      <c r="P19" s="15" t="n">
        <f aca="false">P17 - HLOOKUP(P$5,'Raw Data with Analysis'!$B$1:$BN$3,3,FALSE())</f>
        <v>8</v>
      </c>
      <c r="Q19" s="15" t="n">
        <f aca="false">Q17 - HLOOKUP(Q$5,'Raw Data with Analysis'!$B$1:$BN$3,3,FALSE())</f>
        <v>7</v>
      </c>
      <c r="R19" s="15" t="n">
        <f aca="false">R17 - HLOOKUP(R$5,'Raw Data with Analysis'!$B$1:$BN$3,3,FALSE())</f>
        <v>8</v>
      </c>
      <c r="S19" s="15" t="n">
        <f aca="false">S17 - HLOOKUP(S$5,'Raw Data with Analysis'!$B$1:$BN$3,3,FALSE())</f>
        <v>5</v>
      </c>
      <c r="T19" s="15" t="n">
        <f aca="false">T17 - HLOOKUP(T$5,'Raw Data with Analysis'!$B$1:$BN$3,3,FALSE())</f>
        <v>4</v>
      </c>
      <c r="U19" s="15" t="n">
        <f aca="false">U17 - HLOOKUP(U$5,'Raw Data with Analysis'!$B$1:$BN$3,3,FALSE())</f>
        <v>4</v>
      </c>
      <c r="V19" s="15" t="n">
        <f aca="false">V17 - HLOOKUP(V$5,'Raw Data with Analysis'!$B$1:$BN$3,3,FALSE())</f>
        <v>4</v>
      </c>
      <c r="W19" s="15" t="n">
        <f aca="false">W17 - HLOOKUP(W$5,'Raw Data with Analysis'!$B$1:$BN$3,3,FALSE())</f>
        <v>3</v>
      </c>
      <c r="X19" s="15" t="n">
        <f aca="false">X17 - HLOOKUP(X$5,'Raw Data with Analysis'!$B$1:$BN$3,3,FALSE())</f>
        <v>3</v>
      </c>
      <c r="Y19" s="15" t="n">
        <f aca="false">Y17 - HLOOKUP(Y$5,'Raw Data with Analysis'!$B$1:$BN$3,3,FALSE())</f>
        <v>4</v>
      </c>
      <c r="Z19" s="15" t="n">
        <f aca="false">Z17 - HLOOKUP(Z$5,'Raw Data with Analysis'!$B$1:$BN$3,3,FALSE())</f>
        <v>4</v>
      </c>
      <c r="AA19" s="15" t="n">
        <f aca="false">AA17 - HLOOKUP(AA$5,'Raw Data with Analysis'!$B$1:$BN$3,3,FALSE())</f>
        <v>4</v>
      </c>
      <c r="AB19" s="15" t="n">
        <f aca="false">AB17 - HLOOKUP(AB$5,'Raw Data with Analysis'!$B$1:$BN$3,3,FALSE())</f>
        <v>5</v>
      </c>
      <c r="AC19" s="15" t="n">
        <f aca="false">AC17 - HLOOKUP(AC$5,'Raw Data with Analysis'!$B$1:$BN$3,3,FALSE())</f>
        <v>6</v>
      </c>
      <c r="AD19" s="15" t="n">
        <f aca="false">AD17 - HLOOKUP(AD$5,'Raw Data with Analysis'!$B$1:$BN$3,3,FALSE())</f>
        <v>5</v>
      </c>
      <c r="AE19" s="15" t="n">
        <f aca="false">AE17 - HLOOKUP(AE$5,'Raw Data with Analysis'!$B$1:$BN$3,3,FALSE())</f>
        <v>6</v>
      </c>
      <c r="AF19" s="15" t="n">
        <f aca="false">AF17 - HLOOKUP(AF$5,'Raw Data with Analysis'!$B$1:$BN$3,3,FALSE())</f>
        <v>6</v>
      </c>
      <c r="AG19" s="15" t="n">
        <f aca="false">AG17 - HLOOKUP(AG$5,'Raw Data with Analysis'!$B$1:$BN$3,3,FALSE())</f>
        <v>8</v>
      </c>
      <c r="AH19" s="15" t="n">
        <f aca="false">AH17 - HLOOKUP(AH$5,'Raw Data with Analysis'!$B$1:$BN$3,3,FALSE())</f>
        <v>8</v>
      </c>
      <c r="AI19" s="15" t="n">
        <f aca="false">AI17 - HLOOKUP(AI$5,'Raw Data with Analysis'!$B$1:$BN$3,3,FALSE())</f>
        <v>8</v>
      </c>
      <c r="AJ19" s="15" t="n">
        <f aca="false">AJ17 - HLOOKUP(AJ$5,'Raw Data with Analysis'!$B$1:$BN$3,3,FALSE())</f>
        <v>9</v>
      </c>
      <c r="AK19" s="15" t="n">
        <f aca="false">AK17 - HLOOKUP(AK$5,'Raw Data with Analysis'!$B$1:$BN$3,3,FALSE())</f>
        <v>9</v>
      </c>
      <c r="AL19" s="15" t="n">
        <f aca="false">AL17 - HLOOKUP(AL$5,'Raw Data with Analysis'!$B$1:$BN$3,3,FALSE())</f>
        <v>10</v>
      </c>
      <c r="AM19" s="15" t="n">
        <f aca="false">AM17 - HLOOKUP(AM$5,'Raw Data with Analysis'!$B$1:$BN$3,3,FALSE())</f>
        <v>12</v>
      </c>
      <c r="AN19" s="15" t="n">
        <f aca="false">AN17 - HLOOKUP(AN$5,'Raw Data with Analysis'!$B$1:$BN$3,3,FALSE())</f>
        <v>11</v>
      </c>
      <c r="AO19" s="15" t="n">
        <f aca="false">AO17 - HLOOKUP(AO$5,'Raw Data with Analysis'!$B$1:$BN$3,3,FALSE())</f>
        <v>10</v>
      </c>
      <c r="AP19" s="15" t="n">
        <f aca="false">AP17 - HLOOKUP(AP$5,'Raw Data with Analysis'!$B$1:$BN$3,3,FALSE())</f>
        <v>10</v>
      </c>
      <c r="AQ19" s="15" t="n">
        <f aca="false">AQ17 - HLOOKUP(AQ$5,'Raw Data with Analysis'!$B$1:$BN$3,3,FALSE())</f>
        <v>10</v>
      </c>
      <c r="AR19" s="15" t="n">
        <f aca="false">AR17 - HLOOKUP(AR$5,'Raw Data with Analysis'!$B$1:$BN$3,3,FALSE())</f>
        <v>10</v>
      </c>
      <c r="AS19" s="15" t="n">
        <f aca="false">AS17 - HLOOKUP(AS$5,'Raw Data with Analysis'!$B$1:$BN$3,3,FALSE())</f>
        <v>8</v>
      </c>
      <c r="AT19" s="15" t="n">
        <f aca="false">AT17 - HLOOKUP(AT$5,'Raw Data with Analysis'!$B$1:$BN$3,3,FALSE())</f>
        <v>9</v>
      </c>
      <c r="AU19" s="15" t="n">
        <f aca="false">AU17 - HLOOKUP(AU$5,'Raw Data with Analysis'!$B$1:$BN$3,3,FALSE())</f>
        <v>10</v>
      </c>
      <c r="AV19" s="15" t="n">
        <f aca="false">AV17 - HLOOKUP(AV$5,'Raw Data with Analysis'!$B$1:$BN$3,3,FALSE())</f>
        <v>9</v>
      </c>
      <c r="AW19" s="15" t="n">
        <f aca="false">AW17 - HLOOKUP(AW$5,'Raw Data with Analysis'!$B$1:$BN$3,3,FALSE())</f>
        <v>7</v>
      </c>
      <c r="AX19" s="15" t="n">
        <f aca="false">AX17 - HLOOKUP(AX$5,'Raw Data with Analysis'!$B$1:$BN$3,3,FALSE())</f>
        <v>6</v>
      </c>
      <c r="AY19" s="15" t="n">
        <f aca="false">AY17 - HLOOKUP(AY$5,'Raw Data with Analysis'!$B$1:$BN$3,3,FALSE())</f>
        <v>6</v>
      </c>
      <c r="AZ19" s="15" t="n">
        <f aca="false">AZ17 - HLOOKUP(AZ$5,'Raw Data with Analysis'!$B$1:$BN$3,3,FALSE())</f>
        <v>7</v>
      </c>
      <c r="BA19" s="15" t="n">
        <f aca="false">BA17 - HLOOKUP(BA$5,'Raw Data with Analysis'!$B$1:$BN$3,3,FALSE())</f>
        <v>7</v>
      </c>
      <c r="BB19" s="15" t="n">
        <f aca="false">BB17 - HLOOKUP(BB$5,'Raw Data with Analysis'!$B$1:$BN$3,3,FALSE())</f>
        <v>8</v>
      </c>
    </row>
    <row r="20" customFormat="false" ht="15" hidden="false" customHeight="false" outlineLevel="0" collapsed="false">
      <c r="A20" s="11" t="s">
        <v>123</v>
      </c>
      <c r="B20" s="15" t="n">
        <f aca="false">B18 - HLOOKUP(B$5,'Raw Data with Analysis'!$B$1:$BN$3,3,FALSE())</f>
        <v>13</v>
      </c>
      <c r="C20" s="15" t="n">
        <f aca="false">C18 - HLOOKUP(C$5,'Raw Data with Analysis'!$B$1:$BN$3,3,FALSE())</f>
        <v>14</v>
      </c>
      <c r="D20" s="15" t="n">
        <f aca="false">D18 - HLOOKUP(D$5,'Raw Data with Analysis'!$B$1:$BN$3,3,FALSE())</f>
        <v>15</v>
      </c>
      <c r="E20" s="15" t="n">
        <f aca="false">E18 - HLOOKUP(E$5,'Raw Data with Analysis'!$B$1:$BN$3,3,FALSE())</f>
        <v>15</v>
      </c>
      <c r="F20" s="15" t="n">
        <f aca="false">F18 - HLOOKUP(F$5,'Raw Data with Analysis'!$B$1:$BN$3,3,FALSE())</f>
        <v>15</v>
      </c>
      <c r="G20" s="15" t="n">
        <f aca="false">G18 - HLOOKUP(G$5,'Raw Data with Analysis'!$B$1:$BN$3,3,FALSE())</f>
        <v>11</v>
      </c>
      <c r="H20" s="15" t="n">
        <f aca="false">H18 - HLOOKUP(H$5,'Raw Data with Analysis'!$B$1:$BN$3,3,FALSE())</f>
        <v>9</v>
      </c>
      <c r="I20" s="15" t="n">
        <f aca="false">I18 - HLOOKUP(I$5,'Raw Data with Analysis'!$B$1:$BN$3,3,FALSE())</f>
        <v>11</v>
      </c>
      <c r="J20" s="15" t="n">
        <f aca="false">J18 - HLOOKUP(J$5,'Raw Data with Analysis'!$B$1:$BN$3,3,FALSE())</f>
        <v>11</v>
      </c>
      <c r="K20" s="15" t="n">
        <f aca="false">K18 - HLOOKUP(K$5,'Raw Data with Analysis'!$B$1:$BN$3,3,FALSE())</f>
        <v>11</v>
      </c>
      <c r="L20" s="15" t="n">
        <f aca="false">L18 - HLOOKUP(L$5,'Raw Data with Analysis'!$B$1:$BN$3,3,FALSE())</f>
        <v>12</v>
      </c>
      <c r="M20" s="15" t="n">
        <f aca="false">M18 - HLOOKUP(M$5,'Raw Data with Analysis'!$B$1:$BN$3,3,FALSE())</f>
        <v>15</v>
      </c>
      <c r="N20" s="15" t="n">
        <f aca="false">N18 - HLOOKUP(N$5,'Raw Data with Analysis'!$B$1:$BN$3,3,FALSE())</f>
        <v>17</v>
      </c>
      <c r="O20" s="15" t="n">
        <f aca="false">O18 - HLOOKUP(O$5,'Raw Data with Analysis'!$B$1:$BN$3,3,FALSE())</f>
        <v>18</v>
      </c>
      <c r="P20" s="15" t="n">
        <f aca="false">P18 - HLOOKUP(P$5,'Raw Data with Analysis'!$B$1:$BN$3,3,FALSE())</f>
        <v>17</v>
      </c>
      <c r="Q20" s="15" t="n">
        <f aca="false">Q18 - HLOOKUP(Q$5,'Raw Data with Analysis'!$B$1:$BN$3,3,FALSE())</f>
        <v>17</v>
      </c>
      <c r="R20" s="15" t="n">
        <f aca="false">R18 - HLOOKUP(R$5,'Raw Data with Analysis'!$B$1:$BN$3,3,FALSE())</f>
        <v>18</v>
      </c>
      <c r="S20" s="15" t="n">
        <f aca="false">S18 - HLOOKUP(S$5,'Raw Data with Analysis'!$B$1:$BN$3,3,FALSE())</f>
        <v>20</v>
      </c>
      <c r="T20" s="15" t="n">
        <f aca="false">T18 - HLOOKUP(T$5,'Raw Data with Analysis'!$B$1:$BN$3,3,FALSE())</f>
        <v>19</v>
      </c>
      <c r="U20" s="15" t="n">
        <f aca="false">U18 - HLOOKUP(U$5,'Raw Data with Analysis'!$B$1:$BN$3,3,FALSE())</f>
        <v>18</v>
      </c>
      <c r="V20" s="15" t="n">
        <f aca="false">V18 - HLOOKUP(V$5,'Raw Data with Analysis'!$B$1:$BN$3,3,FALSE())</f>
        <v>18</v>
      </c>
      <c r="W20" s="15" t="n">
        <f aca="false">W18 - HLOOKUP(W$5,'Raw Data with Analysis'!$B$1:$BN$3,3,FALSE())</f>
        <v>16</v>
      </c>
      <c r="X20" s="15" t="n">
        <f aca="false">X18 - HLOOKUP(X$5,'Raw Data with Analysis'!$B$1:$BN$3,3,FALSE())</f>
        <v>14</v>
      </c>
      <c r="Y20" s="15" t="n">
        <f aca="false">Y18 - HLOOKUP(Y$5,'Raw Data with Analysis'!$B$1:$BN$3,3,FALSE())</f>
        <v>14</v>
      </c>
      <c r="Z20" s="15" t="n">
        <f aca="false">Z18 - HLOOKUP(Z$5,'Raw Data with Analysis'!$B$1:$BN$3,3,FALSE())</f>
        <v>14</v>
      </c>
      <c r="AA20" s="15" t="n">
        <f aca="false">AA18 - HLOOKUP(AA$5,'Raw Data with Analysis'!$B$1:$BN$3,3,FALSE())</f>
        <v>14</v>
      </c>
      <c r="AB20" s="15" t="n">
        <f aca="false">AB18 - HLOOKUP(AB$5,'Raw Data with Analysis'!$B$1:$BN$3,3,FALSE())</f>
        <v>14</v>
      </c>
      <c r="AC20" s="15" t="n">
        <f aca="false">AC18 - HLOOKUP(AC$5,'Raw Data with Analysis'!$B$1:$BN$3,3,FALSE())</f>
        <v>13</v>
      </c>
      <c r="AD20" s="15" t="n">
        <f aca="false">AD18 - HLOOKUP(AD$5,'Raw Data with Analysis'!$B$1:$BN$3,3,FALSE())</f>
        <v>12</v>
      </c>
      <c r="AE20" s="15" t="n">
        <f aca="false">AE18 - HLOOKUP(AE$5,'Raw Data with Analysis'!$B$1:$BN$3,3,FALSE())</f>
        <v>10</v>
      </c>
      <c r="AF20" s="15" t="n">
        <f aca="false">AF18 - HLOOKUP(AF$5,'Raw Data with Analysis'!$B$1:$BN$3,3,FALSE())</f>
        <v>11</v>
      </c>
      <c r="AG20" s="15" t="n">
        <f aca="false">AG18 - HLOOKUP(AG$5,'Raw Data with Analysis'!$B$1:$BN$3,3,FALSE())</f>
        <v>10</v>
      </c>
      <c r="AH20" s="15" t="n">
        <f aca="false">AH18 - HLOOKUP(AH$5,'Raw Data with Analysis'!$B$1:$BN$3,3,FALSE())</f>
        <v>9</v>
      </c>
      <c r="AI20" s="15" t="n">
        <f aca="false">AI18 - HLOOKUP(AI$5,'Raw Data with Analysis'!$B$1:$BN$3,3,FALSE())</f>
        <v>11</v>
      </c>
      <c r="AJ20" s="15" t="n">
        <f aca="false">AJ18 - HLOOKUP(AJ$5,'Raw Data with Analysis'!$B$1:$BN$3,3,FALSE())</f>
        <v>12</v>
      </c>
      <c r="AK20" s="15" t="n">
        <f aca="false">AK18 - HLOOKUP(AK$5,'Raw Data with Analysis'!$B$1:$BN$3,3,FALSE())</f>
        <v>10</v>
      </c>
      <c r="AL20" s="15" t="n">
        <f aca="false">AL18 - HLOOKUP(AL$5,'Raw Data with Analysis'!$B$1:$BN$3,3,FALSE())</f>
        <v>8</v>
      </c>
      <c r="AM20" s="15" t="n">
        <f aca="false">AM18 - HLOOKUP(AM$5,'Raw Data with Analysis'!$B$1:$BN$3,3,FALSE())</f>
        <v>9</v>
      </c>
      <c r="AN20" s="15" t="n">
        <f aca="false">AN18 - HLOOKUP(AN$5,'Raw Data with Analysis'!$B$1:$BN$3,3,FALSE())</f>
        <v>12</v>
      </c>
      <c r="AO20" s="15" t="n">
        <f aca="false">AO18 - HLOOKUP(AO$5,'Raw Data with Analysis'!$B$1:$BN$3,3,FALSE())</f>
        <v>13</v>
      </c>
      <c r="AP20" s="15" t="n">
        <f aca="false">AP18 - HLOOKUP(AP$5,'Raw Data with Analysis'!$B$1:$BN$3,3,FALSE())</f>
        <v>14</v>
      </c>
      <c r="AQ20" s="15" t="n">
        <f aca="false">AQ18 - HLOOKUP(AQ$5,'Raw Data with Analysis'!$B$1:$BN$3,3,FALSE())</f>
        <v>13</v>
      </c>
      <c r="AR20" s="15" t="n">
        <f aca="false">AR18 - HLOOKUP(AR$5,'Raw Data with Analysis'!$B$1:$BN$3,3,FALSE())</f>
        <v>12</v>
      </c>
      <c r="AS20" s="15" t="n">
        <f aca="false">AS18 - HLOOKUP(AS$5,'Raw Data with Analysis'!$B$1:$BN$3,3,FALSE())</f>
        <v>12</v>
      </c>
      <c r="AT20" s="15" t="n">
        <f aca="false">AT18 - HLOOKUP(AT$5,'Raw Data with Analysis'!$B$1:$BN$3,3,FALSE())</f>
        <v>12</v>
      </c>
      <c r="AU20" s="15" t="n">
        <f aca="false">AU18 - HLOOKUP(AU$5,'Raw Data with Analysis'!$B$1:$BN$3,3,FALSE())</f>
        <v>10</v>
      </c>
      <c r="AV20" s="15" t="n">
        <f aca="false">AV18 - HLOOKUP(AV$5,'Raw Data with Analysis'!$B$1:$BN$3,3,FALSE())</f>
        <v>9</v>
      </c>
      <c r="AW20" s="15" t="n">
        <f aca="false">AW18 - HLOOKUP(AW$5,'Raw Data with Analysis'!$B$1:$BN$3,3,FALSE())</f>
        <v>8</v>
      </c>
      <c r="AX20" s="15" t="n">
        <f aca="false">AX18 - HLOOKUP(AX$5,'Raw Data with Analysis'!$B$1:$BN$3,3,FALSE())</f>
        <v>8</v>
      </c>
      <c r="AY20" s="15" t="n">
        <f aca="false">AY18 - HLOOKUP(AY$5,'Raw Data with Analysis'!$B$1:$BN$3,3,FALSE())</f>
        <v>5</v>
      </c>
      <c r="AZ20" s="15" t="n">
        <f aca="false">AZ18 - HLOOKUP(AZ$5,'Raw Data with Analysis'!$B$1:$BN$3,3,FALSE())</f>
        <v>2</v>
      </c>
      <c r="BA20" s="15" t="n">
        <f aca="false">BA18 - HLOOKUP(BA$5,'Raw Data with Analysis'!$B$1:$BN$3,3,FALSE())</f>
        <v>1</v>
      </c>
      <c r="BB20" s="15" t="n">
        <f aca="false">BB18 - HLOOKUP(BB$5,'Raw Data with Analysis'!$B$1:$BN$3,3,FALSE())</f>
        <v>0</v>
      </c>
    </row>
    <row r="22" customFormat="false" ht="15" hidden="false" customHeight="false" outlineLevel="0" collapsed="false">
      <c r="A22" s="14" t="s">
        <v>124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customFormat="false" ht="15" hidden="false" customHeight="false" outlineLevel="0" collapsed="false">
      <c r="A23" s="11" t="s">
        <v>125</v>
      </c>
      <c r="B23" s="16" t="n">
        <f aca="false">IFERROR((B8+B11+B12)/B8,0)</f>
        <v>0.766249782465302</v>
      </c>
      <c r="C23" s="16" t="n">
        <f aca="false">IFERROR((C8+C11+C12)/C8,0)</f>
        <v>0.771767744275933</v>
      </c>
      <c r="D23" s="16" t="n">
        <f aca="false">IFERROR((D8+D11+D12)/D8,0)</f>
        <v>0.778991143782612</v>
      </c>
      <c r="E23" s="16" t="n">
        <f aca="false">IFERROR((E8+E11+E12)/E8,0)</f>
        <v>0.776014837369729</v>
      </c>
      <c r="F23" s="16" t="n">
        <f aca="false">IFERROR((F8+F11+F12)/F8,0)</f>
        <v>0.778627632148642</v>
      </c>
      <c r="G23" s="16" t="n">
        <f aca="false">IFERROR((G8+G11+G12)/G8,0)</f>
        <v>0.782443730115477</v>
      </c>
      <c r="H23" s="16" t="n">
        <f aca="false">IFERROR((H8+H11+H12)/H8,0)</f>
        <v>0.881056372849503</v>
      </c>
      <c r="I23" s="16" t="n">
        <f aca="false">IFERROR((I8+I11+I12)/I8,0)</f>
        <v>0.826796779247079</v>
      </c>
      <c r="J23" s="16" t="n">
        <f aca="false">IFERROR((J8+J11+J12)/J8,0)</f>
        <v>0.840473141960844</v>
      </c>
      <c r="K23" s="16" t="n">
        <f aca="false">IFERROR((K8+K11+K12)/K8,0)</f>
        <v>0.848969965075</v>
      </c>
      <c r="L23" s="16" t="n">
        <f aca="false">IFERROR((L8+L11+L12)/L8,0)</f>
        <v>0.848760569744297</v>
      </c>
      <c r="M23" s="16" t="n">
        <f aca="false">IFERROR((M8+M11+M12)/M8,0)</f>
        <v>0.867233005474493</v>
      </c>
      <c r="N23" s="16" t="n">
        <f aca="false">IFERROR((N8+N11+N12)/N8,0)</f>
        <v>0.87484686420127</v>
      </c>
      <c r="O23" s="16" t="n">
        <f aca="false">IFERROR((O8+O11+O12)/O8,0)</f>
        <v>0.867425018297511</v>
      </c>
      <c r="P23" s="16" t="n">
        <f aca="false">IFERROR((P8+P11+P12)/P8,0)</f>
        <v>0.861257818496001</v>
      </c>
      <c r="Q23" s="16" t="n">
        <f aca="false">IFERROR((Q8+Q11+Q12)/Q8,0)</f>
        <v>0.922774241850809</v>
      </c>
      <c r="R23" s="16" t="n">
        <f aca="false">IFERROR((R8+R11+R12)/R8,0)</f>
        <v>0.920930305732309</v>
      </c>
      <c r="S23" s="16" t="n">
        <f aca="false">IFERROR((S8+S11+S12)/S8,0)</f>
        <v>0.924879928205616</v>
      </c>
      <c r="T23" s="16" t="n">
        <f aca="false">IFERROR((T8+T11+T12)/T8,0)</f>
        <v>0.9571337683948</v>
      </c>
      <c r="U23" s="16" t="n">
        <f aca="false">IFERROR((U8+U11+U12)/U8,0)</f>
        <v>0.957331868096166</v>
      </c>
      <c r="V23" s="16" t="n">
        <f aca="false">IFERROR((V8+V11+V12)/V8,0)</f>
        <v>0.957927999698798</v>
      </c>
      <c r="W23" s="16" t="n">
        <f aca="false">IFERROR((W8+W11+W12)/W8,0)</f>
        <v>0.955377509039101</v>
      </c>
      <c r="X23" s="16" t="n">
        <f aca="false">IFERROR((X8+X11+X12)/X8,0)</f>
        <v>0.956065261602879</v>
      </c>
      <c r="Y23" s="16" t="n">
        <f aca="false">IFERROR((Y8+Y11+Y12)/Y8,0)</f>
        <v>0.892262823445365</v>
      </c>
      <c r="Z23" s="16" t="n">
        <f aca="false">IFERROR((Z8+Z11+Z12)/Z8,0)</f>
        <v>0.608709379253027</v>
      </c>
      <c r="AA23" s="16" t="n">
        <f aca="false">IFERROR((AA8+AA11+AA12)/AA8,0)</f>
        <v>0.604753336342422</v>
      </c>
      <c r="AB23" s="16" t="n">
        <f aca="false">IFERROR((AB8+AB11+AB12)/AB8,0)</f>
        <v>0.605300158320815</v>
      </c>
      <c r="AC23" s="16" t="n">
        <f aca="false">IFERROR((AC8+AC11+AC12)/AC8,0)</f>
        <v>0.605258028738815</v>
      </c>
      <c r="AD23" s="16" t="n">
        <f aca="false">IFERROR((AD8+AD11+AD12)/AD8,0)</f>
        <v>0.609463305564532</v>
      </c>
      <c r="AE23" s="16" t="n">
        <f aca="false">IFERROR((AE8+AE11+AE12)/AE8,0)</f>
        <v>0.621172781400814</v>
      </c>
      <c r="AF23" s="16" t="n">
        <f aca="false">IFERROR((AF8+AF11+AF12)/AF8,0)</f>
        <v>0.62070724570762</v>
      </c>
      <c r="AG23" s="16" t="n">
        <f aca="false">IFERROR((AG8+AG11+AG12)/AG8,0)</f>
        <v>0.611620647606013</v>
      </c>
      <c r="AH23" s="16" t="n">
        <f aca="false">IFERROR((AH8+AH11+AH12)/AH8,0)</f>
        <v>0.613210331460857</v>
      </c>
      <c r="AI23" s="16" t="n">
        <f aca="false">IFERROR((AI8+AI11+AI12)/AI8,0)</f>
        <v>0.62012223508538</v>
      </c>
      <c r="AJ23" s="16" t="n">
        <f aca="false">IFERROR((AJ8+AJ11+AJ12)/AJ8,0)</f>
        <v>0.618710366182049</v>
      </c>
      <c r="AK23" s="16" t="n">
        <f aca="false">IFERROR((AK8+AK11+AK12)/AK8,0)</f>
        <v>0.639988483674694</v>
      </c>
      <c r="AL23" s="16" t="n">
        <f aca="false">IFERROR((AL8+AL11+AL12)/AL8,0)</f>
        <v>0.909935424166699</v>
      </c>
      <c r="AM23" s="16" t="n">
        <f aca="false">IFERROR((AM8+AM11+AM12)/AM8,0)</f>
        <v>0.87104376280233</v>
      </c>
      <c r="AN23" s="16" t="n">
        <f aca="false">IFERROR((AN8+AN11+AN12)/AN8,0)</f>
        <v>0.873694058679124</v>
      </c>
      <c r="AO23" s="16" t="n">
        <f aca="false">IFERROR((AO8+AO11+AO12)/AO8,0)</f>
        <v>0.877809769348989</v>
      </c>
      <c r="AP23" s="16" t="n">
        <f aca="false">IFERROR((AP8+AP11+AP12)/AP8,0)</f>
        <v>0.877809769348989</v>
      </c>
      <c r="AQ23" s="16" t="n">
        <f aca="false">IFERROR((AQ8+AQ11+AQ12)/AQ8,0)</f>
        <v>0.873993024386237</v>
      </c>
      <c r="AR23" s="16" t="n">
        <f aca="false">IFERROR((AR8+AR11+AR12)/AR8,0)</f>
        <v>0.831030440352539</v>
      </c>
      <c r="AS23" s="16" t="n">
        <f aca="false">IFERROR((AS8+AS11+AS12)/AS8,0)</f>
        <v>0.835418485981105</v>
      </c>
      <c r="AT23" s="16" t="n">
        <f aca="false">IFERROR((AT8+AT11+AT12)/AT8,0)</f>
        <v>0.815642617814964</v>
      </c>
      <c r="AU23" s="16" t="n">
        <f aca="false">IFERROR((AU8+AU11+AU12)/AU8,0)</f>
        <v>0.816860077206466</v>
      </c>
      <c r="AV23" s="16" t="n">
        <f aca="false">IFERROR((AV8+AV11+AV12)/AV8,0)</f>
        <v>0.825058973979301</v>
      </c>
      <c r="AW23" s="16" t="n">
        <f aca="false">IFERROR((AW8+AW11+AW12)/AW8,0)</f>
        <v>0.850089855734034</v>
      </c>
      <c r="AX23" s="16" t="n">
        <f aca="false">IFERROR((AX8+AX11+AX12)/AX8,0)</f>
        <v>0.871381640920213</v>
      </c>
      <c r="AY23" s="16" t="n">
        <f aca="false">IFERROR((AY8+AY11+AY12)/AY8,0)</f>
        <v>0.886862033594321</v>
      </c>
      <c r="AZ23" s="16" t="n">
        <f aca="false">IFERROR((AZ8+AZ11+AZ12)/AZ8,0)</f>
        <v>0.889226391658039</v>
      </c>
      <c r="BA23" s="16" t="n">
        <f aca="false">IFERROR((BA8+BA11+BA12)/BA8,0)</f>
        <v>0.891219156946597</v>
      </c>
      <c r="BB23" s="16" t="n">
        <f aca="false">IFERROR((BB8+BB11+BB12)/BB8,0)</f>
        <v>0.887972582307917</v>
      </c>
    </row>
    <row r="24" customFormat="false" ht="15" hidden="false" customHeight="false" outlineLevel="0" collapsed="false">
      <c r="A24" s="11" t="s">
        <v>126</v>
      </c>
      <c r="B24" s="16" t="n">
        <f aca="false">IFERROR((B8+B10+B11+B12)/B8,0)</f>
        <v>0.906424075896174</v>
      </c>
      <c r="C24" s="16" t="n">
        <f aca="false">IFERROR((C8+C10+C11+C12)/C8,0)</f>
        <v>0.886265501935313</v>
      </c>
      <c r="D24" s="16" t="n">
        <f aca="false">IFERROR((D8+D10+D11+D12)/D8,0)</f>
        <v>0.896104997724415</v>
      </c>
      <c r="E24" s="16" t="n">
        <f aca="false">IFERROR((E8+E10+E11+E12)/E8,0)</f>
        <v>0.88745263438623</v>
      </c>
      <c r="F24" s="16" t="n">
        <f aca="false">IFERROR((F8+F10+F11+F12)/F8,0)</f>
        <v>0.868988523908035</v>
      </c>
      <c r="G24" s="16" t="n">
        <f aca="false">IFERROR((G8+G10+G11+G12)/G8,0)</f>
        <v>0.870644741972492</v>
      </c>
      <c r="H24" s="16" t="n">
        <f aca="false">IFERROR((H8+H10+H11+H12)/H8,0)</f>
        <v>0.967749460545194</v>
      </c>
      <c r="I24" s="16" t="n">
        <f aca="false">IFERROR((I8+I10+I11+I12)/I8,0)</f>
        <v>0.908150899027136</v>
      </c>
      <c r="J24" s="16" t="n">
        <f aca="false">IFERROR((J8+J10+J11+J12)/J8,0)</f>
        <v>0.921530251770229</v>
      </c>
      <c r="K24" s="16" t="n">
        <f aca="false">IFERROR((K8+K10+K11+K12)/K8,0)</f>
        <v>0.930676181293414</v>
      </c>
      <c r="L24" s="16" t="n">
        <f aca="false">IFERROR((L8+L10+L11+L12)/L8,0)</f>
        <v>0.931583353435089</v>
      </c>
      <c r="M24" s="16" t="n">
        <f aca="false">IFERROR((M8+M10+M11+M12)/M8,0)</f>
        <v>0.931622917770748</v>
      </c>
      <c r="N24" s="16" t="n">
        <f aca="false">IFERROR((N8+N10+N11+N12)/N8,0)</f>
        <v>0.967510904964954</v>
      </c>
      <c r="O24" s="16" t="n">
        <f aca="false">IFERROR((O8+O10+O11+O12)/O8,0)</f>
        <v>0.969650062253707</v>
      </c>
      <c r="P24" s="16" t="n">
        <f aca="false">IFERROR((P8+P10+P11+P12)/P8,0)</f>
        <v>0.961749241340976</v>
      </c>
      <c r="Q24" s="16" t="n">
        <f aca="false">IFERROR((Q8+Q10+Q11+Q12)/Q8,0)</f>
        <v>1.02780891047669</v>
      </c>
      <c r="R24" s="16" t="n">
        <f aca="false">IFERROR((R8+R10+R11+R12)/R8,0)</f>
        <v>1.02595870381186</v>
      </c>
      <c r="S24" s="16" t="n">
        <f aca="false">IFERROR((S8+S10+S11+S12)/S8,0)</f>
        <v>1.07689395103252</v>
      </c>
      <c r="T24" s="16" t="n">
        <f aca="false">IFERROR((T8+T10+T11+T12)/T8,0)</f>
        <v>1.10356058505398</v>
      </c>
      <c r="U24" s="16" t="n">
        <f aca="false">IFERROR((U8+U10+U11+U12)/U8,0)</f>
        <v>1.10405695072238</v>
      </c>
      <c r="V24" s="16" t="n">
        <f aca="false">IFERROR((V8+V10+V11+V12)/V8,0)</f>
        <v>1.05249373566061</v>
      </c>
      <c r="W24" s="16" t="n">
        <f aca="false">IFERROR((W8+W10+W11+W12)/W8,0)</f>
        <v>1.04523581457817</v>
      </c>
      <c r="X24" s="16" t="n">
        <f aca="false">IFERROR((X8+X10+X11+X12)/X8,0)</f>
        <v>1.04399672447308</v>
      </c>
      <c r="Y24" s="16" t="n">
        <f aca="false">IFERROR((Y8+Y10+Y11+Y12)/Y8,0)</f>
        <v>0.999168741725277</v>
      </c>
      <c r="Z24" s="16" t="n">
        <f aca="false">IFERROR((Z8+Z10+Z11+Z12)/Z8,0)</f>
        <v>0.665018558735043</v>
      </c>
      <c r="AA24" s="16" t="n">
        <f aca="false">IFERROR((AA8+AA10+AA11+AA12)/AA8,0)</f>
        <v>0.665983854319619</v>
      </c>
      <c r="AB24" s="16" t="n">
        <f aca="false">IFERROR((AB8+AB10+AB11+AB12)/AB8,0)</f>
        <v>0.665670140082911</v>
      </c>
      <c r="AC24" s="16" t="n">
        <f aca="false">IFERROR((AC8+AC10+AC11+AC12)/AC8,0)</f>
        <v>0.665623808681266</v>
      </c>
      <c r="AD24" s="16" t="n">
        <f aca="false">IFERROR((AD8+AD10+AD11+AD12)/AD8,0)</f>
        <v>0.662961369448816</v>
      </c>
      <c r="AE24" s="16" t="n">
        <f aca="false">IFERROR((AE8+AE10+AE11+AE12)/AE8,0)</f>
        <v>0.694443207825251</v>
      </c>
      <c r="AF24" s="16" t="n">
        <f aca="false">IFERROR((AF8+AF10+AF11+AF12)/AF8,0)</f>
        <v>0.740394450691376</v>
      </c>
      <c r="AG24" s="16" t="n">
        <f aca="false">IFERROR((AG8+AG10+AG11+AG12)/AG8,0)</f>
        <v>0.742312086758881</v>
      </c>
      <c r="AH24" s="16" t="n">
        <f aca="false">IFERROR((AH8+AH10+AH11+AH12)/AH8,0)</f>
        <v>0.741408318078271</v>
      </c>
      <c r="AI24" s="16" t="n">
        <f aca="false">IFERROR((AI8+AI10+AI11+AI12)/AI8,0)</f>
        <v>0.738223921203633</v>
      </c>
      <c r="AJ24" s="16" t="n">
        <f aca="false">IFERROR((AJ8+AJ10+AJ11+AJ12)/AJ8,0)</f>
        <v>0.735454486047099</v>
      </c>
      <c r="AK24" s="16" t="n">
        <f aca="false">IFERROR((AK8+AK10+AK11+AK12)/AK8,0)</f>
        <v>0.760284446285798</v>
      </c>
      <c r="AL24" s="16" t="n">
        <f aca="false">IFERROR((AL8+AL10+AL11+AL12)/AL8,0)</f>
        <v>1.10542746026798</v>
      </c>
      <c r="AM24" s="16" t="n">
        <f aca="false">IFERROR((AM8+AM10+AM11+AM12)/AM8,0)</f>
        <v>1.08150188677874</v>
      </c>
      <c r="AN24" s="16" t="n">
        <f aca="false">IFERROR((AN8+AN10+AN11+AN12)/AN8,0)</f>
        <v>1.08582577892573</v>
      </c>
      <c r="AO24" s="16" t="n">
        <f aca="false">IFERROR((AO8+AO10+AO11+AO12)/AO8,0)</f>
        <v>1.09468480677117</v>
      </c>
      <c r="AP24" s="16" t="n">
        <f aca="false">IFERROR((AP8+AP10+AP11+AP12)/AP8,0)</f>
        <v>1.18753105045071</v>
      </c>
      <c r="AQ24" s="16" t="n">
        <f aca="false">IFERROR((AQ8+AQ10+AQ11+AQ12)/AQ8,0)</f>
        <v>1.14873213268918</v>
      </c>
      <c r="AR24" s="16" t="n">
        <f aca="false">IFERROR((AR8+AR10+AR11+AR12)/AR8,0)</f>
        <v>1.0513854773321</v>
      </c>
      <c r="AS24" s="16" t="n">
        <f aca="false">IFERROR((AS8+AS10+AS11+AS12)/AS8,0)</f>
        <v>1.05904446260358</v>
      </c>
      <c r="AT24" s="16" t="n">
        <f aca="false">IFERROR((AT8+AT10+AT11+AT12)/AT8,0)</f>
        <v>1.03514619119346</v>
      </c>
      <c r="AU24" s="16" t="n">
        <f aca="false">IFERROR((AU8+AU10+AU11+AU12)/AU8,0)</f>
        <v>1.03574607118404</v>
      </c>
      <c r="AV24" s="16" t="n">
        <f aca="false">IFERROR((AV8+AV10+AV11+AV12)/AV8,0)</f>
        <v>1.04625939570951</v>
      </c>
      <c r="AW24" s="16" t="n">
        <f aca="false">IFERROR((AW8+AW10+AW11+AW12)/AW8,0)</f>
        <v>1.05310580973315</v>
      </c>
      <c r="AX24" s="16" t="n">
        <f aca="false">IFERROR((AX8+AX10+AX11+AX12)/AX8,0)</f>
        <v>1.30243079147338</v>
      </c>
      <c r="AY24" s="16" t="n">
        <f aca="false">IFERROR((AY8+AY10+AY11+AY12)/AY8,0)</f>
        <v>1.32880616439552</v>
      </c>
      <c r="AZ24" s="16" t="n">
        <f aca="false">IFERROR((AZ8+AZ10+AZ11+AZ12)/AZ8,0)</f>
        <v>1.32361391847846</v>
      </c>
      <c r="BA24" s="16" t="n">
        <f aca="false">IFERROR((BA8+BA10+BA11+BA12)/BA8,0)</f>
        <v>1.3185853664078</v>
      </c>
      <c r="BB24" s="16" t="n">
        <f aca="false">IFERROR((BB8+BB10+BB11+BB12)/BB8,0)</f>
        <v>1.20108501692706</v>
      </c>
    </row>
    <row r="25" customFormat="false" ht="15" hidden="false" customHeight="false" outlineLevel="0" collapsed="false">
      <c r="A25" s="11" t="s">
        <v>127</v>
      </c>
      <c r="B25" s="16" t="n">
        <f aca="false">IFERROR((B17-B19)/B17,0)</f>
        <v>0.837837837837838</v>
      </c>
      <c r="C25" s="16" t="n">
        <f aca="false">IFERROR((C17-C19)/C17,0)</f>
        <v>0.837837837837838</v>
      </c>
      <c r="D25" s="16" t="n">
        <f aca="false">IFERROR((D17-D19)/D17,0)</f>
        <v>0.810810810810811</v>
      </c>
      <c r="E25" s="16" t="n">
        <f aca="false">IFERROR((E17-E19)/E17,0)</f>
        <v>0.810810810810811</v>
      </c>
      <c r="F25" s="16" t="n">
        <f aca="false">IFERROR((F17-F19)/F17,0)</f>
        <v>0.810810810810811</v>
      </c>
      <c r="G25" s="16" t="n">
        <f aca="false">IFERROR((G17-G19)/G17,0)</f>
        <v>0.820512820512821</v>
      </c>
      <c r="H25" s="16" t="n">
        <f aca="false">IFERROR((H17-H19)/H17,0)</f>
        <v>0.846153846153846</v>
      </c>
      <c r="I25" s="16" t="n">
        <f aca="false">IFERROR((I17-I19)/I17,0)</f>
        <v>0.804878048780488</v>
      </c>
      <c r="J25" s="16" t="n">
        <f aca="false">IFERROR((J17-J19)/J17,0)</f>
        <v>0.829268292682927</v>
      </c>
      <c r="K25" s="16" t="n">
        <f aca="false">IFERROR((K17-K19)/K17,0)</f>
        <v>0.833333333333333</v>
      </c>
      <c r="L25" s="16" t="n">
        <f aca="false">IFERROR((L17-L19)/L17,0)</f>
        <v>0.818181818181818</v>
      </c>
      <c r="M25" s="16" t="n">
        <f aca="false">IFERROR((M17-M19)/M17,0)</f>
        <v>0.795454545454545</v>
      </c>
      <c r="N25" s="16" t="n">
        <f aca="false">IFERROR((N17-N19)/N17,0)</f>
        <v>0.795454545454545</v>
      </c>
      <c r="O25" s="16" t="n">
        <f aca="false">IFERROR((O17-O19)/O17,0)</f>
        <v>0.8</v>
      </c>
      <c r="P25" s="16" t="n">
        <f aca="false">IFERROR((P17-P19)/P17,0)</f>
        <v>0.822222222222222</v>
      </c>
      <c r="Q25" s="16" t="n">
        <f aca="false">IFERROR((Q17-Q19)/Q17,0)</f>
        <v>0.844444444444444</v>
      </c>
      <c r="R25" s="16" t="n">
        <f aca="false">IFERROR((R17-R19)/R17,0)</f>
        <v>0.822222222222222</v>
      </c>
      <c r="S25" s="16" t="n">
        <f aca="false">IFERROR((S17-S19)/S17,0)</f>
        <v>0.883720930232558</v>
      </c>
      <c r="T25" s="16" t="n">
        <f aca="false">IFERROR((T17-T19)/T17,0)</f>
        <v>0.904761904761905</v>
      </c>
      <c r="U25" s="16" t="n">
        <f aca="false">IFERROR((U17-U19)/U17,0)</f>
        <v>0.909090909090909</v>
      </c>
      <c r="V25" s="16" t="n">
        <f aca="false">IFERROR((V17-V19)/V17,0)</f>
        <v>0.911111111111111</v>
      </c>
      <c r="W25" s="16" t="n">
        <f aca="false">IFERROR((W17-W19)/W17,0)</f>
        <v>0.934782608695652</v>
      </c>
      <c r="X25" s="16" t="n">
        <f aca="false">IFERROR((X17-X19)/X17,0)</f>
        <v>0.9375</v>
      </c>
      <c r="Y25" s="16" t="n">
        <f aca="false">IFERROR((Y17-Y19)/Y17,0)</f>
        <v>0.92</v>
      </c>
      <c r="Z25" s="16" t="n">
        <f aca="false">IFERROR((Z17-Z19)/Z17,0)</f>
        <v>0.923076923076923</v>
      </c>
      <c r="AA25" s="16" t="n">
        <f aca="false">IFERROR((AA17-AA19)/AA17,0)</f>
        <v>0.925925925925926</v>
      </c>
      <c r="AB25" s="16" t="n">
        <f aca="false">IFERROR((AB17-AB19)/AB17,0)</f>
        <v>0.907407407407407</v>
      </c>
      <c r="AC25" s="16" t="n">
        <f aca="false">IFERROR((AC17-AC19)/AC17,0)</f>
        <v>0.890909090909091</v>
      </c>
      <c r="AD25" s="16" t="n">
        <f aca="false">IFERROR((AD17-AD19)/AD17,0)</f>
        <v>0.909090909090909</v>
      </c>
      <c r="AE25" s="16" t="n">
        <f aca="false">IFERROR((AE17-AE19)/AE17,0)</f>
        <v>0.896551724137931</v>
      </c>
      <c r="AF25" s="16" t="n">
        <f aca="false">IFERROR((AF17-AF19)/AF17,0)</f>
        <v>0.894736842105263</v>
      </c>
      <c r="AG25" s="16" t="n">
        <f aca="false">IFERROR((AG17-AG19)/AG17,0)</f>
        <v>0.862068965517241</v>
      </c>
      <c r="AH25" s="16" t="n">
        <f aca="false">IFERROR((AH17-AH19)/AH17,0)</f>
        <v>0.864406779661017</v>
      </c>
      <c r="AI25" s="16" t="n">
        <f aca="false">IFERROR((AI17-AI19)/AI17,0)</f>
        <v>0.864406779661017</v>
      </c>
      <c r="AJ25" s="16" t="n">
        <f aca="false">IFERROR((AJ17-AJ19)/AJ17,0)</f>
        <v>0.847457627118644</v>
      </c>
      <c r="AK25" s="16" t="n">
        <f aca="false">IFERROR((AK17-AK19)/AK17,0)</f>
        <v>0.85</v>
      </c>
      <c r="AL25" s="16" t="n">
        <f aca="false">IFERROR((AL17-AL19)/AL17,0)</f>
        <v>0.838709677419355</v>
      </c>
      <c r="AM25" s="16" t="n">
        <f aca="false">IFERROR((AM17-AM19)/AM17,0)</f>
        <v>0.8125</v>
      </c>
      <c r="AN25" s="16" t="n">
        <f aca="false">IFERROR((AN17-AN19)/AN17,0)</f>
        <v>0.825396825396825</v>
      </c>
      <c r="AO25" s="16" t="n">
        <f aca="false">IFERROR((AO17-AO19)/AO17,0)</f>
        <v>0.838709677419355</v>
      </c>
      <c r="AP25" s="16" t="n">
        <f aca="false">IFERROR((AP17-AP19)/AP17,0)</f>
        <v>0.838709677419355</v>
      </c>
      <c r="AQ25" s="16" t="n">
        <f aca="false">IFERROR((AQ17-AQ19)/AQ17,0)</f>
        <v>0.838709677419355</v>
      </c>
      <c r="AR25" s="16" t="n">
        <f aca="false">IFERROR((AR17-AR19)/AR17,0)</f>
        <v>0.838709677419355</v>
      </c>
      <c r="AS25" s="16" t="n">
        <f aca="false">IFERROR((AS17-AS19)/AS17,0)</f>
        <v>0.866666666666667</v>
      </c>
      <c r="AT25" s="16" t="n">
        <f aca="false">IFERROR((AT17-AT19)/AT17,0)</f>
        <v>0.85</v>
      </c>
      <c r="AU25" s="16" t="n">
        <f aca="false">IFERROR((AU17-AU19)/AU17,0)</f>
        <v>0.838709677419355</v>
      </c>
      <c r="AV25" s="16" t="n">
        <f aca="false">IFERROR((AV17-AV19)/AV17,0)</f>
        <v>0.854838709677419</v>
      </c>
      <c r="AW25" s="16" t="n">
        <f aca="false">IFERROR((AW17-AW19)/AW17,0)</f>
        <v>0.885245901639344</v>
      </c>
      <c r="AX25" s="16" t="n">
        <f aca="false">IFERROR((AX17-AX19)/AX17,0)</f>
        <v>0.9</v>
      </c>
      <c r="AY25" s="16" t="n">
        <f aca="false">IFERROR((AY17-AY19)/AY17,0)</f>
        <v>0.901639344262295</v>
      </c>
      <c r="AZ25" s="16" t="n">
        <f aca="false">IFERROR((AZ17-AZ19)/AZ17,0)</f>
        <v>0.890625</v>
      </c>
      <c r="BA25" s="16" t="n">
        <f aca="false">IFERROR((BA17-BA19)/BA17,0)</f>
        <v>0.892307692307692</v>
      </c>
      <c r="BB25" s="16" t="n">
        <f aca="false">IFERROR((BB17-BB19)/BB17,0)</f>
        <v>0.878787878787879</v>
      </c>
    </row>
    <row r="27" customFormat="false" ht="15" hidden="false" customHeight="false" outlineLevel="0" collapsed="false">
      <c r="A27" s="14" t="s">
        <v>128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 customFormat="false" ht="15" hidden="false" customHeight="false" outlineLevel="0" collapsed="false">
      <c r="A28" s="11" t="s">
        <v>129</v>
      </c>
      <c r="B28" s="17" t="n">
        <f aca="false">IFERROR(B13/B18,0)</f>
        <v>37330.192348712</v>
      </c>
      <c r="C28" s="17" t="n">
        <f aca="false">IFERROR(C13/C18,0)</f>
        <v>36842.4796298518</v>
      </c>
      <c r="D28" s="17" t="n">
        <f aca="false">IFERROR(D13/D18,0)</f>
        <v>36960.2565187406</v>
      </c>
      <c r="E28" s="17" t="n">
        <f aca="false">IFERROR(E13/E18,0)</f>
        <v>37265.7347409629</v>
      </c>
      <c r="F28" s="17" t="n">
        <f aca="false">IFERROR(F13/F18,0)</f>
        <v>37267.9596298517</v>
      </c>
      <c r="G28" s="17" t="n">
        <f aca="false">IFERROR(G13/G18,0)</f>
        <v>39565.8777521704</v>
      </c>
      <c r="H28" s="17" t="n">
        <f aca="false">IFERROR(H13/H18,0)</f>
        <v>39744.0591272221</v>
      </c>
      <c r="I28" s="17" t="n">
        <f aca="false">IFERROR(I13/I18,0)</f>
        <v>38113.647348712</v>
      </c>
      <c r="J28" s="17" t="n">
        <f aca="false">IFERROR(J13/J18,0)</f>
        <v>39527.5585670498</v>
      </c>
      <c r="K28" s="17" t="n">
        <f aca="false">IFERROR(K13/K18,0)</f>
        <v>39502.4794677661</v>
      </c>
      <c r="L28" s="17" t="n">
        <f aca="false">IFERROR(L13/L18,0)</f>
        <v>38449.1475668656</v>
      </c>
      <c r="M28" s="17" t="n">
        <f aca="false">IFERROR(M13/M18,0)</f>
        <v>39660.7827538461</v>
      </c>
      <c r="N28" s="17" t="n">
        <f aca="false">IFERROR(N13/N18,0)</f>
        <v>68773.2348206871</v>
      </c>
      <c r="O28" s="17" t="n">
        <f aca="false">IFERROR(O13/O18,0)</f>
        <v>66976.1726051061</v>
      </c>
      <c r="P28" s="17" t="n">
        <f aca="false">IFERROR(P13/P18,0)</f>
        <v>66777.9942717728</v>
      </c>
      <c r="Q28" s="17" t="n">
        <f aca="false">IFERROR(Q13/Q18,0)</f>
        <v>65568.4125577405</v>
      </c>
      <c r="R28" s="17" t="n">
        <f aca="false">IFERROR(R13/R18,0)</f>
        <v>66134.7819153163</v>
      </c>
      <c r="S28" s="17" t="n">
        <f aca="false">IFERROR(S13/S18,0)</f>
        <v>61902.9386613616</v>
      </c>
      <c r="T28" s="17" t="n">
        <f aca="false">IFERROR(T13/T18,0)</f>
        <v>63058.5007431398</v>
      </c>
      <c r="U28" s="17" t="n">
        <f aca="false">IFERROR(U13/U18,0)</f>
        <v>62222.463316534</v>
      </c>
      <c r="V28" s="17" t="n">
        <f aca="false">IFERROR(V13/V18,0)</f>
        <v>62190.0285145588</v>
      </c>
      <c r="W28" s="17" t="n">
        <f aca="false">IFERROR(W13/W18,0)</f>
        <v>62424.7711755758</v>
      </c>
      <c r="X28" s="17" t="n">
        <f aca="false">IFERROR(X13/X18,0)</f>
        <v>62424.7711755758</v>
      </c>
      <c r="Y28" s="17" t="n">
        <f aca="false">IFERROR(Y13/Y18,0)</f>
        <v>61683.633361111</v>
      </c>
      <c r="Z28" s="17" t="n">
        <f aca="false">IFERROR(Z13/Z18,0)</f>
        <v>43767.0447688172</v>
      </c>
      <c r="AA28" s="17" t="n">
        <f aca="false">IFERROR(AA13/AA18,0)</f>
        <v>42538.2269730114</v>
      </c>
      <c r="AB28" s="17" t="n">
        <f aca="false">IFERROR(AB13/AB18,0)</f>
        <v>43082.3516868687</v>
      </c>
      <c r="AC28" s="17" t="n">
        <f aca="false">IFERROR(AC13/AC18,0)</f>
        <v>43648.196068915</v>
      </c>
      <c r="AD28" s="17" t="n">
        <f aca="false">IFERROR(AD13/AD18,0)</f>
        <v>43648.196068915</v>
      </c>
      <c r="AE28" s="17" t="n">
        <f aca="false">IFERROR(AE13/AE18,0)</f>
        <v>45051.7499560117</v>
      </c>
      <c r="AF28" s="17" t="n">
        <f aca="false">IFERROR(AF13/AF18,0)</f>
        <v>48961.9432111437</v>
      </c>
      <c r="AG28" s="17" t="n">
        <f aca="false">IFERROR(AG13/AG18,0)</f>
        <v>50673.5670348485</v>
      </c>
      <c r="AH28" s="17" t="n">
        <f aca="false">IFERROR(AH13/AH18,0)</f>
        <v>50597.7643681818</v>
      </c>
      <c r="AI28" s="17" t="n">
        <f aca="false">IFERROR(AI13/AI18,0)</f>
        <v>49331.422738439</v>
      </c>
      <c r="AJ28" s="17" t="n">
        <f aca="false">IFERROR(AJ13/AJ18,0)</f>
        <v>50228.1969319874</v>
      </c>
      <c r="AK28" s="17" t="n">
        <f aca="false">IFERROR(AK13/AK18,0)</f>
        <v>50631.4272095609</v>
      </c>
      <c r="AL28" s="17" t="n">
        <f aca="false">IFERROR(AL13/AL18,0)</f>
        <v>53802.1802085082</v>
      </c>
      <c r="AM28" s="17" t="n">
        <f aca="false">IFERROR(AM13/AM18,0)</f>
        <v>51602.8146313195</v>
      </c>
      <c r="AN28" s="17" t="n">
        <f aca="false">IFERROR(AN13/AN18,0)</f>
        <v>50769.7204160646</v>
      </c>
      <c r="AO28" s="17" t="n">
        <f aca="false">IFERROR(AO13/AO18,0)</f>
        <v>51373.2286514219</v>
      </c>
      <c r="AP28" s="17" t="n">
        <f aca="false">IFERROR(AP13/AP18,0)</f>
        <v>57198.7767779155</v>
      </c>
      <c r="AQ28" s="17" t="n">
        <f aca="false">IFERROR(AQ13/AQ18,0)</f>
        <v>57635.1568849883</v>
      </c>
      <c r="AR28" s="17" t="n">
        <f aca="false">IFERROR(AR13/AR18,0)</f>
        <v>57259.3805863163</v>
      </c>
      <c r="AS28" s="17" t="n">
        <f aca="false">IFERROR(AS13/AS18,0)</f>
        <v>57701.6512113163</v>
      </c>
      <c r="AT28" s="17" t="n">
        <f aca="false">IFERROR(AT13/AT18,0)</f>
        <v>57389.4766273689</v>
      </c>
      <c r="AU28" s="17" t="n">
        <f aca="false">IFERROR(AU13/AU18,0)</f>
        <v>58478.3714116813</v>
      </c>
      <c r="AV28" s="17" t="n">
        <f aca="false">IFERROR(AV13/AV18,0)</f>
        <v>58378.8089373814</v>
      </c>
      <c r="AW28" s="17" t="n">
        <f aca="false">IFERROR(AW13/AW18,0)</f>
        <v>58259.3751470588</v>
      </c>
      <c r="AX28" s="17" t="n">
        <f aca="false">IFERROR(AX13/AX18,0)</f>
        <v>73612.3059535105</v>
      </c>
      <c r="AY28" s="17" t="n">
        <f aca="false">IFERROR(AY13/AY18,0)</f>
        <v>75325.4071519608</v>
      </c>
      <c r="AZ28" s="17" t="n">
        <f aca="false">IFERROR(AZ13/AZ18,0)</f>
        <v>76929.297442672</v>
      </c>
      <c r="BA28" s="17" t="n">
        <f aca="false">IFERROR(BA13/BA18,0)</f>
        <v>77757.6133748754</v>
      </c>
      <c r="BB28" s="17" t="n">
        <f aca="false">IFERROR(BB13/BB18,0)</f>
        <v>78176.5377434077</v>
      </c>
    </row>
    <row r="29" customFormat="false" ht="15" hidden="false" customHeight="false" outlineLevel="0" collapsed="false">
      <c r="A29" s="11" t="s">
        <v>130</v>
      </c>
      <c r="B29" s="17" t="n">
        <f aca="false">IFERROR(B9/B20,0)</f>
        <v>22850.5836789298</v>
      </c>
      <c r="C29" s="17" t="n">
        <f aca="false">IFERROR(C9/C20,0)</f>
        <v>22182.6848447205</v>
      </c>
      <c r="D29" s="17" t="n">
        <f aca="false">IFERROR(D9/D20,0)</f>
        <v>21170.5031884058</v>
      </c>
      <c r="E29" s="17" t="n">
        <f aca="false">IFERROR(E9/E20,0)</f>
        <v>21971.9698550725</v>
      </c>
      <c r="F29" s="17" t="n">
        <f aca="false">IFERROR(F9/F20,0)</f>
        <v>21971.9698550725</v>
      </c>
      <c r="G29" s="17" t="n">
        <f aca="false">IFERROR(G9/G20,0)</f>
        <v>29782.2098023715</v>
      </c>
      <c r="H29" s="17" t="n">
        <f aca="false">IFERROR(H9/H20,0)</f>
        <v>29211.5942028985</v>
      </c>
      <c r="I29" s="17" t="n">
        <f aca="false">IFERROR(I9/I20,0)</f>
        <v>24604.9407114625</v>
      </c>
      <c r="J29" s="17" t="n">
        <f aca="false">IFERROR(J9/J20,0)</f>
        <v>29413.1272727273</v>
      </c>
      <c r="K29" s="17" t="n">
        <f aca="false">IFERROR(K9/K20,0)</f>
        <v>27265.3018181818</v>
      </c>
      <c r="L29" s="17" t="n">
        <f aca="false">IFERROR(L9/L20,0)</f>
        <v>26696.9456410256</v>
      </c>
      <c r="M29" s="17" t="n">
        <f aca="false">IFERROR(M9/M20,0)</f>
        <v>31111.5565128205</v>
      </c>
      <c r="N29" s="17" t="n">
        <f aca="false">IFERROR(N9/N20,0)</f>
        <v>116884.941804455</v>
      </c>
      <c r="O29" s="17" t="n">
        <f aca="false">IFERROR(O9/O20,0)</f>
        <v>111617.736148652</v>
      </c>
      <c r="P29" s="17" t="n">
        <f aca="false">IFERROR(P9/P20,0)</f>
        <v>118024.661804455</v>
      </c>
      <c r="Q29" s="17" t="n">
        <f aca="false">IFERROR(Q9/Q20,0)</f>
        <v>110745.308863278</v>
      </c>
      <c r="R29" s="17" t="n">
        <f aca="false">IFERROR(R9/R20,0)</f>
        <v>106490.031407911</v>
      </c>
      <c r="S29" s="17" t="n">
        <f aca="false">IFERROR(S9/S20,0)</f>
        <v>87910.7751179485</v>
      </c>
      <c r="T29" s="17" t="n">
        <f aca="false">IFERROR(T9/T20,0)</f>
        <v>92221.868545209</v>
      </c>
      <c r="U29" s="17" t="n">
        <f aca="false">IFERROR(U9/U20,0)</f>
        <v>97633.2684643873</v>
      </c>
      <c r="V29" s="17" t="n">
        <f aca="false">IFERROR(V9/V20,0)</f>
        <v>99838.8240199428</v>
      </c>
      <c r="W29" s="17" t="n">
        <f aca="false">IFERROR(W9/W20,0)</f>
        <v>111484.300584936</v>
      </c>
      <c r="X29" s="17" t="n">
        <f aca="false">IFERROR(X9/X20,0)</f>
        <v>125450.275833333</v>
      </c>
      <c r="Y29" s="17" t="n">
        <f aca="false">IFERROR(Y9/Y20,0)</f>
        <v>122830.520119047</v>
      </c>
      <c r="Z29" s="17" t="n">
        <f aca="false">IFERROR(Z9/Z20,0)</f>
        <v>23950.8532619048</v>
      </c>
      <c r="AA29" s="17" t="n">
        <f aca="false">IFERROR(AA9/AA20,0)</f>
        <v>22412.4177857143</v>
      </c>
      <c r="AB29" s="17" t="n">
        <f aca="false">IFERROR(AB9/AB20,0)</f>
        <v>22412.4177857143</v>
      </c>
      <c r="AC29" s="17" t="n">
        <f aca="false">IFERROR(AC9/AC20,0)</f>
        <v>23521.0653076923</v>
      </c>
      <c r="AD29" s="17" t="n">
        <f aca="false">IFERROR(AD9/AD20,0)</f>
        <v>24560.32075</v>
      </c>
      <c r="AE29" s="17" t="n">
        <f aca="false">IFERROR(AE9/AE20,0)</f>
        <v>29990.013</v>
      </c>
      <c r="AF29" s="17" t="n">
        <f aca="false">IFERROR(AF9/AF20,0)</f>
        <v>34037.7390909091</v>
      </c>
      <c r="AG29" s="17" t="n">
        <f aca="false">IFERROR(AG9/AG20,0)</f>
        <v>36148.18</v>
      </c>
      <c r="AH29" s="17" t="n">
        <f aca="false">IFERROR(AH9/AH20,0)</f>
        <v>35053.5333333333</v>
      </c>
      <c r="AI29" s="17" t="n">
        <f aca="false">IFERROR(AI9/AI20,0)</f>
        <v>30874.9188811189</v>
      </c>
      <c r="AJ29" s="17" t="n">
        <f aca="false">IFERROR(AJ9/AJ20,0)</f>
        <v>33785.3423076923</v>
      </c>
      <c r="AK29" s="17" t="n">
        <f aca="false">IFERROR(AK9/AK20,0)</f>
        <v>27469.0637692308</v>
      </c>
      <c r="AL29" s="17" t="n">
        <f aca="false">IFERROR(AL9/AL20,0)</f>
        <v>28561.3297115385</v>
      </c>
      <c r="AM29" s="17" t="n">
        <f aca="false">IFERROR(AM9/AM20,0)</f>
        <v>22604.5152991453</v>
      </c>
      <c r="AN29" s="17" t="n">
        <f aca="false">IFERROR(AN9/AN20,0)</f>
        <v>25177.2198076923</v>
      </c>
      <c r="AO29" s="17" t="n">
        <f aca="false">IFERROR(AO9/AO20,0)</f>
        <v>28987.4464158918</v>
      </c>
      <c r="AP29" s="17" t="n">
        <f aca="false">IFERROR(AP9/AP20,0)</f>
        <v>40102.6288147566</v>
      </c>
      <c r="AQ29" s="17" t="n">
        <f aca="false">IFERROR(AQ9/AQ20,0)</f>
        <v>41356.6802620456</v>
      </c>
      <c r="AR29" s="17" t="n">
        <f aca="false">IFERROR(AR9/AR20,0)</f>
        <v>39414.3369505494</v>
      </c>
      <c r="AS29" s="17" t="n">
        <f aca="false">IFERROR(AS9/AS20,0)</f>
        <v>39414.3369505494</v>
      </c>
      <c r="AT29" s="17" t="n">
        <f aca="false">IFERROR(AT9/AT20,0)</f>
        <v>39414.3369505494</v>
      </c>
      <c r="AU29" s="17" t="n">
        <f aca="false">IFERROR(AU9/AU20,0)</f>
        <v>45777.9735714285</v>
      </c>
      <c r="AV29" s="17" t="n">
        <f aca="false">IFERROR(AV9/AV20,0)</f>
        <v>40142.1477777777</v>
      </c>
      <c r="AW29" s="17" t="n">
        <f aca="false">IFERROR(AW9/AW20,0)</f>
        <v>44943.2499999999</v>
      </c>
      <c r="AX29" s="17" t="n">
        <f aca="false">IFERROR(AX9/AX20,0)</f>
        <v>44943.2499999999</v>
      </c>
      <c r="AY29" s="17" t="n">
        <f aca="false">IFERROR(AY9/AY20,0)</f>
        <v>67349.1999999999</v>
      </c>
      <c r="AZ29" s="17" t="n">
        <f aca="false">IFERROR(AZ9/AZ20,0)</f>
        <v>119030</v>
      </c>
      <c r="BA29" s="17" t="n">
        <f aca="false">IFERROR(BA9/BA20,0)</f>
        <v>184600</v>
      </c>
      <c r="BB29" s="17" t="n">
        <f aca="false">IFERROR(BB9/BB20,0)</f>
        <v>0</v>
      </c>
    </row>
  </sheetData>
  <mergeCells count="4">
    <mergeCell ref="A1:BB1"/>
    <mergeCell ref="A16:BB16"/>
    <mergeCell ref="A22:BB22"/>
    <mergeCell ref="A27:B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7" min="2" style="0" width="12"/>
  </cols>
  <sheetData>
    <row r="1" customFormat="false" ht="15" hidden="false" customHeight="false" outlineLevel="0" collapsed="false">
      <c r="A1" s="7" t="s">
        <v>131</v>
      </c>
      <c r="B1" s="8" t="s">
        <v>132</v>
      </c>
      <c r="C1" s="8" t="s">
        <v>133</v>
      </c>
      <c r="D1" s="8" t="s">
        <v>134</v>
      </c>
      <c r="E1" s="8" t="s">
        <v>135</v>
      </c>
      <c r="F1" s="8" t="s">
        <v>136</v>
      </c>
      <c r="G1" s="8" t="s">
        <v>137</v>
      </c>
      <c r="H1" s="8" t="s">
        <v>138</v>
      </c>
      <c r="I1" s="8" t="s">
        <v>139</v>
      </c>
      <c r="J1" s="8" t="s">
        <v>140</v>
      </c>
      <c r="K1" s="8" t="s">
        <v>141</v>
      </c>
      <c r="L1" s="8" t="s">
        <v>142</v>
      </c>
      <c r="M1" s="8" t="s">
        <v>143</v>
      </c>
      <c r="N1" s="8" t="s">
        <v>5</v>
      </c>
      <c r="O1" s="8" t="s">
        <v>6</v>
      </c>
      <c r="P1" s="8" t="s">
        <v>7</v>
      </c>
      <c r="Q1" s="8" t="s">
        <v>8</v>
      </c>
      <c r="R1" s="8" t="s">
        <v>9</v>
      </c>
      <c r="S1" s="8" t="s">
        <v>10</v>
      </c>
      <c r="T1" s="8" t="s">
        <v>11</v>
      </c>
      <c r="U1" s="8" t="s">
        <v>12</v>
      </c>
      <c r="V1" s="8" t="s">
        <v>13</v>
      </c>
      <c r="W1" s="8" t="s">
        <v>14</v>
      </c>
      <c r="X1" s="8" t="s">
        <v>15</v>
      </c>
      <c r="Y1" s="8" t="s">
        <v>16</v>
      </c>
      <c r="Z1" s="8" t="s">
        <v>17</v>
      </c>
      <c r="AA1" s="8" t="s">
        <v>18</v>
      </c>
      <c r="AB1" s="8" t="s">
        <v>19</v>
      </c>
      <c r="AC1" s="8" t="s">
        <v>20</v>
      </c>
      <c r="AD1" s="8" t="s">
        <v>21</v>
      </c>
      <c r="AE1" s="8" t="s">
        <v>22</v>
      </c>
      <c r="AF1" s="8" t="s">
        <v>23</v>
      </c>
      <c r="AG1" s="8" t="s">
        <v>24</v>
      </c>
      <c r="AH1" s="8" t="s">
        <v>25</v>
      </c>
      <c r="AI1" s="8" t="s">
        <v>26</v>
      </c>
      <c r="AJ1" s="8" t="s">
        <v>27</v>
      </c>
      <c r="AK1" s="8" t="s">
        <v>28</v>
      </c>
      <c r="AL1" s="8" t="s">
        <v>29</v>
      </c>
      <c r="AM1" s="8" t="s">
        <v>30</v>
      </c>
      <c r="AN1" s="8" t="s">
        <v>31</v>
      </c>
      <c r="AO1" s="8" t="s">
        <v>32</v>
      </c>
      <c r="AP1" s="8" t="s">
        <v>33</v>
      </c>
      <c r="AQ1" s="8" t="s">
        <v>34</v>
      </c>
      <c r="AR1" s="8" t="s">
        <v>35</v>
      </c>
      <c r="AS1" s="8" t="s">
        <v>36</v>
      </c>
      <c r="AT1" s="8" t="s">
        <v>37</v>
      </c>
      <c r="AU1" s="8" t="s">
        <v>38</v>
      </c>
      <c r="AV1" s="8" t="s">
        <v>39</v>
      </c>
      <c r="AW1" s="8" t="s">
        <v>40</v>
      </c>
      <c r="AX1" s="8" t="s">
        <v>41</v>
      </c>
      <c r="AY1" s="8" t="s">
        <v>42</v>
      </c>
      <c r="AZ1" s="8" t="s">
        <v>43</v>
      </c>
      <c r="BA1" s="8" t="s">
        <v>44</v>
      </c>
      <c r="BB1" s="8" t="s">
        <v>45</v>
      </c>
      <c r="BC1" s="8" t="s">
        <v>46</v>
      </c>
      <c r="BD1" s="8" t="s">
        <v>47</v>
      </c>
      <c r="BE1" s="8" t="s">
        <v>48</v>
      </c>
      <c r="BF1" s="8" t="s">
        <v>49</v>
      </c>
      <c r="BG1" s="8" t="s">
        <v>50</v>
      </c>
      <c r="BH1" s="8" t="s">
        <v>51</v>
      </c>
      <c r="BI1" s="8" t="s">
        <v>52</v>
      </c>
      <c r="BJ1" s="8" t="s">
        <v>53</v>
      </c>
      <c r="BK1" s="8" t="s">
        <v>54</v>
      </c>
      <c r="BL1" s="8" t="s">
        <v>55</v>
      </c>
      <c r="BM1" s="8" t="s">
        <v>56</v>
      </c>
      <c r="BN1" s="8" t="s">
        <v>57</v>
      </c>
      <c r="BO1" s="18" t="s">
        <v>144</v>
      </c>
    </row>
    <row r="2" customFormat="false" ht="15" hidden="false" customHeight="false" outlineLevel="0" collapsed="false">
      <c r="A2" s="2" t="s">
        <v>145</v>
      </c>
      <c r="B2" s="15" t="n">
        <f aca="false">COUNTIF(B$12:B$108,"&gt;0")</f>
        <v>37</v>
      </c>
      <c r="C2" s="15" t="n">
        <f aca="false">COUNTIF(C$12:C$108,"&gt;0")</f>
        <v>37</v>
      </c>
      <c r="D2" s="15" t="n">
        <f aca="false">COUNTIF(D$12:D$108,"&gt;0")</f>
        <v>37</v>
      </c>
      <c r="E2" s="15" t="n">
        <f aca="false">COUNTIF(E$12:E$108,"&gt;0")</f>
        <v>37</v>
      </c>
      <c r="F2" s="15" t="n">
        <f aca="false">COUNTIF(F$12:F$108,"&gt;0")</f>
        <v>37</v>
      </c>
      <c r="G2" s="15" t="n">
        <f aca="false">COUNTIF(G$12:G$108,"&gt;0")</f>
        <v>39</v>
      </c>
      <c r="H2" s="15" t="n">
        <f aca="false">COUNTIF(H$12:H$108,"&gt;0")</f>
        <v>39</v>
      </c>
      <c r="I2" s="15" t="n">
        <f aca="false">COUNTIF(I$12:I$108,"&gt;0")</f>
        <v>41</v>
      </c>
      <c r="J2" s="15" t="n">
        <f aca="false">COUNTIF(J$12:J$108,"&gt;0")</f>
        <v>41</v>
      </c>
      <c r="K2" s="15" t="n">
        <f aca="false">COUNTIF(K$12:K$108,"&gt;0")</f>
        <v>42</v>
      </c>
      <c r="L2" s="15" t="n">
        <f aca="false">COUNTIF(L$12:L$108,"&gt;0")</f>
        <v>44</v>
      </c>
      <c r="M2" s="15" t="n">
        <f aca="false">COUNTIF(M$12:M$108,"&gt;0")</f>
        <v>44</v>
      </c>
      <c r="N2" s="15" t="n">
        <f aca="false">COUNTIF(N$12:N$108,"&gt;0")</f>
        <v>44</v>
      </c>
      <c r="O2" s="15" t="n">
        <f aca="false">COUNTIF(O$12:O$108,"&gt;0")</f>
        <v>45</v>
      </c>
      <c r="P2" s="15" t="n">
        <f aca="false">COUNTIF(P$12:P$108,"&gt;0")</f>
        <v>45</v>
      </c>
      <c r="Q2" s="15" t="n">
        <f aca="false">COUNTIF(Q$12:Q$108,"&gt;0")</f>
        <v>45</v>
      </c>
      <c r="R2" s="15" t="n">
        <f aca="false">COUNTIF(R$12:R$108,"&gt;0")</f>
        <v>45</v>
      </c>
      <c r="S2" s="15" t="n">
        <f aca="false">COUNTIF(S$12:S$108,"&gt;0")</f>
        <v>43</v>
      </c>
      <c r="T2" s="15" t="n">
        <f aca="false">COUNTIF(T$12:T$108,"&gt;0")</f>
        <v>42</v>
      </c>
      <c r="U2" s="15" t="n">
        <f aca="false">COUNTIF(U$12:U$108,"&gt;0")</f>
        <v>44</v>
      </c>
      <c r="V2" s="15" t="n">
        <f aca="false">COUNTIF(V$12:V$108,"&gt;0")</f>
        <v>45</v>
      </c>
      <c r="W2" s="15" t="n">
        <f aca="false">COUNTIF(W$12:W$108,"&gt;0")</f>
        <v>46</v>
      </c>
      <c r="X2" s="15" t="n">
        <f aca="false">COUNTIF(X$12:X$108,"&gt;0")</f>
        <v>48</v>
      </c>
      <c r="Y2" s="15" t="n">
        <f aca="false">COUNTIF(Y$12:Y$108,"&gt;0")</f>
        <v>50</v>
      </c>
      <c r="Z2" s="15" t="n">
        <f aca="false">COUNTIF(Z$12:Z$108,"&gt;0")</f>
        <v>52</v>
      </c>
      <c r="AA2" s="15" t="n">
        <f aca="false">COUNTIF(AA$12:AA$108,"&gt;0")</f>
        <v>54</v>
      </c>
      <c r="AB2" s="15" t="n">
        <f aca="false">COUNTIF(AB$12:AB$108,"&gt;0")</f>
        <v>54</v>
      </c>
      <c r="AC2" s="15" t="n">
        <f aca="false">COUNTIF(AC$12:AC$108,"&gt;0")</f>
        <v>55</v>
      </c>
      <c r="AD2" s="15" t="n">
        <f aca="false">COUNTIF(AD$12:AD$108,"&gt;0")</f>
        <v>55</v>
      </c>
      <c r="AE2" s="15" t="n">
        <f aca="false">COUNTIF(AE$12:AE$108,"&gt;0")</f>
        <v>58</v>
      </c>
      <c r="AF2" s="15" t="n">
        <f aca="false">COUNTIF(AF$12:AF$108,"&gt;0")</f>
        <v>57</v>
      </c>
      <c r="AG2" s="15" t="n">
        <f aca="false">COUNTIF(AG$12:AG$108,"&gt;0")</f>
        <v>58</v>
      </c>
      <c r="AH2" s="15" t="n">
        <f aca="false">COUNTIF(AH$12:AH$108,"&gt;0")</f>
        <v>59</v>
      </c>
      <c r="AI2" s="15" t="n">
        <f aca="false">COUNTIF(AI$12:AI$108,"&gt;0")</f>
        <v>59</v>
      </c>
      <c r="AJ2" s="15" t="n">
        <f aca="false">COUNTIF(AJ$12:AJ$108,"&gt;0")</f>
        <v>59</v>
      </c>
      <c r="AK2" s="15" t="n">
        <f aca="false">COUNTIF(AK$12:AK$108,"&gt;0")</f>
        <v>60</v>
      </c>
      <c r="AL2" s="15" t="n">
        <f aca="false">COUNTIF(AL$12:AL$108,"&gt;0")</f>
        <v>62</v>
      </c>
      <c r="AM2" s="15" t="n">
        <f aca="false">COUNTIF(AM$12:AM$108,"&gt;0")</f>
        <v>64</v>
      </c>
      <c r="AN2" s="15" t="n">
        <f aca="false">COUNTIF(AN$12:AN$108,"&gt;0")</f>
        <v>63</v>
      </c>
      <c r="AO2" s="15" t="n">
        <f aca="false">COUNTIF(AO$12:AO$108,"&gt;0")</f>
        <v>62</v>
      </c>
      <c r="AP2" s="15" t="n">
        <f aca="false">COUNTIF(AP$12:AP$108,"&gt;0")</f>
        <v>62</v>
      </c>
      <c r="AQ2" s="15" t="n">
        <f aca="false">COUNTIF(AQ$12:AQ$108,"&gt;0")</f>
        <v>62</v>
      </c>
      <c r="AR2" s="15" t="n">
        <f aca="false">COUNTIF(AR$12:AR$108,"&gt;0")</f>
        <v>62</v>
      </c>
      <c r="AS2" s="15" t="n">
        <f aca="false">COUNTIF(AS$12:AS$108,"&gt;0")</f>
        <v>60</v>
      </c>
      <c r="AT2" s="15" t="n">
        <f aca="false">COUNTIF(AT$12:AT$108,"&gt;0")</f>
        <v>60</v>
      </c>
      <c r="AU2" s="15" t="n">
        <f aca="false">COUNTIF(AU$12:AU$108,"&gt;0")</f>
        <v>62</v>
      </c>
      <c r="AV2" s="15" t="n">
        <f aca="false">COUNTIF(AV$12:AV$108,"&gt;0")</f>
        <v>62</v>
      </c>
      <c r="AW2" s="15" t="n">
        <f aca="false">COUNTIF(AW$12:AW$108,"&gt;0")</f>
        <v>61</v>
      </c>
      <c r="AX2" s="15" t="n">
        <f aca="false">COUNTIF(AX$12:AX$108,"&gt;0")</f>
        <v>60</v>
      </c>
      <c r="AY2" s="15" t="n">
        <f aca="false">COUNTIF(AY$12:AY$108,"&gt;0")</f>
        <v>61</v>
      </c>
      <c r="AZ2" s="15" t="n">
        <f aca="false">COUNTIF(AZ$12:AZ$108,"&gt;0")</f>
        <v>64</v>
      </c>
      <c r="BA2" s="15" t="n">
        <f aca="false">COUNTIF(BA$12:BA$108,"&gt;0")</f>
        <v>65</v>
      </c>
      <c r="BB2" s="15" t="n">
        <f aca="false">COUNTIF(BB$12:BB$108,"&gt;0")</f>
        <v>66</v>
      </c>
      <c r="BC2" s="15" t="n">
        <f aca="false">COUNTIF(BC$12:BC$108,"&gt;0")</f>
        <v>65</v>
      </c>
      <c r="BD2" s="15" t="n">
        <f aca="false">COUNTIF(BD$12:BD$108,"&gt;0")</f>
        <v>64</v>
      </c>
      <c r="BE2" s="15" t="n">
        <f aca="false">COUNTIF(BE$12:BE$108,"&gt;0")</f>
        <v>64</v>
      </c>
      <c r="BF2" s="15" t="n">
        <f aca="false">COUNTIF(BF$12:BF$108,"&gt;0")</f>
        <v>63</v>
      </c>
      <c r="BG2" s="15" t="n">
        <f aca="false">COUNTIF(BG$12:BG$108,"&gt;0")</f>
        <v>62</v>
      </c>
      <c r="BH2" s="15" t="n">
        <f aca="false">COUNTIF(BH$12:BH$108,"&gt;0")</f>
        <v>62</v>
      </c>
      <c r="BI2" s="15" t="n">
        <f aca="false">COUNTIF(BI$12:BI$108,"&gt;0")</f>
        <v>62</v>
      </c>
      <c r="BJ2" s="15" t="n">
        <f aca="false">COUNTIF(BJ$12:BJ$108,"&gt;0")</f>
        <v>62</v>
      </c>
      <c r="BK2" s="15" t="n">
        <f aca="false">COUNTIF(BK$12:BK$108,"&gt;0")</f>
        <v>60</v>
      </c>
      <c r="BL2" s="15" t="n">
        <f aca="false">COUNTIF(BL$12:BL$108,"&gt;0")</f>
        <v>59</v>
      </c>
      <c r="BM2" s="15" t="n">
        <f aca="false">COUNTIF(BM$12:BM$108,"&gt;0")</f>
        <v>59</v>
      </c>
      <c r="BN2" s="15" t="n">
        <f aca="false">COUNTIF(BN$12:BN$108,"&gt;0")</f>
        <v>58</v>
      </c>
    </row>
    <row r="3" customFormat="false" ht="15" hidden="false" customHeight="false" outlineLevel="0" collapsed="false">
      <c r="A3" s="2" t="s">
        <v>146</v>
      </c>
      <c r="B3" s="19" t="s">
        <v>147</v>
      </c>
      <c r="C3" s="19" t="s">
        <v>147</v>
      </c>
      <c r="D3" s="19" t="s">
        <v>147</v>
      </c>
      <c r="E3" s="19" t="s">
        <v>147</v>
      </c>
      <c r="F3" s="19" t="s">
        <v>147</v>
      </c>
      <c r="G3" s="19" t="s">
        <v>147</v>
      </c>
      <c r="H3" s="19" t="s">
        <v>147</v>
      </c>
      <c r="I3" s="19" t="s">
        <v>147</v>
      </c>
      <c r="J3" s="19" t="s">
        <v>147</v>
      </c>
      <c r="K3" s="19" t="s">
        <v>147</v>
      </c>
      <c r="L3" s="19" t="s">
        <v>147</v>
      </c>
      <c r="M3" s="19" t="s">
        <v>147</v>
      </c>
      <c r="N3" s="15" t="n">
        <f aca="false">SUMPRODUCT((N$12:N$108&gt;0)*(B$12:B$108&gt;0))</f>
        <v>31</v>
      </c>
      <c r="O3" s="15" t="n">
        <f aca="false">SUMPRODUCT((O$12:O$108&gt;0)*(C$12:C$108&gt;0))</f>
        <v>31</v>
      </c>
      <c r="P3" s="15" t="n">
        <f aca="false">SUMPRODUCT((P$12:P$108&gt;0)*(D$12:D$108&gt;0))</f>
        <v>30</v>
      </c>
      <c r="Q3" s="15" t="n">
        <f aca="false">SUMPRODUCT((Q$12:Q$108&gt;0)*(E$12:E$108&gt;0))</f>
        <v>30</v>
      </c>
      <c r="R3" s="15" t="n">
        <f aca="false">SUMPRODUCT((R$12:R$108&gt;0)*(F$12:F$108&gt;0))</f>
        <v>30</v>
      </c>
      <c r="S3" s="15" t="n">
        <f aca="false">SUMPRODUCT((S$12:S$108&gt;0)*(G$12:G$108&gt;0))</f>
        <v>32</v>
      </c>
      <c r="T3" s="15" t="n">
        <f aca="false">SUMPRODUCT((T$12:T$108&gt;0)*(H$12:H$108&gt;0))</f>
        <v>33</v>
      </c>
      <c r="U3" s="15" t="n">
        <f aca="false">SUMPRODUCT((U$12:U$108&gt;0)*(I$12:I$108&gt;0))</f>
        <v>33</v>
      </c>
      <c r="V3" s="15" t="n">
        <f aca="false">SUMPRODUCT((V$12:V$108&gt;0)*(J$12:J$108&gt;0))</f>
        <v>34</v>
      </c>
      <c r="W3" s="15" t="n">
        <f aca="false">SUMPRODUCT((W$12:W$108&gt;0)*(K$12:K$108&gt;0))</f>
        <v>35</v>
      </c>
      <c r="X3" s="15" t="n">
        <f aca="false">SUMPRODUCT((X$12:X$108&gt;0)*(L$12:L$108&gt;0))</f>
        <v>36</v>
      </c>
      <c r="Y3" s="15" t="n">
        <f aca="false">SUMPRODUCT((Y$12:Y$108&gt;0)*(M$12:M$108&gt;0))</f>
        <v>35</v>
      </c>
      <c r="Z3" s="15" t="n">
        <f aca="false">SUMPRODUCT((Z$12:Z$108&gt;0)*(N$12:N$108&gt;0))</f>
        <v>35</v>
      </c>
      <c r="AA3" s="15" t="n">
        <f aca="false">SUMPRODUCT((AA$12:AA$108&gt;0)*(O$12:O$108&gt;0))</f>
        <v>36</v>
      </c>
      <c r="AB3" s="15" t="n">
        <f aca="false">SUMPRODUCT((AB$12:AB$108&gt;0)*(P$12:P$108&gt;0))</f>
        <v>37</v>
      </c>
      <c r="AC3" s="15" t="n">
        <f aca="false">SUMPRODUCT((AC$12:AC$108&gt;0)*(Q$12:Q$108&gt;0))</f>
        <v>38</v>
      </c>
      <c r="AD3" s="15" t="n">
        <f aca="false">SUMPRODUCT((AD$12:AD$108&gt;0)*(R$12:R$108&gt;0))</f>
        <v>37</v>
      </c>
      <c r="AE3" s="15" t="n">
        <f aca="false">SUMPRODUCT((AE$12:AE$108&gt;0)*(S$12:S$108&gt;0))</f>
        <v>38</v>
      </c>
      <c r="AF3" s="15" t="n">
        <f aca="false">SUMPRODUCT((AF$12:AF$108&gt;0)*(T$12:T$108&gt;0))</f>
        <v>38</v>
      </c>
      <c r="AG3" s="15" t="n">
        <f aca="false">SUMPRODUCT((AG$12:AG$108&gt;0)*(U$12:U$108&gt;0))</f>
        <v>40</v>
      </c>
      <c r="AH3" s="15" t="n">
        <f aca="false">SUMPRODUCT((AH$12:AH$108&gt;0)*(V$12:V$108&gt;0))</f>
        <v>41</v>
      </c>
      <c r="AI3" s="15" t="n">
        <f aca="false">SUMPRODUCT((AI$12:AI$108&gt;0)*(W$12:W$108&gt;0))</f>
        <v>43</v>
      </c>
      <c r="AJ3" s="15" t="n">
        <f aca="false">SUMPRODUCT((AJ$12:AJ$108&gt;0)*(X$12:X$108&gt;0))</f>
        <v>45</v>
      </c>
      <c r="AK3" s="15" t="n">
        <f aca="false">SUMPRODUCT((AK$12:AK$108&gt;0)*(Y$12:Y$108&gt;0))</f>
        <v>46</v>
      </c>
      <c r="AL3" s="15" t="n">
        <f aca="false">SUMPRODUCT((AL$12:AL$108&gt;0)*(Z$12:Z$108&gt;0))</f>
        <v>48</v>
      </c>
      <c r="AM3" s="15" t="n">
        <f aca="false">SUMPRODUCT((AM$12:AM$108&gt;0)*(AA$12:AA$108&gt;0))</f>
        <v>50</v>
      </c>
      <c r="AN3" s="15" t="n">
        <f aca="false">SUMPRODUCT((AN$12:AN$108&gt;0)*(AB$12:AB$108&gt;0))</f>
        <v>49</v>
      </c>
      <c r="AO3" s="15" t="n">
        <f aca="false">SUMPRODUCT((AO$12:AO$108&gt;0)*(AC$12:AC$108&gt;0))</f>
        <v>49</v>
      </c>
      <c r="AP3" s="15" t="n">
        <f aca="false">SUMPRODUCT((AP$12:AP$108&gt;0)*(AD$12:AD$108&gt;0))</f>
        <v>50</v>
      </c>
      <c r="AQ3" s="15" t="n">
        <f aca="false">SUMPRODUCT((AQ$12:AQ$108&gt;0)*(AE$12:AE$108&gt;0))</f>
        <v>52</v>
      </c>
      <c r="AR3" s="15" t="n">
        <f aca="false">SUMPRODUCT((AR$12:AR$108&gt;0)*(AF$12:AF$108&gt;0))</f>
        <v>51</v>
      </c>
      <c r="AS3" s="15" t="n">
        <f aca="false">SUMPRODUCT((AS$12:AS$108&gt;0)*(AG$12:AG$108&gt;0))</f>
        <v>50</v>
      </c>
      <c r="AT3" s="15" t="n">
        <f aca="false">SUMPRODUCT((AT$12:AT$108&gt;0)*(AH$12:AH$108&gt;0))</f>
        <v>51</v>
      </c>
      <c r="AU3" s="15" t="n">
        <f aca="false">SUMPRODUCT((AU$12:AU$108&gt;0)*(AI$12:AI$108&gt;0))</f>
        <v>51</v>
      </c>
      <c r="AV3" s="15" t="n">
        <f aca="false">SUMPRODUCT((AV$12:AV$108&gt;0)*(AJ$12:AJ$108&gt;0))</f>
        <v>50</v>
      </c>
      <c r="AW3" s="15" t="n">
        <f aca="false">SUMPRODUCT((AW$12:AW$108&gt;0)*(AK$12:AK$108&gt;0))</f>
        <v>51</v>
      </c>
      <c r="AX3" s="15" t="n">
        <f aca="false">SUMPRODUCT((AX$12:AX$108&gt;0)*(AL$12:AL$108&gt;0))</f>
        <v>52</v>
      </c>
      <c r="AY3" s="15" t="n">
        <f aca="false">SUMPRODUCT((AY$12:AY$108&gt;0)*(AM$12:AM$108&gt;0))</f>
        <v>52</v>
      </c>
      <c r="AZ3" s="15" t="n">
        <f aca="false">SUMPRODUCT((AZ$12:AZ$108&gt;0)*(AN$12:AN$108&gt;0))</f>
        <v>52</v>
      </c>
      <c r="BA3" s="15" t="n">
        <f aca="false">SUMPRODUCT((BA$12:BA$108&gt;0)*(AO$12:AO$108&gt;0))</f>
        <v>52</v>
      </c>
      <c r="BB3" s="15" t="n">
        <f aca="false">SUMPRODUCT((BB$12:BB$108&gt;0)*(AP$12:AP$108&gt;0))</f>
        <v>52</v>
      </c>
      <c r="BC3" s="15" t="n">
        <f aca="false">SUMPRODUCT((BC$12:BC$108&gt;0)*(AQ$12:AQ$108&gt;0))</f>
        <v>52</v>
      </c>
      <c r="BD3" s="15" t="n">
        <f aca="false">SUMPRODUCT((BD$12:BD$108&gt;0)*(AR$12:AR$108&gt;0))</f>
        <v>52</v>
      </c>
      <c r="BE3" s="15" t="n">
        <f aca="false">SUMPRODUCT((BE$12:BE$108&gt;0)*(AS$12:AS$108&gt;0))</f>
        <v>52</v>
      </c>
      <c r="BF3" s="15" t="n">
        <f aca="false">SUMPRODUCT((BF$12:BF$108&gt;0)*(AT$12:AT$108&gt;0))</f>
        <v>51</v>
      </c>
      <c r="BG3" s="15" t="n">
        <f aca="false">SUMPRODUCT((BG$12:BG$108&gt;0)*(AU$12:AU$108&gt;0))</f>
        <v>52</v>
      </c>
      <c r="BH3" s="15" t="n">
        <f aca="false">SUMPRODUCT((BH$12:BH$108&gt;0)*(AV$12:AV$108&gt;0))</f>
        <v>53</v>
      </c>
      <c r="BI3" s="15" t="n">
        <f aca="false">SUMPRODUCT((BI$12:BI$108&gt;0)*(AW$12:AW$108&gt;0))</f>
        <v>54</v>
      </c>
      <c r="BJ3" s="15" t="n">
        <f aca="false">SUMPRODUCT((BJ$12:BJ$108&gt;0)*(AX$12:AX$108&gt;0))</f>
        <v>54</v>
      </c>
      <c r="BK3" s="15" t="n">
        <f aca="false">SUMPRODUCT((BK$12:BK$108&gt;0)*(AY$12:AY$108&gt;0))</f>
        <v>55</v>
      </c>
      <c r="BL3" s="15" t="n">
        <f aca="false">SUMPRODUCT((BL$12:BL$108&gt;0)*(AZ$12:AZ$108&gt;0))</f>
        <v>57</v>
      </c>
      <c r="BM3" s="15" t="n">
        <f aca="false">SUMPRODUCT((BM$12:BM$108&gt;0)*(BA$12:BA$108&gt;0))</f>
        <v>58</v>
      </c>
      <c r="BN3" s="15" t="n">
        <f aca="false">SUMPRODUCT((BN$12:BN$108&gt;0)*(BB$12:BB$108&gt;0))</f>
        <v>58</v>
      </c>
    </row>
    <row r="12" customFormat="false" ht="15" hidden="false" customHeight="false" outlineLevel="0" collapsed="false">
      <c r="A12" s="20" t="str">
        <f aca="false">'Raw Data'!A12</f>
        <v>Local Account #1 from CA</v>
      </c>
      <c r="B12" s="12" t="n">
        <f aca="false">IF('Raw Data'!G12="",0,'Raw Data'!G12)</f>
        <v>0</v>
      </c>
      <c r="C12" s="12" t="n">
        <f aca="false">IF('Raw Data'!H12="",0,'Raw Data'!H12)</f>
        <v>0</v>
      </c>
      <c r="D12" s="12" t="n">
        <f aca="false">IF('Raw Data'!I12="",0,'Raw Data'!I12)</f>
        <v>0</v>
      </c>
      <c r="E12" s="12" t="n">
        <f aca="false">IF('Raw Data'!J12="",0,'Raw Data'!J12)</f>
        <v>0</v>
      </c>
      <c r="F12" s="12" t="n">
        <f aca="false">IF('Raw Data'!K12="",0,'Raw Data'!K12)</f>
        <v>0</v>
      </c>
      <c r="G12" s="12" t="n">
        <f aca="false">IF('Raw Data'!L12="",0,'Raw Data'!L12)</f>
        <v>0</v>
      </c>
      <c r="H12" s="12" t="n">
        <f aca="false">IF('Raw Data'!M12="",0,'Raw Data'!M12)</f>
        <v>0</v>
      </c>
      <c r="I12" s="12" t="n">
        <f aca="false">IF('Raw Data'!N12="",0,'Raw Data'!N12)</f>
        <v>0</v>
      </c>
      <c r="J12" s="12" t="n">
        <f aca="false">IF('Raw Data'!O12="",0,'Raw Data'!O12)</f>
        <v>0</v>
      </c>
      <c r="K12" s="12" t="n">
        <f aca="false">IF('Raw Data'!P12="",0,'Raw Data'!P12)</f>
        <v>0</v>
      </c>
      <c r="L12" s="12" t="n">
        <f aca="false">IF('Raw Data'!Q12="",0,'Raw Data'!Q12)</f>
        <v>0</v>
      </c>
      <c r="M12" s="12" t="n">
        <f aca="false">IF('Raw Data'!R12="",0,'Raw Data'!R12)</f>
        <v>0</v>
      </c>
      <c r="N12" s="12" t="n">
        <f aca="false">IF('Raw Data'!S12="",0,'Raw Data'!S12)</f>
        <v>0</v>
      </c>
      <c r="O12" s="12" t="n">
        <f aca="false">IF('Raw Data'!T12="",0,'Raw Data'!T12)</f>
        <v>0</v>
      </c>
      <c r="P12" s="12" t="n">
        <f aca="false">IF('Raw Data'!U12="",0,'Raw Data'!U12)</f>
        <v>0</v>
      </c>
      <c r="Q12" s="12" t="n">
        <f aca="false">IF('Raw Data'!V12="",0,'Raw Data'!V12)</f>
        <v>0</v>
      </c>
      <c r="R12" s="12" t="n">
        <f aca="false">IF('Raw Data'!W12="",0,'Raw Data'!W12)</f>
        <v>0</v>
      </c>
      <c r="S12" s="12" t="n">
        <f aca="false">IF('Raw Data'!X12="",0,'Raw Data'!X12)</f>
        <v>0</v>
      </c>
      <c r="T12" s="12" t="n">
        <f aca="false">IF('Raw Data'!Y12="",0,'Raw Data'!Y12)</f>
        <v>0</v>
      </c>
      <c r="U12" s="12" t="n">
        <f aca="false">IF('Raw Data'!Z12="",0,'Raw Data'!Z12)</f>
        <v>0</v>
      </c>
      <c r="V12" s="12" t="n">
        <f aca="false">IF('Raw Data'!AA12="",0,'Raw Data'!AA12)</f>
        <v>0</v>
      </c>
      <c r="W12" s="12" t="n">
        <f aca="false">IF('Raw Data'!AB12="",0,'Raw Data'!AB12)</f>
        <v>0</v>
      </c>
      <c r="X12" s="12" t="n">
        <f aca="false">IF('Raw Data'!AC12="",0,'Raw Data'!AC12)</f>
        <v>0</v>
      </c>
      <c r="Y12" s="12" t="n">
        <f aca="false">IF('Raw Data'!AD12="",0,'Raw Data'!AD12)</f>
        <v>0</v>
      </c>
      <c r="Z12" s="12" t="n">
        <f aca="false">IF('Raw Data'!AE12="",0,'Raw Data'!AE12)</f>
        <v>0</v>
      </c>
      <c r="AA12" s="12" t="n">
        <f aca="false">IF('Raw Data'!AF12="",0,'Raw Data'!AF12)</f>
        <v>0</v>
      </c>
      <c r="AB12" s="12" t="n">
        <f aca="false">IF('Raw Data'!AG12="",0,'Raw Data'!AG12)</f>
        <v>0</v>
      </c>
      <c r="AC12" s="12" t="n">
        <f aca="false">IF('Raw Data'!AH12="",0,'Raw Data'!AH12)</f>
        <v>0</v>
      </c>
      <c r="AD12" s="12" t="n">
        <f aca="false">IF('Raw Data'!AI12="",0,'Raw Data'!AI12)</f>
        <v>0</v>
      </c>
      <c r="AE12" s="12" t="n">
        <f aca="false">IF('Raw Data'!AJ12="",0,'Raw Data'!AJ12)</f>
        <v>0</v>
      </c>
      <c r="AF12" s="12" t="n">
        <f aca="false">IF('Raw Data'!AK12="",0,'Raw Data'!AK12)</f>
        <v>0</v>
      </c>
      <c r="AG12" s="12" t="n">
        <f aca="false">IF('Raw Data'!AL12="",0,'Raw Data'!AL12)</f>
        <v>0</v>
      </c>
      <c r="AH12" s="12" t="n">
        <f aca="false">IF('Raw Data'!AM12="",0,'Raw Data'!AM12)</f>
        <v>0</v>
      </c>
      <c r="AI12" s="12" t="n">
        <f aca="false">IF('Raw Data'!AN12="",0,'Raw Data'!AN12)</f>
        <v>0</v>
      </c>
      <c r="AJ12" s="12" t="n">
        <f aca="false">IF('Raw Data'!AO12="",0,'Raw Data'!AO12)</f>
        <v>0</v>
      </c>
      <c r="AK12" s="12" t="n">
        <f aca="false">IF('Raw Data'!AP12="",0,'Raw Data'!AP12)</f>
        <v>0</v>
      </c>
      <c r="AL12" s="12" t="n">
        <f aca="false">IF('Raw Data'!AQ12="",0,'Raw Data'!AQ12)</f>
        <v>0</v>
      </c>
      <c r="AM12" s="12" t="n">
        <f aca="false">IF('Raw Data'!AR12="",0,'Raw Data'!AR12)</f>
        <v>0</v>
      </c>
      <c r="AN12" s="12" t="n">
        <f aca="false">IF('Raw Data'!AS12="",0,'Raw Data'!AS12)</f>
        <v>0</v>
      </c>
      <c r="AO12" s="12" t="n">
        <f aca="false">IF('Raw Data'!AT12="",0,'Raw Data'!AT12)</f>
        <v>0</v>
      </c>
      <c r="AP12" s="12" t="n">
        <f aca="false">IF('Raw Data'!AU12="",0,'Raw Data'!AU12)</f>
        <v>0</v>
      </c>
      <c r="AQ12" s="12" t="n">
        <f aca="false">IF('Raw Data'!AV12="",0,'Raw Data'!AV12)</f>
        <v>0</v>
      </c>
      <c r="AR12" s="12" t="n">
        <f aca="false">IF('Raw Data'!AW12="",0,'Raw Data'!AW12)</f>
        <v>0</v>
      </c>
      <c r="AS12" s="12" t="n">
        <f aca="false">IF('Raw Data'!AX12="",0,'Raw Data'!AX12)</f>
        <v>0</v>
      </c>
      <c r="AT12" s="12" t="n">
        <f aca="false">IF('Raw Data'!AY12="",0,'Raw Data'!AY12)</f>
        <v>0</v>
      </c>
      <c r="AU12" s="12" t="n">
        <f aca="false">IF('Raw Data'!AZ12="",0,'Raw Data'!AZ12)</f>
        <v>0</v>
      </c>
      <c r="AV12" s="12" t="n">
        <f aca="false">IF('Raw Data'!BA12="",0,'Raw Data'!BA12)</f>
        <v>0</v>
      </c>
      <c r="AW12" s="12" t="n">
        <f aca="false">IF('Raw Data'!BB12="",0,'Raw Data'!BB12)</f>
        <v>0</v>
      </c>
      <c r="AX12" s="12" t="n">
        <f aca="false">IF('Raw Data'!BC12="",0,'Raw Data'!BC12)</f>
        <v>0</v>
      </c>
      <c r="AY12" s="12" t="n">
        <f aca="false">IF('Raw Data'!BD12="",0,'Raw Data'!BD12)</f>
        <v>0</v>
      </c>
      <c r="AZ12" s="12" t="n">
        <f aca="false">IF('Raw Data'!BE12="",0,'Raw Data'!BE12)</f>
        <v>7973.83333333333</v>
      </c>
      <c r="BA12" s="12" t="n">
        <f aca="false">IF('Raw Data'!BF12="",0,'Raw Data'!BF12)</f>
        <v>7973.83333333333</v>
      </c>
      <c r="BB12" s="12" t="n">
        <f aca="false">IF('Raw Data'!BG12="",0,'Raw Data'!BG12)</f>
        <v>7973.83333333333</v>
      </c>
      <c r="BC12" s="12" t="n">
        <f aca="false">IF('Raw Data'!BH12="",0,'Raw Data'!BH12)</f>
        <v>7973.83333333333</v>
      </c>
      <c r="BD12" s="12" t="n">
        <f aca="false">IF('Raw Data'!BI12="",0,'Raw Data'!BI12)</f>
        <v>7973.83333333333</v>
      </c>
      <c r="BE12" s="12" t="n">
        <f aca="false">IF('Raw Data'!BJ12="",0,'Raw Data'!BJ12)</f>
        <v>7973.83333333333</v>
      </c>
      <c r="BF12" s="12" t="n">
        <f aca="false">IF('Raw Data'!BK12="",0,'Raw Data'!BK12)</f>
        <v>7973.83333333333</v>
      </c>
      <c r="BG12" s="12" t="n">
        <f aca="false">IF('Raw Data'!BL12="",0,'Raw Data'!BL12)</f>
        <v>7973.83333333333</v>
      </c>
      <c r="BH12" s="12" t="n">
        <f aca="false">IF('Raw Data'!BM12="",0,'Raw Data'!BM12)</f>
        <v>7973.83333333333</v>
      </c>
      <c r="BI12" s="12" t="n">
        <f aca="false">IF('Raw Data'!BN12="",0,'Raw Data'!BN12)</f>
        <v>7973.83333333333</v>
      </c>
      <c r="BJ12" s="12" t="n">
        <f aca="false">IF('Raw Data'!BO12="",0,'Raw Data'!BO12)</f>
        <v>7973.83333333333</v>
      </c>
      <c r="BK12" s="12" t="n">
        <f aca="false">IF('Raw Data'!BP12="",0,'Raw Data'!BP12)</f>
        <v>7973.83333333333</v>
      </c>
      <c r="BL12" s="12" t="n">
        <f aca="false">IF('Raw Data'!BQ12="",0,'Raw Data'!BQ12)</f>
        <v>8236.25</v>
      </c>
      <c r="BM12" s="12" t="n">
        <f aca="false">IF('Raw Data'!BR12="",0,'Raw Data'!BR12)</f>
        <v>8236.25</v>
      </c>
      <c r="BN12" s="12" t="n">
        <f aca="false">IF('Raw Data'!BS12="",0,'Raw Data'!BS12)</f>
        <v>8236.25</v>
      </c>
      <c r="BO12" s="21" t="b">
        <f aca="false">FALSE()</f>
        <v>0</v>
      </c>
    </row>
    <row r="13" customFormat="false" ht="15" hidden="false" customHeight="false" outlineLevel="0" collapsed="false">
      <c r="A13" s="20" t="str">
        <f aca="false">'Raw Data'!A21</f>
        <v>Local Account #10 from MI</v>
      </c>
      <c r="B13" s="12" t="n">
        <f aca="false">IF('Raw Data'!G21="",0,'Raw Data'!G21)</f>
        <v>0</v>
      </c>
      <c r="C13" s="12" t="n">
        <f aca="false">IF('Raw Data'!H21="",0,'Raw Data'!H21)</f>
        <v>0</v>
      </c>
      <c r="D13" s="12" t="n">
        <f aca="false">IF('Raw Data'!I21="",0,'Raw Data'!I21)</f>
        <v>0</v>
      </c>
      <c r="E13" s="12" t="n">
        <f aca="false">IF('Raw Data'!J21="",0,'Raw Data'!J21)</f>
        <v>682</v>
      </c>
      <c r="F13" s="12" t="n">
        <f aca="false">IF('Raw Data'!K21="",0,'Raw Data'!K21)</f>
        <v>682</v>
      </c>
      <c r="G13" s="12" t="n">
        <f aca="false">IF('Raw Data'!L21="",0,'Raw Data'!L21)</f>
        <v>682</v>
      </c>
      <c r="H13" s="12" t="n">
        <f aca="false">IF('Raw Data'!M21="",0,'Raw Data'!M21)</f>
        <v>682</v>
      </c>
      <c r="I13" s="12" t="n">
        <f aca="false">IF('Raw Data'!N21="",0,'Raw Data'!N21)</f>
        <v>8362.75</v>
      </c>
      <c r="J13" s="12" t="n">
        <f aca="false">IF('Raw Data'!O21="",0,'Raw Data'!O21)</f>
        <v>8362.75</v>
      </c>
      <c r="K13" s="12" t="n">
        <f aca="false">IF('Raw Data'!P21="",0,'Raw Data'!P21)</f>
        <v>8362.75</v>
      </c>
      <c r="L13" s="12" t="n">
        <f aca="false">IF('Raw Data'!Q21="",0,'Raw Data'!Q21)</f>
        <v>8362.75</v>
      </c>
      <c r="M13" s="12" t="n">
        <f aca="false">IF('Raw Data'!R21="",0,'Raw Data'!R21)</f>
        <v>8362.75</v>
      </c>
      <c r="N13" s="12" t="n">
        <f aca="false">IF('Raw Data'!S21="",0,'Raw Data'!S21)</f>
        <v>8362.75</v>
      </c>
      <c r="O13" s="12" t="n">
        <f aca="false">IF('Raw Data'!T21="",0,'Raw Data'!T21)</f>
        <v>8362.75</v>
      </c>
      <c r="P13" s="12" t="n">
        <f aca="false">IF('Raw Data'!U21="",0,'Raw Data'!U21)</f>
        <v>8362.75</v>
      </c>
      <c r="Q13" s="12" t="n">
        <f aca="false">IF('Raw Data'!V21="",0,'Raw Data'!V21)</f>
        <v>0</v>
      </c>
      <c r="R13" s="12" t="n">
        <f aca="false">IF('Raw Data'!W21="",0,'Raw Data'!W21)</f>
        <v>0</v>
      </c>
      <c r="S13" s="12" t="n">
        <f aca="false">IF('Raw Data'!X21="",0,'Raw Data'!X21)</f>
        <v>0</v>
      </c>
      <c r="T13" s="12" t="n">
        <f aca="false">IF('Raw Data'!Y21="",0,'Raw Data'!Y21)</f>
        <v>0</v>
      </c>
      <c r="U13" s="12" t="n">
        <f aca="false">IF('Raw Data'!Z21="",0,'Raw Data'!Z21)</f>
        <v>0</v>
      </c>
      <c r="V13" s="12" t="n">
        <f aca="false">IF('Raw Data'!AA21="",0,'Raw Data'!AA21)</f>
        <v>0</v>
      </c>
      <c r="W13" s="12" t="n">
        <f aca="false">IF('Raw Data'!AB21="",0,'Raw Data'!AB21)</f>
        <v>0</v>
      </c>
      <c r="X13" s="12" t="n">
        <f aca="false">IF('Raw Data'!AC21="",0,'Raw Data'!AC21)</f>
        <v>0</v>
      </c>
      <c r="Y13" s="12" t="n">
        <f aca="false">IF('Raw Data'!AD21="",0,'Raw Data'!AD21)</f>
        <v>0</v>
      </c>
      <c r="Z13" s="12" t="n">
        <f aca="false">IF('Raw Data'!AE21="",0,'Raw Data'!AE21)</f>
        <v>0</v>
      </c>
      <c r="AA13" s="12" t="n">
        <f aca="false">IF('Raw Data'!AF21="",0,'Raw Data'!AF21)</f>
        <v>0</v>
      </c>
      <c r="AB13" s="12" t="n">
        <f aca="false">IF('Raw Data'!AG21="",0,'Raw Data'!AG21)</f>
        <v>0</v>
      </c>
      <c r="AC13" s="12" t="n">
        <f aca="false">IF('Raw Data'!AH21="",0,'Raw Data'!AH21)</f>
        <v>0</v>
      </c>
      <c r="AD13" s="12" t="n">
        <f aca="false">IF('Raw Data'!AI21="",0,'Raw Data'!AI21)</f>
        <v>0</v>
      </c>
      <c r="AE13" s="12" t="n">
        <f aca="false">IF('Raw Data'!AJ21="",0,'Raw Data'!AJ21)</f>
        <v>0</v>
      </c>
      <c r="AF13" s="12" t="n">
        <f aca="false">IF('Raw Data'!AK21="",0,'Raw Data'!AK21)</f>
        <v>0</v>
      </c>
      <c r="AG13" s="12" t="n">
        <f aca="false">IF('Raw Data'!AL21="",0,'Raw Data'!AL21)</f>
        <v>0</v>
      </c>
      <c r="AH13" s="12" t="n">
        <f aca="false">IF('Raw Data'!AM21="",0,'Raw Data'!AM21)</f>
        <v>0</v>
      </c>
      <c r="AI13" s="12" t="n">
        <f aca="false">IF('Raw Data'!AN21="",0,'Raw Data'!AN21)</f>
        <v>0</v>
      </c>
      <c r="AJ13" s="12" t="n">
        <f aca="false">IF('Raw Data'!AO21="",0,'Raw Data'!AO21)</f>
        <v>0</v>
      </c>
      <c r="AK13" s="12" t="n">
        <f aca="false">IF('Raw Data'!AP21="",0,'Raw Data'!AP21)</f>
        <v>0</v>
      </c>
      <c r="AL13" s="12" t="n">
        <f aca="false">IF('Raw Data'!AQ21="",0,'Raw Data'!AQ21)</f>
        <v>0</v>
      </c>
      <c r="AM13" s="12" t="n">
        <f aca="false">IF('Raw Data'!AR21="",0,'Raw Data'!AR21)</f>
        <v>0</v>
      </c>
      <c r="AN13" s="12" t="n">
        <f aca="false">IF('Raw Data'!AS21="",0,'Raw Data'!AS21)</f>
        <v>0</v>
      </c>
      <c r="AO13" s="12" t="n">
        <f aca="false">IF('Raw Data'!AT21="",0,'Raw Data'!AT21)</f>
        <v>0</v>
      </c>
      <c r="AP13" s="12" t="n">
        <f aca="false">IF('Raw Data'!AU21="",0,'Raw Data'!AU21)</f>
        <v>0</v>
      </c>
      <c r="AQ13" s="12" t="n">
        <f aca="false">IF('Raw Data'!AV21="",0,'Raw Data'!AV21)</f>
        <v>0</v>
      </c>
      <c r="AR13" s="12" t="n">
        <f aca="false">IF('Raw Data'!AW21="",0,'Raw Data'!AW21)</f>
        <v>0</v>
      </c>
      <c r="AS13" s="12" t="n">
        <f aca="false">IF('Raw Data'!AX21="",0,'Raw Data'!AX21)</f>
        <v>0</v>
      </c>
      <c r="AT13" s="12" t="n">
        <f aca="false">IF('Raw Data'!AY21="",0,'Raw Data'!AY21)</f>
        <v>0</v>
      </c>
      <c r="AU13" s="12" t="n">
        <f aca="false">IF('Raw Data'!AZ21="",0,'Raw Data'!AZ21)</f>
        <v>0</v>
      </c>
      <c r="AV13" s="12" t="n">
        <f aca="false">IF('Raw Data'!BA21="",0,'Raw Data'!BA21)</f>
        <v>0</v>
      </c>
      <c r="AW13" s="12" t="n">
        <f aca="false">IF('Raw Data'!BB21="",0,'Raw Data'!BB21)</f>
        <v>0</v>
      </c>
      <c r="AX13" s="12" t="n">
        <f aca="false">IF('Raw Data'!BC21="",0,'Raw Data'!BC21)</f>
        <v>0</v>
      </c>
      <c r="AY13" s="12" t="n">
        <f aca="false">IF('Raw Data'!BD21="",0,'Raw Data'!BD21)</f>
        <v>0</v>
      </c>
      <c r="AZ13" s="12" t="n">
        <f aca="false">IF('Raw Data'!BE21="",0,'Raw Data'!BE21)</f>
        <v>0</v>
      </c>
      <c r="BA13" s="12" t="n">
        <f aca="false">IF('Raw Data'!BF21="",0,'Raw Data'!BF21)</f>
        <v>0</v>
      </c>
      <c r="BB13" s="12" t="n">
        <f aca="false">IF('Raw Data'!BG21="",0,'Raw Data'!BG21)</f>
        <v>0</v>
      </c>
      <c r="BC13" s="12" t="n">
        <f aca="false">IF('Raw Data'!BH21="",0,'Raw Data'!BH21)</f>
        <v>0</v>
      </c>
      <c r="BD13" s="12" t="n">
        <f aca="false">IF('Raw Data'!BI21="",0,'Raw Data'!BI21)</f>
        <v>0</v>
      </c>
      <c r="BE13" s="12" t="n">
        <f aca="false">IF('Raw Data'!BJ21="",0,'Raw Data'!BJ21)</f>
        <v>0</v>
      </c>
      <c r="BF13" s="12" t="n">
        <f aca="false">IF('Raw Data'!BK21="",0,'Raw Data'!BK21)</f>
        <v>0</v>
      </c>
      <c r="BG13" s="12" t="n">
        <f aca="false">IF('Raw Data'!BL21="",0,'Raw Data'!BL21)</f>
        <v>0</v>
      </c>
      <c r="BH13" s="12" t="n">
        <f aca="false">IF('Raw Data'!BM21="",0,'Raw Data'!BM21)</f>
        <v>0</v>
      </c>
      <c r="BI13" s="12" t="n">
        <f aca="false">IF('Raw Data'!BN21="",0,'Raw Data'!BN21)</f>
        <v>0</v>
      </c>
      <c r="BJ13" s="12" t="n">
        <f aca="false">IF('Raw Data'!BO21="",0,'Raw Data'!BO21)</f>
        <v>0</v>
      </c>
      <c r="BK13" s="12" t="n">
        <f aca="false">IF('Raw Data'!BP21="",0,'Raw Data'!BP21)</f>
        <v>0</v>
      </c>
      <c r="BL13" s="12" t="n">
        <f aca="false">IF('Raw Data'!BQ21="",0,'Raw Data'!BQ21)</f>
        <v>0</v>
      </c>
      <c r="BM13" s="12" t="n">
        <f aca="false">IF('Raw Data'!BR21="",0,'Raw Data'!BR21)</f>
        <v>0</v>
      </c>
      <c r="BN13" s="12" t="n">
        <f aca="false">IF('Raw Data'!BS21="",0,'Raw Data'!BS21)</f>
        <v>0</v>
      </c>
      <c r="BO13" s="21" t="b">
        <f aca="false">FALSE()</f>
        <v>0</v>
      </c>
    </row>
    <row r="14" customFormat="false" ht="15" hidden="false" customHeight="false" outlineLevel="0" collapsed="false">
      <c r="A14" s="20" t="str">
        <f aca="false">'Raw Data'!A22</f>
        <v>Local Account #11 from MN</v>
      </c>
      <c r="B14" s="12" t="n">
        <f aca="false">IF('Raw Data'!G22="",0,'Raw Data'!G22)</f>
        <v>0</v>
      </c>
      <c r="C14" s="12" t="n">
        <f aca="false">IF('Raw Data'!H22="",0,'Raw Data'!H22)</f>
        <v>0</v>
      </c>
      <c r="D14" s="12" t="n">
        <f aca="false">IF('Raw Data'!I22="",0,'Raw Data'!I22)</f>
        <v>0</v>
      </c>
      <c r="E14" s="12" t="n">
        <f aca="false">IF('Raw Data'!J22="",0,'Raw Data'!J22)</f>
        <v>0</v>
      </c>
      <c r="F14" s="12" t="n">
        <f aca="false">IF('Raw Data'!K22="",0,'Raw Data'!K22)</f>
        <v>0</v>
      </c>
      <c r="G14" s="12" t="n">
        <f aca="false">IF('Raw Data'!L22="",0,'Raw Data'!L22)</f>
        <v>0</v>
      </c>
      <c r="H14" s="12" t="n">
        <f aca="false">IF('Raw Data'!M22="",0,'Raw Data'!M22)</f>
        <v>0</v>
      </c>
      <c r="I14" s="12" t="n">
        <f aca="false">IF('Raw Data'!N22="",0,'Raw Data'!N22)</f>
        <v>0</v>
      </c>
      <c r="J14" s="12" t="n">
        <f aca="false">IF('Raw Data'!O22="",0,'Raw Data'!O22)</f>
        <v>0</v>
      </c>
      <c r="K14" s="12" t="n">
        <f aca="false">IF('Raw Data'!P22="",0,'Raw Data'!P22)</f>
        <v>0</v>
      </c>
      <c r="L14" s="12" t="n">
        <f aca="false">IF('Raw Data'!Q22="",0,'Raw Data'!Q22)</f>
        <v>0</v>
      </c>
      <c r="M14" s="12" t="n">
        <f aca="false">IF('Raw Data'!R22="",0,'Raw Data'!R22)</f>
        <v>0</v>
      </c>
      <c r="N14" s="12" t="n">
        <f aca="false">IF('Raw Data'!S22="",0,'Raw Data'!S22)</f>
        <v>0</v>
      </c>
      <c r="O14" s="12" t="n">
        <f aca="false">IF('Raw Data'!T22="",0,'Raw Data'!T22)</f>
        <v>0</v>
      </c>
      <c r="P14" s="12" t="n">
        <f aca="false">IF('Raw Data'!U22="",0,'Raw Data'!U22)</f>
        <v>0</v>
      </c>
      <c r="Q14" s="12" t="n">
        <f aca="false">IF('Raw Data'!V22="",0,'Raw Data'!V22)</f>
        <v>0</v>
      </c>
      <c r="R14" s="12" t="n">
        <f aca="false">IF('Raw Data'!W22="",0,'Raw Data'!W22)</f>
        <v>0</v>
      </c>
      <c r="S14" s="12" t="n">
        <f aca="false">IF('Raw Data'!X22="",0,'Raw Data'!X22)</f>
        <v>0</v>
      </c>
      <c r="T14" s="12" t="n">
        <f aca="false">IF('Raw Data'!Y22="",0,'Raw Data'!Y22)</f>
        <v>0</v>
      </c>
      <c r="U14" s="12" t="n">
        <f aca="false">IF('Raw Data'!Z22="",0,'Raw Data'!Z22)</f>
        <v>0</v>
      </c>
      <c r="V14" s="12" t="n">
        <f aca="false">IF('Raw Data'!AA22="",0,'Raw Data'!AA22)</f>
        <v>0</v>
      </c>
      <c r="W14" s="12" t="n">
        <f aca="false">IF('Raw Data'!AB22="",0,'Raw Data'!AB22)</f>
        <v>0</v>
      </c>
      <c r="X14" s="12" t="n">
        <f aca="false">IF('Raw Data'!AC22="",0,'Raw Data'!AC22)</f>
        <v>0</v>
      </c>
      <c r="Y14" s="12" t="n">
        <f aca="false">IF('Raw Data'!AD22="",0,'Raw Data'!AD22)</f>
        <v>0</v>
      </c>
      <c r="Z14" s="12" t="n">
        <f aca="false">IF('Raw Data'!AE22="",0,'Raw Data'!AE22)</f>
        <v>0</v>
      </c>
      <c r="AA14" s="12" t="n">
        <f aca="false">IF('Raw Data'!AF22="",0,'Raw Data'!AF22)</f>
        <v>0</v>
      </c>
      <c r="AB14" s="12" t="n">
        <f aca="false">IF('Raw Data'!AG22="",0,'Raw Data'!AG22)</f>
        <v>0</v>
      </c>
      <c r="AC14" s="12" t="n">
        <f aca="false">IF('Raw Data'!AH22="",0,'Raw Data'!AH22)</f>
        <v>0</v>
      </c>
      <c r="AD14" s="12" t="n">
        <f aca="false">IF('Raw Data'!AI22="",0,'Raw Data'!AI22)</f>
        <v>0</v>
      </c>
      <c r="AE14" s="12" t="n">
        <f aca="false">IF('Raw Data'!AJ22="",0,'Raw Data'!AJ22)</f>
        <v>0</v>
      </c>
      <c r="AF14" s="12" t="n">
        <f aca="false">IF('Raw Data'!AK22="",0,'Raw Data'!AK22)</f>
        <v>0</v>
      </c>
      <c r="AG14" s="12" t="n">
        <f aca="false">IF('Raw Data'!AL22="",0,'Raw Data'!AL22)</f>
        <v>0</v>
      </c>
      <c r="AH14" s="12" t="n">
        <f aca="false">IF('Raw Data'!AM22="",0,'Raw Data'!AM22)</f>
        <v>0</v>
      </c>
      <c r="AI14" s="12" t="n">
        <f aca="false">IF('Raw Data'!AN22="",0,'Raw Data'!AN22)</f>
        <v>0</v>
      </c>
      <c r="AJ14" s="12" t="n">
        <f aca="false">IF('Raw Data'!AO22="",0,'Raw Data'!AO22)</f>
        <v>0</v>
      </c>
      <c r="AK14" s="12" t="n">
        <f aca="false">IF('Raw Data'!AP22="",0,'Raw Data'!AP22)</f>
        <v>0</v>
      </c>
      <c r="AL14" s="12" t="n">
        <f aca="false">IF('Raw Data'!AQ22="",0,'Raw Data'!AQ22)</f>
        <v>3750</v>
      </c>
      <c r="AM14" s="12" t="n">
        <f aca="false">IF('Raw Data'!AR22="",0,'Raw Data'!AR22)</f>
        <v>3750</v>
      </c>
      <c r="AN14" s="12" t="n">
        <f aca="false">IF('Raw Data'!AS22="",0,'Raw Data'!AS22)</f>
        <v>3750</v>
      </c>
      <c r="AO14" s="12" t="n">
        <f aca="false">IF('Raw Data'!AT22="",0,'Raw Data'!AT22)</f>
        <v>3750</v>
      </c>
      <c r="AP14" s="12" t="n">
        <f aca="false">IF('Raw Data'!AU22="",0,'Raw Data'!AU22)</f>
        <v>3750</v>
      </c>
      <c r="AQ14" s="12" t="n">
        <f aca="false">IF('Raw Data'!AV22="",0,'Raw Data'!AV22)</f>
        <v>3750</v>
      </c>
      <c r="AR14" s="12" t="n">
        <f aca="false">IF('Raw Data'!AW22="",0,'Raw Data'!AW22)</f>
        <v>3750</v>
      </c>
      <c r="AS14" s="12" t="n">
        <f aca="false">IF('Raw Data'!AX22="",0,'Raw Data'!AX22)</f>
        <v>3750</v>
      </c>
      <c r="AT14" s="12" t="n">
        <f aca="false">IF('Raw Data'!AY22="",0,'Raw Data'!AY22)</f>
        <v>3750</v>
      </c>
      <c r="AU14" s="12" t="n">
        <f aca="false">IF('Raw Data'!AZ22="",0,'Raw Data'!AZ22)</f>
        <v>3750</v>
      </c>
      <c r="AV14" s="12" t="n">
        <f aca="false">IF('Raw Data'!BA22="",0,'Raw Data'!BA22)</f>
        <v>3750</v>
      </c>
      <c r="AW14" s="12" t="n">
        <f aca="false">IF('Raw Data'!BB22="",0,'Raw Data'!BB22)</f>
        <v>3750</v>
      </c>
      <c r="AX14" s="12" t="n">
        <f aca="false">IF('Raw Data'!BC22="",0,'Raw Data'!BC22)</f>
        <v>3750</v>
      </c>
      <c r="AY14" s="12" t="n">
        <f aca="false">IF('Raw Data'!BD22="",0,'Raw Data'!BD22)</f>
        <v>3750</v>
      </c>
      <c r="AZ14" s="12" t="n">
        <f aca="false">IF('Raw Data'!BE22="",0,'Raw Data'!BE22)</f>
        <v>3750</v>
      </c>
      <c r="BA14" s="12" t="n">
        <f aca="false">IF('Raw Data'!BF22="",0,'Raw Data'!BF22)</f>
        <v>3750</v>
      </c>
      <c r="BB14" s="12" t="n">
        <f aca="false">IF('Raw Data'!BG22="",0,'Raw Data'!BG22)</f>
        <v>3750</v>
      </c>
      <c r="BC14" s="12" t="n">
        <f aca="false">IF('Raw Data'!BH22="",0,'Raw Data'!BH22)</f>
        <v>3750</v>
      </c>
      <c r="BD14" s="12" t="n">
        <f aca="false">IF('Raw Data'!BI22="",0,'Raw Data'!BI22)</f>
        <v>3750</v>
      </c>
      <c r="BE14" s="12" t="n">
        <f aca="false">IF('Raw Data'!BJ22="",0,'Raw Data'!BJ22)</f>
        <v>3750</v>
      </c>
      <c r="BF14" s="12" t="n">
        <f aca="false">IF('Raw Data'!BK22="",0,'Raw Data'!BK22)</f>
        <v>3750</v>
      </c>
      <c r="BG14" s="12" t="n">
        <f aca="false">IF('Raw Data'!BL22="",0,'Raw Data'!BL22)</f>
        <v>3750</v>
      </c>
      <c r="BH14" s="12" t="n">
        <f aca="false">IF('Raw Data'!BM22="",0,'Raw Data'!BM22)</f>
        <v>3750</v>
      </c>
      <c r="BI14" s="12" t="n">
        <f aca="false">IF('Raw Data'!BN22="",0,'Raw Data'!BN22)</f>
        <v>3750</v>
      </c>
      <c r="BJ14" s="12" t="n">
        <f aca="false">IF('Raw Data'!BO22="",0,'Raw Data'!BO22)</f>
        <v>3750</v>
      </c>
      <c r="BK14" s="12" t="n">
        <f aca="false">IF('Raw Data'!BP22="",0,'Raw Data'!BP22)</f>
        <v>3750</v>
      </c>
      <c r="BL14" s="12" t="n">
        <f aca="false">IF('Raw Data'!BQ22="",0,'Raw Data'!BQ22)</f>
        <v>3750</v>
      </c>
      <c r="BM14" s="12" t="n">
        <f aca="false">IF('Raw Data'!BR22="",0,'Raw Data'!BR22)</f>
        <v>3750</v>
      </c>
      <c r="BN14" s="12" t="n">
        <f aca="false">IF('Raw Data'!BS22="",0,'Raw Data'!BS22)</f>
        <v>3750</v>
      </c>
      <c r="BO14" s="21" t="b">
        <f aca="false">FALSE()</f>
        <v>0</v>
      </c>
    </row>
    <row r="15" customFormat="false" ht="15" hidden="false" customHeight="false" outlineLevel="0" collapsed="false">
      <c r="A15" s="20" t="str">
        <f aca="false">'Raw Data'!A24</f>
        <v>Local Account #13 from FL</v>
      </c>
      <c r="B15" s="12" t="n">
        <f aca="false">IF('Raw Data'!G24="",0,'Raw Data'!G24)</f>
        <v>333.333333333333</v>
      </c>
      <c r="C15" s="12" t="n">
        <f aca="false">IF('Raw Data'!H24="",0,'Raw Data'!H24)</f>
        <v>333.333333333333</v>
      </c>
      <c r="D15" s="12" t="n">
        <f aca="false">IF('Raw Data'!I24="",0,'Raw Data'!I24)</f>
        <v>333.333333333333</v>
      </c>
      <c r="E15" s="12" t="n">
        <f aca="false">IF('Raw Data'!J24="",0,'Raw Data'!J24)</f>
        <v>333.333333333333</v>
      </c>
      <c r="F15" s="12" t="n">
        <f aca="false">IF('Raw Data'!K24="",0,'Raw Data'!K24)</f>
        <v>333.333333333333</v>
      </c>
      <c r="G15" s="12" t="n">
        <f aca="false">IF('Raw Data'!L24="",0,'Raw Data'!L24)</f>
        <v>333.333333333333</v>
      </c>
      <c r="H15" s="12" t="n">
        <f aca="false">IF('Raw Data'!M24="",0,'Raw Data'!M24)</f>
        <v>333.333333333333</v>
      </c>
      <c r="I15" s="12" t="n">
        <f aca="false">IF('Raw Data'!N24="",0,'Raw Data'!N24)</f>
        <v>333.333333333333</v>
      </c>
      <c r="J15" s="12" t="n">
        <f aca="false">IF('Raw Data'!O24="",0,'Raw Data'!O24)</f>
        <v>333.333333333333</v>
      </c>
      <c r="K15" s="12" t="n">
        <f aca="false">IF('Raw Data'!P24="",0,'Raw Data'!P24)</f>
        <v>333.333333333333</v>
      </c>
      <c r="L15" s="12" t="n">
        <f aca="false">IF('Raw Data'!Q24="",0,'Raw Data'!Q24)</f>
        <v>333.333333333333</v>
      </c>
      <c r="M15" s="12" t="n">
        <f aca="false">IF('Raw Data'!R24="",0,'Raw Data'!R24)</f>
        <v>333.333333333333</v>
      </c>
      <c r="N15" s="12" t="n">
        <f aca="false">IF('Raw Data'!S24="",0,'Raw Data'!S24)</f>
        <v>333.333333333333</v>
      </c>
      <c r="O15" s="12" t="n">
        <f aca="false">IF('Raw Data'!T24="",0,'Raw Data'!T24)</f>
        <v>333.333333333333</v>
      </c>
      <c r="P15" s="12" t="n">
        <f aca="false">IF('Raw Data'!U24="",0,'Raw Data'!U24)</f>
        <v>333.333333333333</v>
      </c>
      <c r="Q15" s="12" t="n">
        <f aca="false">IF('Raw Data'!V24="",0,'Raw Data'!V24)</f>
        <v>333.333333333333</v>
      </c>
      <c r="R15" s="12" t="n">
        <f aca="false">IF('Raw Data'!W24="",0,'Raw Data'!W24)</f>
        <v>333.333333333333</v>
      </c>
      <c r="S15" s="12" t="n">
        <f aca="false">IF('Raw Data'!X24="",0,'Raw Data'!X24)</f>
        <v>333.333333333333</v>
      </c>
      <c r="T15" s="12" t="n">
        <f aca="false">IF('Raw Data'!Y24="",0,'Raw Data'!Y24)</f>
        <v>333.333333333333</v>
      </c>
      <c r="U15" s="12" t="n">
        <f aca="false">IF('Raw Data'!Z24="",0,'Raw Data'!Z24)</f>
        <v>333.333333333333</v>
      </c>
      <c r="V15" s="12" t="n">
        <f aca="false">IF('Raw Data'!AA24="",0,'Raw Data'!AA24)</f>
        <v>333.333333333333</v>
      </c>
      <c r="W15" s="12" t="n">
        <f aca="false">IF('Raw Data'!AB24="",0,'Raw Data'!AB24)</f>
        <v>333.333333333333</v>
      </c>
      <c r="X15" s="12" t="n">
        <f aca="false">IF('Raw Data'!AC24="",0,'Raw Data'!AC24)</f>
        <v>416.666666666667</v>
      </c>
      <c r="Y15" s="12" t="n">
        <f aca="false">IF('Raw Data'!AD24="",0,'Raw Data'!AD24)</f>
        <v>416.666666666667</v>
      </c>
      <c r="Z15" s="12" t="n">
        <f aca="false">IF('Raw Data'!AE24="",0,'Raw Data'!AE24)</f>
        <v>416.666666666667</v>
      </c>
      <c r="AA15" s="12" t="n">
        <f aca="false">IF('Raw Data'!AF24="",0,'Raw Data'!AF24)</f>
        <v>416.666666666667</v>
      </c>
      <c r="AB15" s="12" t="n">
        <f aca="false">IF('Raw Data'!AG24="",0,'Raw Data'!AG24)</f>
        <v>416.666666666667</v>
      </c>
      <c r="AC15" s="12" t="n">
        <f aca="false">IF('Raw Data'!AH24="",0,'Raw Data'!AH24)</f>
        <v>416.666666666667</v>
      </c>
      <c r="AD15" s="12" t="n">
        <f aca="false">IF('Raw Data'!AI24="",0,'Raw Data'!AI24)</f>
        <v>416.666666666667</v>
      </c>
      <c r="AE15" s="12" t="n">
        <f aca="false">IF('Raw Data'!AJ24="",0,'Raw Data'!AJ24)</f>
        <v>416.666666666667</v>
      </c>
      <c r="AF15" s="12" t="n">
        <f aca="false">IF('Raw Data'!AK24="",0,'Raw Data'!AK24)</f>
        <v>416.666666666667</v>
      </c>
      <c r="AG15" s="12" t="n">
        <f aca="false">IF('Raw Data'!AL24="",0,'Raw Data'!AL24)</f>
        <v>416.666666666667</v>
      </c>
      <c r="AH15" s="12" t="n">
        <f aca="false">IF('Raw Data'!AM24="",0,'Raw Data'!AM24)</f>
        <v>416.666666666667</v>
      </c>
      <c r="AI15" s="12" t="n">
        <f aca="false">IF('Raw Data'!AN24="",0,'Raw Data'!AN24)</f>
        <v>416.666666666667</v>
      </c>
      <c r="AJ15" s="12" t="n">
        <f aca="false">IF('Raw Data'!AO24="",0,'Raw Data'!AO24)</f>
        <v>416.666666666667</v>
      </c>
      <c r="AK15" s="12" t="n">
        <f aca="false">IF('Raw Data'!AP24="",0,'Raw Data'!AP24)</f>
        <v>416.666666666667</v>
      </c>
      <c r="AL15" s="12" t="n">
        <f aca="false">IF('Raw Data'!AQ24="",0,'Raw Data'!AQ24)</f>
        <v>416.666666666667</v>
      </c>
      <c r="AM15" s="12" t="n">
        <f aca="false">IF('Raw Data'!AR24="",0,'Raw Data'!AR24)</f>
        <v>416.666666666667</v>
      </c>
      <c r="AN15" s="12" t="n">
        <f aca="false">IF('Raw Data'!AS24="",0,'Raw Data'!AS24)</f>
        <v>416.666666666667</v>
      </c>
      <c r="AO15" s="12" t="n">
        <f aca="false">IF('Raw Data'!AT24="",0,'Raw Data'!AT24)</f>
        <v>416.666666666667</v>
      </c>
      <c r="AP15" s="12" t="n">
        <f aca="false">IF('Raw Data'!AU24="",0,'Raw Data'!AU24)</f>
        <v>416.666666666667</v>
      </c>
      <c r="AQ15" s="12" t="n">
        <f aca="false">IF('Raw Data'!AV24="",0,'Raw Data'!AV24)</f>
        <v>416.666666666667</v>
      </c>
      <c r="AR15" s="12" t="n">
        <f aca="false">IF('Raw Data'!AW24="",0,'Raw Data'!AW24)</f>
        <v>416.666666666667</v>
      </c>
      <c r="AS15" s="12" t="n">
        <f aca="false">IF('Raw Data'!AX24="",0,'Raw Data'!AX24)</f>
        <v>416.666666666667</v>
      </c>
      <c r="AT15" s="12" t="n">
        <f aca="false">IF('Raw Data'!AY24="",0,'Raw Data'!AY24)</f>
        <v>416.666666666667</v>
      </c>
      <c r="AU15" s="12" t="n">
        <f aca="false">IF('Raw Data'!AZ24="",0,'Raw Data'!AZ24)</f>
        <v>833.333333333333</v>
      </c>
      <c r="AV15" s="12" t="n">
        <f aca="false">IF('Raw Data'!BA24="",0,'Raw Data'!BA24)</f>
        <v>416.666666666667</v>
      </c>
      <c r="AW15" s="12" t="n">
        <f aca="false">IF('Raw Data'!BB24="",0,'Raw Data'!BB24)</f>
        <v>416.666666666667</v>
      </c>
      <c r="AX15" s="12" t="n">
        <f aca="false">IF('Raw Data'!BC24="",0,'Raw Data'!BC24)</f>
        <v>416.666666666667</v>
      </c>
      <c r="AY15" s="12" t="n">
        <f aca="false">IF('Raw Data'!BD24="",0,'Raw Data'!BD24)</f>
        <v>416.666666666667</v>
      </c>
      <c r="AZ15" s="12" t="n">
        <f aca="false">IF('Raw Data'!BE24="",0,'Raw Data'!BE24)</f>
        <v>416.666666666667</v>
      </c>
      <c r="BA15" s="12" t="n">
        <f aca="false">IF('Raw Data'!BF24="",0,'Raw Data'!BF24)</f>
        <v>416.666666666667</v>
      </c>
      <c r="BB15" s="12" t="n">
        <f aca="false">IF('Raw Data'!BG24="",0,'Raw Data'!BG24)</f>
        <v>416.666666666667</v>
      </c>
      <c r="BC15" s="12" t="n">
        <f aca="false">IF('Raw Data'!BH24="",0,'Raw Data'!BH24)</f>
        <v>416.666666666667</v>
      </c>
      <c r="BD15" s="12" t="n">
        <f aca="false">IF('Raw Data'!BI24="",0,'Raw Data'!BI24)</f>
        <v>416.666666666667</v>
      </c>
      <c r="BE15" s="12" t="n">
        <f aca="false">IF('Raw Data'!BJ24="",0,'Raw Data'!BJ24)</f>
        <v>416.666666666667</v>
      </c>
      <c r="BF15" s="12" t="n">
        <f aca="false">IF('Raw Data'!BK24="",0,'Raw Data'!BK24)</f>
        <v>416.666666666667</v>
      </c>
      <c r="BG15" s="12" t="n">
        <f aca="false">IF('Raw Data'!BL24="",0,'Raw Data'!BL24)</f>
        <v>437.5</v>
      </c>
      <c r="BH15" s="12" t="n">
        <f aca="false">IF('Raw Data'!BM24="",0,'Raw Data'!BM24)</f>
        <v>437.5</v>
      </c>
      <c r="BI15" s="12" t="n">
        <f aca="false">IF('Raw Data'!BN24="",0,'Raw Data'!BN24)</f>
        <v>437.5</v>
      </c>
      <c r="BJ15" s="12" t="n">
        <f aca="false">IF('Raw Data'!BO24="",0,'Raw Data'!BO24)</f>
        <v>437.5</v>
      </c>
      <c r="BK15" s="12" t="n">
        <f aca="false">IF('Raw Data'!BP24="",0,'Raw Data'!BP24)</f>
        <v>437.5</v>
      </c>
      <c r="BL15" s="12" t="n">
        <f aca="false">IF('Raw Data'!BQ24="",0,'Raw Data'!BQ24)</f>
        <v>437.5</v>
      </c>
      <c r="BM15" s="12" t="n">
        <f aca="false">IF('Raw Data'!BR24="",0,'Raw Data'!BR24)</f>
        <v>437.5</v>
      </c>
      <c r="BN15" s="12" t="n">
        <f aca="false">IF('Raw Data'!BS24="",0,'Raw Data'!BS24)</f>
        <v>437.5</v>
      </c>
      <c r="BO15" s="21" t="b">
        <f aca="false">FALSE()</f>
        <v>0</v>
      </c>
    </row>
    <row r="16" customFormat="false" ht="15" hidden="false" customHeight="false" outlineLevel="0" collapsed="false">
      <c r="A16" s="20" t="str">
        <f aca="false">'Raw Data'!A13</f>
        <v>Local Account #2 from CA</v>
      </c>
      <c r="B16" s="12" t="n">
        <f aca="false">IF('Raw Data'!G13="",0,'Raw Data'!G13)</f>
        <v>0</v>
      </c>
      <c r="C16" s="12" t="n">
        <f aca="false">IF('Raw Data'!H13="",0,'Raw Data'!H13)</f>
        <v>0</v>
      </c>
      <c r="D16" s="12" t="n">
        <f aca="false">IF('Raw Data'!I13="",0,'Raw Data'!I13)</f>
        <v>0</v>
      </c>
      <c r="E16" s="12" t="n">
        <f aca="false">IF('Raw Data'!J13="",0,'Raw Data'!J13)</f>
        <v>0</v>
      </c>
      <c r="F16" s="12" t="n">
        <f aca="false">IF('Raw Data'!K13="",0,'Raw Data'!K13)</f>
        <v>0</v>
      </c>
      <c r="G16" s="12" t="n">
        <f aca="false">IF('Raw Data'!L13="",0,'Raw Data'!L13)</f>
        <v>0</v>
      </c>
      <c r="H16" s="12" t="n">
        <f aca="false">IF('Raw Data'!M13="",0,'Raw Data'!M13)</f>
        <v>0</v>
      </c>
      <c r="I16" s="12" t="n">
        <f aca="false">IF('Raw Data'!N13="",0,'Raw Data'!N13)</f>
        <v>0</v>
      </c>
      <c r="J16" s="12" t="n">
        <f aca="false">IF('Raw Data'!O13="",0,'Raw Data'!O13)</f>
        <v>0</v>
      </c>
      <c r="K16" s="12" t="n">
        <f aca="false">IF('Raw Data'!P13="",0,'Raw Data'!P13)</f>
        <v>0</v>
      </c>
      <c r="L16" s="12" t="n">
        <f aca="false">IF('Raw Data'!Q13="",0,'Raw Data'!Q13)</f>
        <v>0</v>
      </c>
      <c r="M16" s="12" t="n">
        <f aca="false">IF('Raw Data'!R13="",0,'Raw Data'!R13)</f>
        <v>0</v>
      </c>
      <c r="N16" s="12" t="n">
        <f aca="false">IF('Raw Data'!S13="",0,'Raw Data'!S13)</f>
        <v>0</v>
      </c>
      <c r="O16" s="12" t="n">
        <f aca="false">IF('Raw Data'!T13="",0,'Raw Data'!T13)</f>
        <v>0</v>
      </c>
      <c r="P16" s="12" t="n">
        <f aca="false">IF('Raw Data'!U13="",0,'Raw Data'!U13)</f>
        <v>0</v>
      </c>
      <c r="Q16" s="12" t="n">
        <f aca="false">IF('Raw Data'!V13="",0,'Raw Data'!V13)</f>
        <v>0</v>
      </c>
      <c r="R16" s="12" t="n">
        <f aca="false">IF('Raw Data'!W13="",0,'Raw Data'!W13)</f>
        <v>0</v>
      </c>
      <c r="S16" s="12" t="n">
        <f aca="false">IF('Raw Data'!X13="",0,'Raw Data'!X13)</f>
        <v>0</v>
      </c>
      <c r="T16" s="12" t="n">
        <f aca="false">IF('Raw Data'!Y13="",0,'Raw Data'!Y13)</f>
        <v>0</v>
      </c>
      <c r="U16" s="12" t="n">
        <f aca="false">IF('Raw Data'!Z13="",0,'Raw Data'!Z13)</f>
        <v>0</v>
      </c>
      <c r="V16" s="12" t="n">
        <f aca="false">IF('Raw Data'!AA13="",0,'Raw Data'!AA13)</f>
        <v>0</v>
      </c>
      <c r="W16" s="12" t="n">
        <f aca="false">IF('Raw Data'!AB13="",0,'Raw Data'!AB13)</f>
        <v>0</v>
      </c>
      <c r="X16" s="12" t="n">
        <f aca="false">IF('Raw Data'!AC13="",0,'Raw Data'!AC13)</f>
        <v>0</v>
      </c>
      <c r="Y16" s="12" t="n">
        <f aca="false">IF('Raw Data'!AD13="",0,'Raw Data'!AD13)</f>
        <v>0</v>
      </c>
      <c r="Z16" s="12" t="n">
        <f aca="false">IF('Raw Data'!AE13="",0,'Raw Data'!AE13)</f>
        <v>0</v>
      </c>
      <c r="AA16" s="12" t="n">
        <f aca="false">IF('Raw Data'!AF13="",0,'Raw Data'!AF13)</f>
        <v>0</v>
      </c>
      <c r="AB16" s="12" t="n">
        <f aca="false">IF('Raw Data'!AG13="",0,'Raw Data'!AG13)</f>
        <v>0</v>
      </c>
      <c r="AC16" s="12" t="n">
        <f aca="false">IF('Raw Data'!AH13="",0,'Raw Data'!AH13)</f>
        <v>0</v>
      </c>
      <c r="AD16" s="12" t="n">
        <f aca="false">IF('Raw Data'!AI13="",0,'Raw Data'!AI13)</f>
        <v>0</v>
      </c>
      <c r="AE16" s="12" t="n">
        <f aca="false">IF('Raw Data'!AJ13="",0,'Raw Data'!AJ13)</f>
        <v>0</v>
      </c>
      <c r="AF16" s="12" t="n">
        <f aca="false">IF('Raw Data'!AK13="",0,'Raw Data'!AK13)</f>
        <v>0</v>
      </c>
      <c r="AG16" s="12" t="n">
        <f aca="false">IF('Raw Data'!AL13="",0,'Raw Data'!AL13)</f>
        <v>0</v>
      </c>
      <c r="AH16" s="12" t="n">
        <f aca="false">IF('Raw Data'!AM13="",0,'Raw Data'!AM13)</f>
        <v>0</v>
      </c>
      <c r="AI16" s="12" t="n">
        <f aca="false">IF('Raw Data'!AN13="",0,'Raw Data'!AN13)</f>
        <v>0</v>
      </c>
      <c r="AJ16" s="12" t="n">
        <f aca="false">IF('Raw Data'!AO13="",0,'Raw Data'!AO13)</f>
        <v>0</v>
      </c>
      <c r="AK16" s="12" t="n">
        <f aca="false">IF('Raw Data'!AP13="",0,'Raw Data'!AP13)</f>
        <v>0</v>
      </c>
      <c r="AL16" s="12" t="n">
        <f aca="false">IF('Raw Data'!AQ13="",0,'Raw Data'!AQ13)</f>
        <v>0</v>
      </c>
      <c r="AM16" s="12" t="n">
        <f aca="false">IF('Raw Data'!AR13="",0,'Raw Data'!AR13)</f>
        <v>0</v>
      </c>
      <c r="AN16" s="12" t="n">
        <f aca="false">IF('Raw Data'!AS13="",0,'Raw Data'!AS13)</f>
        <v>0</v>
      </c>
      <c r="AO16" s="12" t="n">
        <f aca="false">IF('Raw Data'!AT13="",0,'Raw Data'!AT13)</f>
        <v>0</v>
      </c>
      <c r="AP16" s="12" t="n">
        <f aca="false">IF('Raw Data'!AU13="",0,'Raw Data'!AU13)</f>
        <v>0</v>
      </c>
      <c r="AQ16" s="12" t="n">
        <f aca="false">IF('Raw Data'!AV13="",0,'Raw Data'!AV13)</f>
        <v>0</v>
      </c>
      <c r="AR16" s="12" t="n">
        <f aca="false">IF('Raw Data'!AW13="",0,'Raw Data'!AW13)</f>
        <v>5909.58333333333</v>
      </c>
      <c r="AS16" s="12" t="n">
        <f aca="false">IF('Raw Data'!AX13="",0,'Raw Data'!AX13)</f>
        <v>5909.58333333333</v>
      </c>
      <c r="AT16" s="12" t="n">
        <f aca="false">IF('Raw Data'!AY13="",0,'Raw Data'!AY13)</f>
        <v>5909.58333333333</v>
      </c>
      <c r="AU16" s="12" t="n">
        <f aca="false">IF('Raw Data'!AZ13="",0,'Raw Data'!AZ13)</f>
        <v>5909.58333333333</v>
      </c>
      <c r="AV16" s="12" t="n">
        <f aca="false">IF('Raw Data'!BA13="",0,'Raw Data'!BA13)</f>
        <v>5909.58333333333</v>
      </c>
      <c r="AW16" s="12" t="n">
        <f aca="false">IF('Raw Data'!BB13="",0,'Raw Data'!BB13)</f>
        <v>5909.58333333333</v>
      </c>
      <c r="AX16" s="12" t="n">
        <f aca="false">IF('Raw Data'!BC13="",0,'Raw Data'!BC13)</f>
        <v>5909.58333333333</v>
      </c>
      <c r="AY16" s="12" t="n">
        <f aca="false">IF('Raw Data'!BD13="",0,'Raw Data'!BD13)</f>
        <v>5909.58333333333</v>
      </c>
      <c r="AZ16" s="12" t="n">
        <f aca="false">IF('Raw Data'!BE13="",0,'Raw Data'!BE13)</f>
        <v>5909.58333333333</v>
      </c>
      <c r="BA16" s="12" t="n">
        <f aca="false">IF('Raw Data'!BF13="",0,'Raw Data'!BF13)</f>
        <v>5909.58333333333</v>
      </c>
      <c r="BB16" s="12" t="n">
        <f aca="false">IF('Raw Data'!BG13="",0,'Raw Data'!BG13)</f>
        <v>5909.58333333333</v>
      </c>
      <c r="BC16" s="12" t="n">
        <f aca="false">IF('Raw Data'!BH13="",0,'Raw Data'!BH13)</f>
        <v>5909.58333333333</v>
      </c>
      <c r="BD16" s="12" t="n">
        <f aca="false">IF('Raw Data'!BI13="",0,'Raw Data'!BI13)</f>
        <v>0</v>
      </c>
      <c r="BE16" s="12" t="n">
        <f aca="false">IF('Raw Data'!BJ13="",0,'Raw Data'!BJ13)</f>
        <v>0</v>
      </c>
      <c r="BF16" s="12" t="n">
        <f aca="false">IF('Raw Data'!BK13="",0,'Raw Data'!BK13)</f>
        <v>0</v>
      </c>
      <c r="BG16" s="12" t="n">
        <f aca="false">IF('Raw Data'!BL13="",0,'Raw Data'!BL13)</f>
        <v>0</v>
      </c>
      <c r="BH16" s="12" t="n">
        <f aca="false">IF('Raw Data'!BM13="",0,'Raw Data'!BM13)</f>
        <v>0</v>
      </c>
      <c r="BI16" s="12" t="n">
        <f aca="false">IF('Raw Data'!BN13="",0,'Raw Data'!BN13)</f>
        <v>0</v>
      </c>
      <c r="BJ16" s="12" t="n">
        <f aca="false">IF('Raw Data'!BO13="",0,'Raw Data'!BO13)</f>
        <v>0</v>
      </c>
      <c r="BK16" s="12" t="n">
        <f aca="false">IF('Raw Data'!BP13="",0,'Raw Data'!BP13)</f>
        <v>0</v>
      </c>
      <c r="BL16" s="12" t="n">
        <f aca="false">IF('Raw Data'!BQ13="",0,'Raw Data'!BQ13)</f>
        <v>0</v>
      </c>
      <c r="BM16" s="12" t="n">
        <f aca="false">IF('Raw Data'!BR13="",0,'Raw Data'!BR13)</f>
        <v>0</v>
      </c>
      <c r="BN16" s="12" t="n">
        <f aca="false">IF('Raw Data'!BS13="",0,'Raw Data'!BS13)</f>
        <v>0</v>
      </c>
      <c r="BO16" s="21" t="b">
        <f aca="false">FALSE()</f>
        <v>0</v>
      </c>
    </row>
    <row r="17" customFormat="false" ht="15" hidden="false" customHeight="false" outlineLevel="0" collapsed="false">
      <c r="A17" s="20" t="str">
        <f aca="false">'Raw Data'!A32</f>
        <v>Local Account #22 from FL</v>
      </c>
      <c r="B17" s="12" t="n">
        <f aca="false">IF('Raw Data'!G32="",0,'Raw Data'!G32)</f>
        <v>3750</v>
      </c>
      <c r="C17" s="12" t="n">
        <f aca="false">IF('Raw Data'!H32="",0,'Raw Data'!H32)</f>
        <v>3750</v>
      </c>
      <c r="D17" s="12" t="n">
        <f aca="false">IF('Raw Data'!I32="",0,'Raw Data'!I32)</f>
        <v>3750</v>
      </c>
      <c r="E17" s="12" t="n">
        <f aca="false">IF('Raw Data'!J32="",0,'Raw Data'!J32)</f>
        <v>3750</v>
      </c>
      <c r="F17" s="12" t="n">
        <f aca="false">IF('Raw Data'!K32="",0,'Raw Data'!K32)</f>
        <v>3750</v>
      </c>
      <c r="G17" s="12" t="n">
        <f aca="false">IF('Raw Data'!L32="",0,'Raw Data'!L32)</f>
        <v>3750</v>
      </c>
      <c r="H17" s="12" t="n">
        <f aca="false">IF('Raw Data'!M32="",0,'Raw Data'!M32)</f>
        <v>3750</v>
      </c>
      <c r="I17" s="12" t="n">
        <f aca="false">IF('Raw Data'!N32="",0,'Raw Data'!N32)</f>
        <v>3750</v>
      </c>
      <c r="J17" s="12" t="n">
        <f aca="false">IF('Raw Data'!O32="",0,'Raw Data'!O32)</f>
        <v>3750</v>
      </c>
      <c r="K17" s="12" t="n">
        <f aca="false">IF('Raw Data'!P32="",0,'Raw Data'!P32)</f>
        <v>3750</v>
      </c>
      <c r="L17" s="12" t="n">
        <f aca="false">IF('Raw Data'!Q32="",0,'Raw Data'!Q32)</f>
        <v>3750</v>
      </c>
      <c r="M17" s="12" t="n">
        <f aca="false">IF('Raw Data'!R32="",0,'Raw Data'!R32)</f>
        <v>3750</v>
      </c>
      <c r="N17" s="12" t="n">
        <f aca="false">IF('Raw Data'!S32="",0,'Raw Data'!S32)</f>
        <v>6000</v>
      </c>
      <c r="O17" s="12" t="n">
        <f aca="false">IF('Raw Data'!T32="",0,'Raw Data'!T32)</f>
        <v>6000</v>
      </c>
      <c r="P17" s="12" t="n">
        <f aca="false">IF('Raw Data'!U32="",0,'Raw Data'!U32)</f>
        <v>6000</v>
      </c>
      <c r="Q17" s="12" t="n">
        <f aca="false">IF('Raw Data'!V32="",0,'Raw Data'!V32)</f>
        <v>6000</v>
      </c>
      <c r="R17" s="12" t="n">
        <f aca="false">IF('Raw Data'!W32="",0,'Raw Data'!W32)</f>
        <v>6000</v>
      </c>
      <c r="S17" s="12" t="n">
        <f aca="false">IF('Raw Data'!X32="",0,'Raw Data'!X32)</f>
        <v>6000</v>
      </c>
      <c r="T17" s="12" t="n">
        <f aca="false">IF('Raw Data'!Y32="",0,'Raw Data'!Y32)</f>
        <v>6000</v>
      </c>
      <c r="U17" s="12" t="n">
        <f aca="false">IF('Raw Data'!Z32="",0,'Raw Data'!Z32)</f>
        <v>6000</v>
      </c>
      <c r="V17" s="12" t="n">
        <f aca="false">IF('Raw Data'!AA32="",0,'Raw Data'!AA32)</f>
        <v>6000</v>
      </c>
      <c r="W17" s="12" t="n">
        <f aca="false">IF('Raw Data'!AB32="",0,'Raw Data'!AB32)</f>
        <v>6000</v>
      </c>
      <c r="X17" s="12" t="n">
        <f aca="false">IF('Raw Data'!AC32="",0,'Raw Data'!AC32)</f>
        <v>6000</v>
      </c>
      <c r="Y17" s="12" t="n">
        <f aca="false">IF('Raw Data'!AD32="",0,'Raw Data'!AD32)</f>
        <v>6000</v>
      </c>
      <c r="Z17" s="12" t="n">
        <f aca="false">IF('Raw Data'!AE32="",0,'Raw Data'!AE32)</f>
        <v>8250</v>
      </c>
      <c r="AA17" s="12" t="n">
        <f aca="false">IF('Raw Data'!AF32="",0,'Raw Data'!AF32)</f>
        <v>8250</v>
      </c>
      <c r="AB17" s="12" t="n">
        <f aca="false">IF('Raw Data'!AG32="",0,'Raw Data'!AG32)</f>
        <v>8250</v>
      </c>
      <c r="AC17" s="12" t="n">
        <f aca="false">IF('Raw Data'!AH32="",0,'Raw Data'!AH32)</f>
        <v>8250</v>
      </c>
      <c r="AD17" s="12" t="n">
        <f aca="false">IF('Raw Data'!AI32="",0,'Raw Data'!AI32)</f>
        <v>8250</v>
      </c>
      <c r="AE17" s="12" t="n">
        <f aca="false">IF('Raw Data'!AJ32="",0,'Raw Data'!AJ32)</f>
        <v>8250</v>
      </c>
      <c r="AF17" s="12" t="n">
        <f aca="false">IF('Raw Data'!AK32="",0,'Raw Data'!AK32)</f>
        <v>8250</v>
      </c>
      <c r="AG17" s="12" t="n">
        <f aca="false">IF('Raw Data'!AL32="",0,'Raw Data'!AL32)</f>
        <v>8250</v>
      </c>
      <c r="AH17" s="12" t="n">
        <f aca="false">IF('Raw Data'!AM32="",0,'Raw Data'!AM32)</f>
        <v>8250</v>
      </c>
      <c r="AI17" s="12" t="n">
        <f aca="false">IF('Raw Data'!AN32="",0,'Raw Data'!AN32)</f>
        <v>8250</v>
      </c>
      <c r="AJ17" s="12" t="n">
        <f aca="false">IF('Raw Data'!AO32="",0,'Raw Data'!AO32)</f>
        <v>8250</v>
      </c>
      <c r="AK17" s="12" t="n">
        <f aca="false">IF('Raw Data'!AP32="",0,'Raw Data'!AP32)</f>
        <v>8250</v>
      </c>
      <c r="AL17" s="12" t="n">
        <f aca="false">IF('Raw Data'!AQ32="",0,'Raw Data'!AQ32)</f>
        <v>3750</v>
      </c>
      <c r="AM17" s="12" t="n">
        <f aca="false">IF('Raw Data'!AR32="",0,'Raw Data'!AR32)</f>
        <v>3750</v>
      </c>
      <c r="AN17" s="12" t="n">
        <f aca="false">IF('Raw Data'!AS32="",0,'Raw Data'!AS32)</f>
        <v>3750</v>
      </c>
      <c r="AO17" s="12" t="n">
        <f aca="false">IF('Raw Data'!AT32="",0,'Raw Data'!AT32)</f>
        <v>3750</v>
      </c>
      <c r="AP17" s="12" t="n">
        <f aca="false">IF('Raw Data'!AU32="",0,'Raw Data'!AU32)</f>
        <v>3750</v>
      </c>
      <c r="AQ17" s="12" t="n">
        <f aca="false">IF('Raw Data'!AV32="",0,'Raw Data'!AV32)</f>
        <v>3750</v>
      </c>
      <c r="AR17" s="12" t="n">
        <f aca="false">IF('Raw Data'!AW32="",0,'Raw Data'!AW32)</f>
        <v>3750</v>
      </c>
      <c r="AS17" s="12" t="n">
        <f aca="false">IF('Raw Data'!AX32="",0,'Raw Data'!AX32)</f>
        <v>3750</v>
      </c>
      <c r="AT17" s="12" t="n">
        <f aca="false">IF('Raw Data'!AY32="",0,'Raw Data'!AY32)</f>
        <v>3750</v>
      </c>
      <c r="AU17" s="12" t="n">
        <f aca="false">IF('Raw Data'!AZ32="",0,'Raw Data'!AZ32)</f>
        <v>3750</v>
      </c>
      <c r="AV17" s="12" t="n">
        <f aca="false">IF('Raw Data'!BA32="",0,'Raw Data'!BA32)</f>
        <v>3750</v>
      </c>
      <c r="AW17" s="12" t="n">
        <f aca="false">IF('Raw Data'!BB32="",0,'Raw Data'!BB32)</f>
        <v>3750</v>
      </c>
      <c r="AX17" s="12" t="n">
        <f aca="false">IF('Raw Data'!BC32="",0,'Raw Data'!BC32)</f>
        <v>0</v>
      </c>
      <c r="AY17" s="12" t="n">
        <f aca="false">IF('Raw Data'!BD32="",0,'Raw Data'!BD32)</f>
        <v>0</v>
      </c>
      <c r="AZ17" s="12" t="n">
        <f aca="false">IF('Raw Data'!BE32="",0,'Raw Data'!BE32)</f>
        <v>0</v>
      </c>
      <c r="BA17" s="12" t="n">
        <f aca="false">IF('Raw Data'!BF32="",0,'Raw Data'!BF32)</f>
        <v>0</v>
      </c>
      <c r="BB17" s="12" t="n">
        <f aca="false">IF('Raw Data'!BG32="",0,'Raw Data'!BG32)</f>
        <v>0</v>
      </c>
      <c r="BC17" s="12" t="n">
        <f aca="false">IF('Raw Data'!BH32="",0,'Raw Data'!BH32)</f>
        <v>0</v>
      </c>
      <c r="BD17" s="12" t="n">
        <f aca="false">IF('Raw Data'!BI32="",0,'Raw Data'!BI32)</f>
        <v>0</v>
      </c>
      <c r="BE17" s="12" t="n">
        <f aca="false">IF('Raw Data'!BJ32="",0,'Raw Data'!BJ32)</f>
        <v>0</v>
      </c>
      <c r="BF17" s="12" t="n">
        <f aca="false">IF('Raw Data'!BK32="",0,'Raw Data'!BK32)</f>
        <v>0</v>
      </c>
      <c r="BG17" s="12" t="n">
        <f aca="false">IF('Raw Data'!BL32="",0,'Raw Data'!BL32)</f>
        <v>0</v>
      </c>
      <c r="BH17" s="12" t="n">
        <f aca="false">IF('Raw Data'!BM32="",0,'Raw Data'!BM32)</f>
        <v>0</v>
      </c>
      <c r="BI17" s="12" t="n">
        <f aca="false">IF('Raw Data'!BN32="",0,'Raw Data'!BN32)</f>
        <v>0</v>
      </c>
      <c r="BJ17" s="12" t="n">
        <f aca="false">IF('Raw Data'!BO32="",0,'Raw Data'!BO32)</f>
        <v>0</v>
      </c>
      <c r="BK17" s="12" t="n">
        <f aca="false">IF('Raw Data'!BP32="",0,'Raw Data'!BP32)</f>
        <v>0</v>
      </c>
      <c r="BL17" s="12" t="n">
        <f aca="false">IF('Raw Data'!BQ32="",0,'Raw Data'!BQ32)</f>
        <v>0</v>
      </c>
      <c r="BM17" s="12" t="n">
        <f aca="false">IF('Raw Data'!BR32="",0,'Raw Data'!BR32)</f>
        <v>0</v>
      </c>
      <c r="BN17" s="12" t="n">
        <f aca="false">IF('Raw Data'!BS32="",0,'Raw Data'!BS32)</f>
        <v>0</v>
      </c>
      <c r="BO17" s="21" t="b">
        <f aca="false">FALSE()</f>
        <v>0</v>
      </c>
    </row>
    <row r="18" customFormat="false" ht="15" hidden="false" customHeight="false" outlineLevel="0" collapsed="false">
      <c r="A18" s="20" t="str">
        <f aca="false">'Raw Data'!A33</f>
        <v>Local Account #23 from WA</v>
      </c>
      <c r="B18" s="12" t="n">
        <f aca="false">IF('Raw Data'!G33="",0,'Raw Data'!G33)</f>
        <v>516.666666666667</v>
      </c>
      <c r="C18" s="12" t="n">
        <f aca="false">IF('Raw Data'!H33="",0,'Raw Data'!H33)</f>
        <v>516.666666666667</v>
      </c>
      <c r="D18" s="12" t="n">
        <f aca="false">IF('Raw Data'!I33="",0,'Raw Data'!I33)</f>
        <v>516.666666666667</v>
      </c>
      <c r="E18" s="12" t="n">
        <f aca="false">IF('Raw Data'!J33="",0,'Raw Data'!J33)</f>
        <v>516.666666666667</v>
      </c>
      <c r="F18" s="12" t="n">
        <f aca="false">IF('Raw Data'!K33="",0,'Raw Data'!K33)</f>
        <v>516.666666666667</v>
      </c>
      <c r="G18" s="12" t="n">
        <f aca="false">IF('Raw Data'!L33="",0,'Raw Data'!L33)</f>
        <v>516.666666666667</v>
      </c>
      <c r="H18" s="12" t="n">
        <f aca="false">IF('Raw Data'!M33="",0,'Raw Data'!M33)</f>
        <v>516.666666666667</v>
      </c>
      <c r="I18" s="12" t="n">
        <f aca="false">IF('Raw Data'!N33="",0,'Raw Data'!N33)</f>
        <v>516.666666666667</v>
      </c>
      <c r="J18" s="12" t="n">
        <f aca="false">IF('Raw Data'!O33="",0,'Raw Data'!O33)</f>
        <v>516.666666666667</v>
      </c>
      <c r="K18" s="12" t="n">
        <f aca="false">IF('Raw Data'!P33="",0,'Raw Data'!P33)</f>
        <v>516.666666666667</v>
      </c>
      <c r="L18" s="12" t="n">
        <f aca="false">IF('Raw Data'!Q33="",0,'Raw Data'!Q33)</f>
        <v>516.666666666667</v>
      </c>
      <c r="M18" s="12" t="n">
        <f aca="false">IF('Raw Data'!R33="",0,'Raw Data'!R33)</f>
        <v>516.666666666667</v>
      </c>
      <c r="N18" s="12" t="n">
        <f aca="false">IF('Raw Data'!S33="",0,'Raw Data'!S33)</f>
        <v>516.666666666667</v>
      </c>
      <c r="O18" s="12" t="n">
        <f aca="false">IF('Raw Data'!T33="",0,'Raw Data'!T33)</f>
        <v>516.666666666667</v>
      </c>
      <c r="P18" s="12" t="n">
        <f aca="false">IF('Raw Data'!U33="",0,'Raw Data'!U33)</f>
        <v>516.666666666667</v>
      </c>
      <c r="Q18" s="12" t="n">
        <f aca="false">IF('Raw Data'!V33="",0,'Raw Data'!V33)</f>
        <v>516.666666666667</v>
      </c>
      <c r="R18" s="12" t="n">
        <f aca="false">IF('Raw Data'!W33="",0,'Raw Data'!W33)</f>
        <v>250</v>
      </c>
      <c r="S18" s="12" t="n">
        <f aca="false">IF('Raw Data'!X33="",0,'Raw Data'!X33)</f>
        <v>250</v>
      </c>
      <c r="T18" s="12" t="n">
        <f aca="false">IF('Raw Data'!Y33="",0,'Raw Data'!Y33)</f>
        <v>250</v>
      </c>
      <c r="U18" s="12" t="n">
        <f aca="false">IF('Raw Data'!Z33="",0,'Raw Data'!Z33)</f>
        <v>250</v>
      </c>
      <c r="V18" s="12" t="n">
        <f aca="false">IF('Raw Data'!AA33="",0,'Raw Data'!AA33)</f>
        <v>250</v>
      </c>
      <c r="W18" s="12" t="n">
        <f aca="false">IF('Raw Data'!AB33="",0,'Raw Data'!AB33)</f>
        <v>250</v>
      </c>
      <c r="X18" s="12" t="n">
        <f aca="false">IF('Raw Data'!AC33="",0,'Raw Data'!AC33)</f>
        <v>250</v>
      </c>
      <c r="Y18" s="12" t="n">
        <f aca="false">IF('Raw Data'!AD33="",0,'Raw Data'!AD33)</f>
        <v>250</v>
      </c>
      <c r="Z18" s="12" t="n">
        <f aca="false">IF('Raw Data'!AE33="",0,'Raw Data'!AE33)</f>
        <v>250</v>
      </c>
      <c r="AA18" s="12" t="n">
        <f aca="false">IF('Raw Data'!AF33="",0,'Raw Data'!AF33)</f>
        <v>250</v>
      </c>
      <c r="AB18" s="12" t="n">
        <f aca="false">IF('Raw Data'!AG33="",0,'Raw Data'!AG33)</f>
        <v>250</v>
      </c>
      <c r="AC18" s="12" t="n">
        <f aca="false">IF('Raw Data'!AH33="",0,'Raw Data'!AH33)</f>
        <v>250</v>
      </c>
      <c r="AD18" s="12" t="n">
        <f aca="false">IF('Raw Data'!AI33="",0,'Raw Data'!AI33)</f>
        <v>0</v>
      </c>
      <c r="AE18" s="12" t="n">
        <f aca="false">IF('Raw Data'!AJ33="",0,'Raw Data'!AJ33)</f>
        <v>0</v>
      </c>
      <c r="AF18" s="12" t="n">
        <f aca="false">IF('Raw Data'!AK33="",0,'Raw Data'!AK33)</f>
        <v>0</v>
      </c>
      <c r="AG18" s="12" t="n">
        <f aca="false">IF('Raw Data'!AL33="",0,'Raw Data'!AL33)</f>
        <v>0</v>
      </c>
      <c r="AH18" s="12" t="n">
        <f aca="false">IF('Raw Data'!AM33="",0,'Raw Data'!AM33)</f>
        <v>0</v>
      </c>
      <c r="AI18" s="12" t="n">
        <f aca="false">IF('Raw Data'!AN33="",0,'Raw Data'!AN33)</f>
        <v>0</v>
      </c>
      <c r="AJ18" s="12" t="n">
        <f aca="false">IF('Raw Data'!AO33="",0,'Raw Data'!AO33)</f>
        <v>0</v>
      </c>
      <c r="AK18" s="12" t="n">
        <f aca="false">IF('Raw Data'!AP33="",0,'Raw Data'!AP33)</f>
        <v>0</v>
      </c>
      <c r="AL18" s="12" t="n">
        <f aca="false">IF('Raw Data'!AQ33="",0,'Raw Data'!AQ33)</f>
        <v>0</v>
      </c>
      <c r="AM18" s="12" t="n">
        <f aca="false">IF('Raw Data'!AR33="",0,'Raw Data'!AR33)</f>
        <v>0</v>
      </c>
      <c r="AN18" s="12" t="n">
        <f aca="false">IF('Raw Data'!AS33="",0,'Raw Data'!AS33)</f>
        <v>0</v>
      </c>
      <c r="AO18" s="12" t="n">
        <f aca="false">IF('Raw Data'!AT33="",0,'Raw Data'!AT33)</f>
        <v>0</v>
      </c>
      <c r="AP18" s="12" t="n">
        <f aca="false">IF('Raw Data'!AU33="",0,'Raw Data'!AU33)</f>
        <v>0</v>
      </c>
      <c r="AQ18" s="12" t="n">
        <f aca="false">IF('Raw Data'!AV33="",0,'Raw Data'!AV33)</f>
        <v>0</v>
      </c>
      <c r="AR18" s="12" t="n">
        <f aca="false">IF('Raw Data'!AW33="",0,'Raw Data'!AW33)</f>
        <v>0</v>
      </c>
      <c r="AS18" s="12" t="n">
        <f aca="false">IF('Raw Data'!AX33="",0,'Raw Data'!AX33)</f>
        <v>0</v>
      </c>
      <c r="AT18" s="12" t="n">
        <f aca="false">IF('Raw Data'!AY33="",0,'Raw Data'!AY33)</f>
        <v>0</v>
      </c>
      <c r="AU18" s="12" t="n">
        <f aca="false">IF('Raw Data'!AZ33="",0,'Raw Data'!AZ33)</f>
        <v>0</v>
      </c>
      <c r="AV18" s="12" t="n">
        <f aca="false">IF('Raw Data'!BA33="",0,'Raw Data'!BA33)</f>
        <v>0</v>
      </c>
      <c r="AW18" s="12" t="n">
        <f aca="false">IF('Raw Data'!BB33="",0,'Raw Data'!BB33)</f>
        <v>0</v>
      </c>
      <c r="AX18" s="12" t="n">
        <f aca="false">IF('Raw Data'!BC33="",0,'Raw Data'!BC33)</f>
        <v>0</v>
      </c>
      <c r="AY18" s="12" t="n">
        <f aca="false">IF('Raw Data'!BD33="",0,'Raw Data'!BD33)</f>
        <v>0</v>
      </c>
      <c r="AZ18" s="12" t="n">
        <f aca="false">IF('Raw Data'!BE33="",0,'Raw Data'!BE33)</f>
        <v>0</v>
      </c>
      <c r="BA18" s="12" t="n">
        <f aca="false">IF('Raw Data'!BF33="",0,'Raw Data'!BF33)</f>
        <v>0</v>
      </c>
      <c r="BB18" s="12" t="n">
        <f aca="false">IF('Raw Data'!BG33="",0,'Raw Data'!BG33)</f>
        <v>0</v>
      </c>
      <c r="BC18" s="12" t="n">
        <f aca="false">IF('Raw Data'!BH33="",0,'Raw Data'!BH33)</f>
        <v>0</v>
      </c>
      <c r="BD18" s="12" t="n">
        <f aca="false">IF('Raw Data'!BI33="",0,'Raw Data'!BI33)</f>
        <v>0</v>
      </c>
      <c r="BE18" s="12" t="n">
        <f aca="false">IF('Raw Data'!BJ33="",0,'Raw Data'!BJ33)</f>
        <v>0</v>
      </c>
      <c r="BF18" s="12" t="n">
        <f aca="false">IF('Raw Data'!BK33="",0,'Raw Data'!BK33)</f>
        <v>0</v>
      </c>
      <c r="BG18" s="12" t="n">
        <f aca="false">IF('Raw Data'!BL33="",0,'Raw Data'!BL33)</f>
        <v>0</v>
      </c>
      <c r="BH18" s="12" t="n">
        <f aca="false">IF('Raw Data'!BM33="",0,'Raw Data'!BM33)</f>
        <v>0</v>
      </c>
      <c r="BI18" s="12" t="n">
        <f aca="false">IF('Raw Data'!BN33="",0,'Raw Data'!BN33)</f>
        <v>0</v>
      </c>
      <c r="BJ18" s="12" t="n">
        <f aca="false">IF('Raw Data'!BO33="",0,'Raw Data'!BO33)</f>
        <v>0</v>
      </c>
      <c r="BK18" s="12" t="n">
        <f aca="false">IF('Raw Data'!BP33="",0,'Raw Data'!BP33)</f>
        <v>0</v>
      </c>
      <c r="BL18" s="12" t="n">
        <f aca="false">IF('Raw Data'!BQ33="",0,'Raw Data'!BQ33)</f>
        <v>0</v>
      </c>
      <c r="BM18" s="12" t="n">
        <f aca="false">IF('Raw Data'!BR33="",0,'Raw Data'!BR33)</f>
        <v>0</v>
      </c>
      <c r="BN18" s="12" t="n">
        <f aca="false">IF('Raw Data'!BS33="",0,'Raw Data'!BS33)</f>
        <v>0</v>
      </c>
      <c r="BO18" s="21" t="b">
        <f aca="false">FALSE()</f>
        <v>0</v>
      </c>
    </row>
    <row r="19" customFormat="false" ht="15" hidden="false" customHeight="false" outlineLevel="0" collapsed="false">
      <c r="A19" s="20" t="str">
        <f aca="false">'Raw Data'!A34</f>
        <v>Local Account #24 from PA</v>
      </c>
      <c r="B19" s="12" t="n">
        <f aca="false">IF('Raw Data'!G34="",0,'Raw Data'!G34)</f>
        <v>0</v>
      </c>
      <c r="C19" s="12" t="n">
        <f aca="false">IF('Raw Data'!H34="",0,'Raw Data'!H34)</f>
        <v>0</v>
      </c>
      <c r="D19" s="12" t="n">
        <f aca="false">IF('Raw Data'!I34="",0,'Raw Data'!I34)</f>
        <v>0</v>
      </c>
      <c r="E19" s="12" t="n">
        <f aca="false">IF('Raw Data'!J34="",0,'Raw Data'!J34)</f>
        <v>0</v>
      </c>
      <c r="F19" s="12" t="n">
        <f aca="false">IF('Raw Data'!K34="",0,'Raw Data'!K34)</f>
        <v>0</v>
      </c>
      <c r="G19" s="12" t="n">
        <f aca="false">IF('Raw Data'!L34="",0,'Raw Data'!L34)</f>
        <v>0</v>
      </c>
      <c r="H19" s="12" t="n">
        <f aca="false">IF('Raw Data'!M34="",0,'Raw Data'!M34)</f>
        <v>125</v>
      </c>
      <c r="I19" s="12" t="n">
        <f aca="false">IF('Raw Data'!N34="",0,'Raw Data'!N34)</f>
        <v>125</v>
      </c>
      <c r="J19" s="12" t="n">
        <f aca="false">IF('Raw Data'!O34="",0,'Raw Data'!O34)</f>
        <v>125</v>
      </c>
      <c r="K19" s="12" t="n">
        <f aca="false">IF('Raw Data'!P34="",0,'Raw Data'!P34)</f>
        <v>125</v>
      </c>
      <c r="L19" s="12" t="n">
        <f aca="false">IF('Raw Data'!Q34="",0,'Raw Data'!Q34)</f>
        <v>125</v>
      </c>
      <c r="M19" s="12" t="n">
        <f aca="false">IF('Raw Data'!R34="",0,'Raw Data'!R34)</f>
        <v>125</v>
      </c>
      <c r="N19" s="12" t="n">
        <f aca="false">IF('Raw Data'!S34="",0,'Raw Data'!S34)</f>
        <v>125</v>
      </c>
      <c r="O19" s="12" t="n">
        <f aca="false">IF('Raw Data'!T34="",0,'Raw Data'!T34)</f>
        <v>125</v>
      </c>
      <c r="P19" s="12" t="n">
        <f aca="false">IF('Raw Data'!U34="",0,'Raw Data'!U34)</f>
        <v>125</v>
      </c>
      <c r="Q19" s="12" t="n">
        <f aca="false">IF('Raw Data'!V34="",0,'Raw Data'!V34)</f>
        <v>125</v>
      </c>
      <c r="R19" s="12" t="n">
        <f aca="false">IF('Raw Data'!W34="",0,'Raw Data'!W34)</f>
        <v>125</v>
      </c>
      <c r="S19" s="12" t="n">
        <f aca="false">IF('Raw Data'!X34="",0,'Raw Data'!X34)</f>
        <v>125</v>
      </c>
      <c r="T19" s="12" t="n">
        <f aca="false">IF('Raw Data'!Y34="",0,'Raw Data'!Y34)</f>
        <v>125</v>
      </c>
      <c r="U19" s="12" t="n">
        <f aca="false">IF('Raw Data'!Z34="",0,'Raw Data'!Z34)</f>
        <v>125</v>
      </c>
      <c r="V19" s="12" t="n">
        <f aca="false">IF('Raw Data'!AA34="",0,'Raw Data'!AA34)</f>
        <v>125</v>
      </c>
      <c r="W19" s="12" t="n">
        <f aca="false">IF('Raw Data'!AB34="",0,'Raw Data'!AB34)</f>
        <v>125</v>
      </c>
      <c r="X19" s="12" t="n">
        <f aca="false">IF('Raw Data'!AC34="",0,'Raw Data'!AC34)</f>
        <v>125</v>
      </c>
      <c r="Y19" s="12" t="n">
        <f aca="false">IF('Raw Data'!AD34="",0,'Raw Data'!AD34)</f>
        <v>125</v>
      </c>
      <c r="Z19" s="12" t="n">
        <f aca="false">IF('Raw Data'!AE34="",0,'Raw Data'!AE34)</f>
        <v>125</v>
      </c>
      <c r="AA19" s="12" t="n">
        <f aca="false">IF('Raw Data'!AF34="",0,'Raw Data'!AF34)</f>
        <v>125</v>
      </c>
      <c r="AB19" s="12" t="n">
        <f aca="false">IF('Raw Data'!AG34="",0,'Raw Data'!AG34)</f>
        <v>125</v>
      </c>
      <c r="AC19" s="12" t="n">
        <f aca="false">IF('Raw Data'!AH34="",0,'Raw Data'!AH34)</f>
        <v>125</v>
      </c>
      <c r="AD19" s="12" t="n">
        <f aca="false">IF('Raw Data'!AI34="",0,'Raw Data'!AI34)</f>
        <v>125</v>
      </c>
      <c r="AE19" s="12" t="n">
        <f aca="false">IF('Raw Data'!AJ34="",0,'Raw Data'!AJ34)</f>
        <v>125</v>
      </c>
      <c r="AF19" s="12" t="n">
        <f aca="false">IF('Raw Data'!AK34="",0,'Raw Data'!AK34)</f>
        <v>125</v>
      </c>
      <c r="AG19" s="12" t="n">
        <f aca="false">IF('Raw Data'!AL34="",0,'Raw Data'!AL34)</f>
        <v>125</v>
      </c>
      <c r="AH19" s="12" t="n">
        <f aca="false">IF('Raw Data'!AM34="",0,'Raw Data'!AM34)</f>
        <v>125</v>
      </c>
      <c r="AI19" s="12" t="n">
        <f aca="false">IF('Raw Data'!AN34="",0,'Raw Data'!AN34)</f>
        <v>125</v>
      </c>
      <c r="AJ19" s="12" t="n">
        <f aca="false">IF('Raw Data'!AO34="",0,'Raw Data'!AO34)</f>
        <v>125</v>
      </c>
      <c r="AK19" s="12" t="n">
        <f aca="false">IF('Raw Data'!AP34="",0,'Raw Data'!AP34)</f>
        <v>125</v>
      </c>
      <c r="AL19" s="12" t="n">
        <f aca="false">IF('Raw Data'!AQ34="",0,'Raw Data'!AQ34)</f>
        <v>125</v>
      </c>
      <c r="AM19" s="12" t="n">
        <f aca="false">IF('Raw Data'!AR34="",0,'Raw Data'!AR34)</f>
        <v>125</v>
      </c>
      <c r="AN19" s="12" t="n">
        <f aca="false">IF('Raw Data'!AS34="",0,'Raw Data'!AS34)</f>
        <v>125</v>
      </c>
      <c r="AO19" s="12" t="n">
        <f aca="false">IF('Raw Data'!AT34="",0,'Raw Data'!AT34)</f>
        <v>125</v>
      </c>
      <c r="AP19" s="12" t="n">
        <f aca="false">IF('Raw Data'!AU34="",0,'Raw Data'!AU34)</f>
        <v>125</v>
      </c>
      <c r="AQ19" s="12" t="n">
        <f aca="false">IF('Raw Data'!AV34="",0,'Raw Data'!AV34)</f>
        <v>125</v>
      </c>
      <c r="AR19" s="12" t="n">
        <f aca="false">IF('Raw Data'!AW34="",0,'Raw Data'!AW34)</f>
        <v>125</v>
      </c>
      <c r="AS19" s="12" t="n">
        <f aca="false">IF('Raw Data'!AX34="",0,'Raw Data'!AX34)</f>
        <v>125</v>
      </c>
      <c r="AT19" s="12" t="n">
        <f aca="false">IF('Raw Data'!AY34="",0,'Raw Data'!AY34)</f>
        <v>125</v>
      </c>
      <c r="AU19" s="12" t="n">
        <f aca="false">IF('Raw Data'!AZ34="",0,'Raw Data'!AZ34)</f>
        <v>125</v>
      </c>
      <c r="AV19" s="12" t="n">
        <f aca="false">IF('Raw Data'!BA34="",0,'Raw Data'!BA34)</f>
        <v>125</v>
      </c>
      <c r="AW19" s="12" t="n">
        <f aca="false">IF('Raw Data'!BB34="",0,'Raw Data'!BB34)</f>
        <v>125</v>
      </c>
      <c r="AX19" s="12" t="n">
        <f aca="false">IF('Raw Data'!BC34="",0,'Raw Data'!BC34)</f>
        <v>125</v>
      </c>
      <c r="AY19" s="12" t="n">
        <f aca="false">IF('Raw Data'!BD34="",0,'Raw Data'!BD34)</f>
        <v>125</v>
      </c>
      <c r="AZ19" s="12" t="n">
        <f aca="false">IF('Raw Data'!BE34="",0,'Raw Data'!BE34)</f>
        <v>125</v>
      </c>
      <c r="BA19" s="12" t="n">
        <f aca="false">IF('Raw Data'!BF34="",0,'Raw Data'!BF34)</f>
        <v>125</v>
      </c>
      <c r="BB19" s="12" t="n">
        <f aca="false">IF('Raw Data'!BG34="",0,'Raw Data'!BG34)</f>
        <v>125</v>
      </c>
      <c r="BC19" s="12" t="n">
        <f aca="false">IF('Raw Data'!BH34="",0,'Raw Data'!BH34)</f>
        <v>125</v>
      </c>
      <c r="BD19" s="12" t="n">
        <f aca="false">IF('Raw Data'!BI34="",0,'Raw Data'!BI34)</f>
        <v>125</v>
      </c>
      <c r="BE19" s="12" t="n">
        <f aca="false">IF('Raw Data'!BJ34="",0,'Raw Data'!BJ34)</f>
        <v>125</v>
      </c>
      <c r="BF19" s="12" t="n">
        <f aca="false">IF('Raw Data'!BK34="",0,'Raw Data'!BK34)</f>
        <v>125</v>
      </c>
      <c r="BG19" s="12" t="n">
        <f aca="false">IF('Raw Data'!BL34="",0,'Raw Data'!BL34)</f>
        <v>125</v>
      </c>
      <c r="BH19" s="12" t="n">
        <f aca="false">IF('Raw Data'!BM34="",0,'Raw Data'!BM34)</f>
        <v>125</v>
      </c>
      <c r="BI19" s="12" t="n">
        <f aca="false">IF('Raw Data'!BN34="",0,'Raw Data'!BN34)</f>
        <v>125</v>
      </c>
      <c r="BJ19" s="12" t="n">
        <f aca="false">IF('Raw Data'!BO34="",0,'Raw Data'!BO34)</f>
        <v>125</v>
      </c>
      <c r="BK19" s="12" t="n">
        <f aca="false">IF('Raw Data'!BP34="",0,'Raw Data'!BP34)</f>
        <v>125</v>
      </c>
      <c r="BL19" s="12" t="n">
        <f aca="false">IF('Raw Data'!BQ34="",0,'Raw Data'!BQ34)</f>
        <v>125</v>
      </c>
      <c r="BM19" s="12" t="n">
        <f aca="false">IF('Raw Data'!BR34="",0,'Raw Data'!BR34)</f>
        <v>125</v>
      </c>
      <c r="BN19" s="12" t="n">
        <f aca="false">IF('Raw Data'!BS34="",0,'Raw Data'!BS34)</f>
        <v>125</v>
      </c>
      <c r="BO19" s="21" t="b">
        <f aca="false">FALSE()</f>
        <v>0</v>
      </c>
    </row>
    <row r="20" customFormat="false" ht="15" hidden="false" customHeight="false" outlineLevel="0" collapsed="false">
      <c r="A20" s="20" t="str">
        <f aca="false">'Raw Data'!A35</f>
        <v>Local Account #25 from AZ</v>
      </c>
      <c r="B20" s="12" t="n">
        <f aca="false">IF('Raw Data'!G35="",0,'Raw Data'!G35)</f>
        <v>437.5</v>
      </c>
      <c r="C20" s="12" t="n">
        <f aca="false">IF('Raw Data'!H35="",0,'Raw Data'!H35)</f>
        <v>437.5</v>
      </c>
      <c r="D20" s="12" t="n">
        <f aca="false">IF('Raw Data'!I35="",0,'Raw Data'!I35)</f>
        <v>437.5</v>
      </c>
      <c r="E20" s="12" t="n">
        <f aca="false">IF('Raw Data'!J35="",0,'Raw Data'!J35)</f>
        <v>437.5</v>
      </c>
      <c r="F20" s="12" t="n">
        <f aca="false">IF('Raw Data'!K35="",0,'Raw Data'!K35)</f>
        <v>437.5</v>
      </c>
      <c r="G20" s="12" t="n">
        <f aca="false">IF('Raw Data'!L35="",0,'Raw Data'!L35)</f>
        <v>437.5</v>
      </c>
      <c r="H20" s="12" t="n">
        <f aca="false">IF('Raw Data'!M35="",0,'Raw Data'!M35)</f>
        <v>437.5</v>
      </c>
      <c r="I20" s="12" t="n">
        <f aca="false">IF('Raw Data'!N35="",0,'Raw Data'!N35)</f>
        <v>437.5</v>
      </c>
      <c r="J20" s="12" t="n">
        <f aca="false">IF('Raw Data'!O35="",0,'Raw Data'!O35)</f>
        <v>437.5</v>
      </c>
      <c r="K20" s="12" t="n">
        <f aca="false">IF('Raw Data'!P35="",0,'Raw Data'!P35)</f>
        <v>437.5</v>
      </c>
      <c r="L20" s="12" t="n">
        <f aca="false">IF('Raw Data'!Q35="",0,'Raw Data'!Q35)</f>
        <v>437.5</v>
      </c>
      <c r="M20" s="12" t="n">
        <f aca="false">IF('Raw Data'!R35="",0,'Raw Data'!R35)</f>
        <v>437.5</v>
      </c>
      <c r="N20" s="12" t="n">
        <f aca="false">IF('Raw Data'!S35="",0,'Raw Data'!S35)</f>
        <v>437.5</v>
      </c>
      <c r="O20" s="12" t="n">
        <f aca="false">IF('Raw Data'!T35="",0,'Raw Data'!T35)</f>
        <v>437.5</v>
      </c>
      <c r="P20" s="12" t="n">
        <f aca="false">IF('Raw Data'!U35="",0,'Raw Data'!U35)</f>
        <v>437.5</v>
      </c>
      <c r="Q20" s="12" t="n">
        <f aca="false">IF('Raw Data'!V35="",0,'Raw Data'!V35)</f>
        <v>437.5</v>
      </c>
      <c r="R20" s="12" t="n">
        <f aca="false">IF('Raw Data'!W35="",0,'Raw Data'!W35)</f>
        <v>437.5</v>
      </c>
      <c r="S20" s="12" t="n">
        <f aca="false">IF('Raw Data'!X35="",0,'Raw Data'!X35)</f>
        <v>437.5</v>
      </c>
      <c r="T20" s="12" t="n">
        <f aca="false">IF('Raw Data'!Y35="",0,'Raw Data'!Y35)</f>
        <v>437.5</v>
      </c>
      <c r="U20" s="12" t="n">
        <f aca="false">IF('Raw Data'!Z35="",0,'Raw Data'!Z35)</f>
        <v>437.5</v>
      </c>
      <c r="V20" s="12" t="n">
        <f aca="false">IF('Raw Data'!AA35="",0,'Raw Data'!AA35)</f>
        <v>437.5</v>
      </c>
      <c r="W20" s="12" t="n">
        <f aca="false">IF('Raw Data'!AB35="",0,'Raw Data'!AB35)</f>
        <v>437.5</v>
      </c>
      <c r="X20" s="12" t="n">
        <f aca="false">IF('Raw Data'!AC35="",0,'Raw Data'!AC35)</f>
        <v>437.5</v>
      </c>
      <c r="Y20" s="12" t="n">
        <f aca="false">IF('Raw Data'!AD35="",0,'Raw Data'!AD35)</f>
        <v>437.5</v>
      </c>
      <c r="Z20" s="12" t="n">
        <f aca="false">IF('Raw Data'!AE35="",0,'Raw Data'!AE35)</f>
        <v>437.5</v>
      </c>
      <c r="AA20" s="12" t="n">
        <f aca="false">IF('Raw Data'!AF35="",0,'Raw Data'!AF35)</f>
        <v>437.5</v>
      </c>
      <c r="AB20" s="12" t="n">
        <f aca="false">IF('Raw Data'!AG35="",0,'Raw Data'!AG35)</f>
        <v>437.5</v>
      </c>
      <c r="AC20" s="12" t="n">
        <f aca="false">IF('Raw Data'!AH35="",0,'Raw Data'!AH35)</f>
        <v>437.5</v>
      </c>
      <c r="AD20" s="12" t="n">
        <f aca="false">IF('Raw Data'!AI35="",0,'Raw Data'!AI35)</f>
        <v>437.5</v>
      </c>
      <c r="AE20" s="12" t="n">
        <f aca="false">IF('Raw Data'!AJ35="",0,'Raw Data'!AJ35)</f>
        <v>437.5</v>
      </c>
      <c r="AF20" s="12" t="n">
        <f aca="false">IF('Raw Data'!AK35="",0,'Raw Data'!AK35)</f>
        <v>437.5</v>
      </c>
      <c r="AG20" s="12" t="n">
        <f aca="false">IF('Raw Data'!AL35="",0,'Raw Data'!AL35)</f>
        <v>437.5</v>
      </c>
      <c r="AH20" s="12" t="n">
        <f aca="false">IF('Raw Data'!AM35="",0,'Raw Data'!AM35)</f>
        <v>437.5</v>
      </c>
      <c r="AI20" s="12" t="n">
        <f aca="false">IF('Raw Data'!AN35="",0,'Raw Data'!AN35)</f>
        <v>437.5</v>
      </c>
      <c r="AJ20" s="12" t="n">
        <f aca="false">IF('Raw Data'!AO35="",0,'Raw Data'!AO35)</f>
        <v>437.5</v>
      </c>
      <c r="AK20" s="12" t="n">
        <f aca="false">IF('Raw Data'!AP35="",0,'Raw Data'!AP35)</f>
        <v>437.5</v>
      </c>
      <c r="AL20" s="12" t="n">
        <f aca="false">IF('Raw Data'!AQ35="",0,'Raw Data'!AQ35)</f>
        <v>437.5</v>
      </c>
      <c r="AM20" s="12" t="n">
        <f aca="false">IF('Raw Data'!AR35="",0,'Raw Data'!AR35)</f>
        <v>437.5</v>
      </c>
      <c r="AN20" s="12" t="n">
        <f aca="false">IF('Raw Data'!AS35="",0,'Raw Data'!AS35)</f>
        <v>437.5</v>
      </c>
      <c r="AO20" s="12" t="n">
        <f aca="false">IF('Raw Data'!AT35="",0,'Raw Data'!AT35)</f>
        <v>437.5</v>
      </c>
      <c r="AP20" s="12" t="n">
        <f aca="false">IF('Raw Data'!AU35="",0,'Raw Data'!AU35)</f>
        <v>437.5</v>
      </c>
      <c r="AQ20" s="12" t="n">
        <f aca="false">IF('Raw Data'!AV35="",0,'Raw Data'!AV35)</f>
        <v>437.5</v>
      </c>
      <c r="AR20" s="12" t="n">
        <f aca="false">IF('Raw Data'!AW35="",0,'Raw Data'!AW35)</f>
        <v>437.5</v>
      </c>
      <c r="AS20" s="12" t="n">
        <f aca="false">IF('Raw Data'!AX35="",0,'Raw Data'!AX35)</f>
        <v>0</v>
      </c>
      <c r="AT20" s="12" t="n">
        <f aca="false">IF('Raw Data'!AY35="",0,'Raw Data'!AY35)</f>
        <v>0</v>
      </c>
      <c r="AU20" s="12" t="n">
        <f aca="false">IF('Raw Data'!AZ35="",0,'Raw Data'!AZ35)</f>
        <v>0</v>
      </c>
      <c r="AV20" s="12" t="n">
        <f aca="false">IF('Raw Data'!BA35="",0,'Raw Data'!BA35)</f>
        <v>0</v>
      </c>
      <c r="AW20" s="12" t="n">
        <f aca="false">IF('Raw Data'!BB35="",0,'Raw Data'!BB35)</f>
        <v>0</v>
      </c>
      <c r="AX20" s="12" t="n">
        <f aca="false">IF('Raw Data'!BC35="",0,'Raw Data'!BC35)</f>
        <v>0</v>
      </c>
      <c r="AY20" s="12" t="n">
        <f aca="false">IF('Raw Data'!BD35="",0,'Raw Data'!BD35)</f>
        <v>0</v>
      </c>
      <c r="AZ20" s="12" t="n">
        <f aca="false">IF('Raw Data'!BE35="",0,'Raw Data'!BE35)</f>
        <v>0</v>
      </c>
      <c r="BA20" s="12" t="n">
        <f aca="false">IF('Raw Data'!BF35="",0,'Raw Data'!BF35)</f>
        <v>0</v>
      </c>
      <c r="BB20" s="12" t="n">
        <f aca="false">IF('Raw Data'!BG35="",0,'Raw Data'!BG35)</f>
        <v>0</v>
      </c>
      <c r="BC20" s="12" t="n">
        <f aca="false">IF('Raw Data'!BH35="",0,'Raw Data'!BH35)</f>
        <v>0</v>
      </c>
      <c r="BD20" s="12" t="n">
        <f aca="false">IF('Raw Data'!BI35="",0,'Raw Data'!BI35)</f>
        <v>0</v>
      </c>
      <c r="BE20" s="12" t="n">
        <f aca="false">IF('Raw Data'!BJ35="",0,'Raw Data'!BJ35)</f>
        <v>0</v>
      </c>
      <c r="BF20" s="12" t="n">
        <f aca="false">IF('Raw Data'!BK35="",0,'Raw Data'!BK35)</f>
        <v>0</v>
      </c>
      <c r="BG20" s="12" t="n">
        <f aca="false">IF('Raw Data'!BL35="",0,'Raw Data'!BL35)</f>
        <v>0</v>
      </c>
      <c r="BH20" s="12" t="n">
        <f aca="false">IF('Raw Data'!BM35="",0,'Raw Data'!BM35)</f>
        <v>0</v>
      </c>
      <c r="BI20" s="12" t="n">
        <f aca="false">IF('Raw Data'!BN35="",0,'Raw Data'!BN35)</f>
        <v>0</v>
      </c>
      <c r="BJ20" s="12" t="n">
        <f aca="false">IF('Raw Data'!BO35="",0,'Raw Data'!BO35)</f>
        <v>0</v>
      </c>
      <c r="BK20" s="12" t="n">
        <f aca="false">IF('Raw Data'!BP35="",0,'Raw Data'!BP35)</f>
        <v>0</v>
      </c>
      <c r="BL20" s="12" t="n">
        <f aca="false">IF('Raw Data'!BQ35="",0,'Raw Data'!BQ35)</f>
        <v>0</v>
      </c>
      <c r="BM20" s="12" t="n">
        <f aca="false">IF('Raw Data'!BR35="",0,'Raw Data'!BR35)</f>
        <v>0</v>
      </c>
      <c r="BN20" s="12" t="n">
        <f aca="false">IF('Raw Data'!BS35="",0,'Raw Data'!BS35)</f>
        <v>0</v>
      </c>
      <c r="BO20" s="21" t="b">
        <f aca="false">FALSE()</f>
        <v>0</v>
      </c>
    </row>
    <row r="21" customFormat="false" ht="15" hidden="false" customHeight="false" outlineLevel="0" collapsed="false">
      <c r="A21" s="20" t="str">
        <f aca="false">'Raw Data'!A36</f>
        <v>Local Account #26 from MI</v>
      </c>
      <c r="B21" s="12" t="n">
        <f aca="false">IF('Raw Data'!G36="",0,'Raw Data'!G36)</f>
        <v>600</v>
      </c>
      <c r="C21" s="12" t="n">
        <f aca="false">IF('Raw Data'!H36="",0,'Raw Data'!H36)</f>
        <v>600</v>
      </c>
      <c r="D21" s="12" t="n">
        <f aca="false">IF('Raw Data'!I36="",0,'Raw Data'!I36)</f>
        <v>600</v>
      </c>
      <c r="E21" s="12" t="n">
        <f aca="false">IF('Raw Data'!J36="",0,'Raw Data'!J36)</f>
        <v>600</v>
      </c>
      <c r="F21" s="12" t="n">
        <f aca="false">IF('Raw Data'!K36="",0,'Raw Data'!K36)</f>
        <v>600</v>
      </c>
      <c r="G21" s="12" t="n">
        <f aca="false">IF('Raw Data'!L36="",0,'Raw Data'!L36)</f>
        <v>600</v>
      </c>
      <c r="H21" s="12" t="n">
        <f aca="false">IF('Raw Data'!M36="",0,'Raw Data'!M36)</f>
        <v>600</v>
      </c>
      <c r="I21" s="12" t="n">
        <f aca="false">IF('Raw Data'!N36="",0,'Raw Data'!N36)</f>
        <v>600</v>
      </c>
      <c r="J21" s="12" t="n">
        <f aca="false">IF('Raw Data'!O36="",0,'Raw Data'!O36)</f>
        <v>600</v>
      </c>
      <c r="K21" s="12" t="n">
        <f aca="false">IF('Raw Data'!P36="",0,'Raw Data'!P36)</f>
        <v>0</v>
      </c>
      <c r="L21" s="12" t="n">
        <f aca="false">IF('Raw Data'!Q36="",0,'Raw Data'!Q36)</f>
        <v>0</v>
      </c>
      <c r="M21" s="12" t="n">
        <f aca="false">IF('Raw Data'!R36="",0,'Raw Data'!R36)</f>
        <v>0</v>
      </c>
      <c r="N21" s="12" t="n">
        <f aca="false">IF('Raw Data'!S36="",0,'Raw Data'!S36)</f>
        <v>0</v>
      </c>
      <c r="O21" s="12" t="n">
        <f aca="false">IF('Raw Data'!T36="",0,'Raw Data'!T36)</f>
        <v>0</v>
      </c>
      <c r="P21" s="12" t="n">
        <f aca="false">IF('Raw Data'!U36="",0,'Raw Data'!U36)</f>
        <v>0</v>
      </c>
      <c r="Q21" s="12" t="n">
        <f aca="false">IF('Raw Data'!V36="",0,'Raw Data'!V36)</f>
        <v>0</v>
      </c>
      <c r="R21" s="12" t="n">
        <f aca="false">IF('Raw Data'!W36="",0,'Raw Data'!W36)</f>
        <v>0</v>
      </c>
      <c r="S21" s="12" t="n">
        <f aca="false">IF('Raw Data'!X36="",0,'Raw Data'!X36)</f>
        <v>0</v>
      </c>
      <c r="T21" s="12" t="n">
        <f aca="false">IF('Raw Data'!Y36="",0,'Raw Data'!Y36)</f>
        <v>0</v>
      </c>
      <c r="U21" s="12" t="n">
        <f aca="false">IF('Raw Data'!Z36="",0,'Raw Data'!Z36)</f>
        <v>0</v>
      </c>
      <c r="V21" s="12" t="n">
        <f aca="false">IF('Raw Data'!AA36="",0,'Raw Data'!AA36)</f>
        <v>0</v>
      </c>
      <c r="W21" s="12" t="n">
        <f aca="false">IF('Raw Data'!AB36="",0,'Raw Data'!AB36)</f>
        <v>0</v>
      </c>
      <c r="X21" s="12" t="n">
        <f aca="false">IF('Raw Data'!AC36="",0,'Raw Data'!AC36)</f>
        <v>0</v>
      </c>
      <c r="Y21" s="12" t="n">
        <f aca="false">IF('Raw Data'!AD36="",0,'Raw Data'!AD36)</f>
        <v>0</v>
      </c>
      <c r="Z21" s="12" t="n">
        <f aca="false">IF('Raw Data'!AE36="",0,'Raw Data'!AE36)</f>
        <v>0</v>
      </c>
      <c r="AA21" s="12" t="n">
        <f aca="false">IF('Raw Data'!AF36="",0,'Raw Data'!AF36)</f>
        <v>0</v>
      </c>
      <c r="AB21" s="12" t="n">
        <f aca="false">IF('Raw Data'!AG36="",0,'Raw Data'!AG36)</f>
        <v>0</v>
      </c>
      <c r="AC21" s="12" t="n">
        <f aca="false">IF('Raw Data'!AH36="",0,'Raw Data'!AH36)</f>
        <v>0</v>
      </c>
      <c r="AD21" s="12" t="n">
        <f aca="false">IF('Raw Data'!AI36="",0,'Raw Data'!AI36)</f>
        <v>0</v>
      </c>
      <c r="AE21" s="12" t="n">
        <f aca="false">IF('Raw Data'!AJ36="",0,'Raw Data'!AJ36)</f>
        <v>0</v>
      </c>
      <c r="AF21" s="12" t="n">
        <f aca="false">IF('Raw Data'!AK36="",0,'Raw Data'!AK36)</f>
        <v>0</v>
      </c>
      <c r="AG21" s="12" t="n">
        <f aca="false">IF('Raw Data'!AL36="",0,'Raw Data'!AL36)</f>
        <v>0</v>
      </c>
      <c r="AH21" s="12" t="n">
        <f aca="false">IF('Raw Data'!AM36="",0,'Raw Data'!AM36)</f>
        <v>0</v>
      </c>
      <c r="AI21" s="12" t="n">
        <f aca="false">IF('Raw Data'!AN36="",0,'Raw Data'!AN36)</f>
        <v>0</v>
      </c>
      <c r="AJ21" s="12" t="n">
        <f aca="false">IF('Raw Data'!AO36="",0,'Raw Data'!AO36)</f>
        <v>0</v>
      </c>
      <c r="AK21" s="12" t="n">
        <f aca="false">IF('Raw Data'!AP36="",0,'Raw Data'!AP36)</f>
        <v>0</v>
      </c>
      <c r="AL21" s="12" t="n">
        <f aca="false">IF('Raw Data'!AQ36="",0,'Raw Data'!AQ36)</f>
        <v>0</v>
      </c>
      <c r="AM21" s="12" t="n">
        <f aca="false">IF('Raw Data'!AR36="",0,'Raw Data'!AR36)</f>
        <v>0</v>
      </c>
      <c r="AN21" s="12" t="n">
        <f aca="false">IF('Raw Data'!AS36="",0,'Raw Data'!AS36)</f>
        <v>0</v>
      </c>
      <c r="AO21" s="12" t="n">
        <f aca="false">IF('Raw Data'!AT36="",0,'Raw Data'!AT36)</f>
        <v>0</v>
      </c>
      <c r="AP21" s="12" t="n">
        <f aca="false">IF('Raw Data'!AU36="",0,'Raw Data'!AU36)</f>
        <v>0</v>
      </c>
      <c r="AQ21" s="12" t="n">
        <f aca="false">IF('Raw Data'!AV36="",0,'Raw Data'!AV36)</f>
        <v>0</v>
      </c>
      <c r="AR21" s="12" t="n">
        <f aca="false">IF('Raw Data'!AW36="",0,'Raw Data'!AW36)</f>
        <v>0</v>
      </c>
      <c r="AS21" s="12" t="n">
        <f aca="false">IF('Raw Data'!AX36="",0,'Raw Data'!AX36)</f>
        <v>0</v>
      </c>
      <c r="AT21" s="12" t="n">
        <f aca="false">IF('Raw Data'!AY36="",0,'Raw Data'!AY36)</f>
        <v>0</v>
      </c>
      <c r="AU21" s="12" t="n">
        <f aca="false">IF('Raw Data'!AZ36="",0,'Raw Data'!AZ36)</f>
        <v>0</v>
      </c>
      <c r="AV21" s="12" t="n">
        <f aca="false">IF('Raw Data'!BA36="",0,'Raw Data'!BA36)</f>
        <v>0</v>
      </c>
      <c r="AW21" s="12" t="n">
        <f aca="false">IF('Raw Data'!BB36="",0,'Raw Data'!BB36)</f>
        <v>0</v>
      </c>
      <c r="AX21" s="12" t="n">
        <f aca="false">IF('Raw Data'!BC36="",0,'Raw Data'!BC36)</f>
        <v>0</v>
      </c>
      <c r="AY21" s="12" t="n">
        <f aca="false">IF('Raw Data'!BD36="",0,'Raw Data'!BD36)</f>
        <v>0</v>
      </c>
      <c r="AZ21" s="12" t="n">
        <f aca="false">IF('Raw Data'!BE36="",0,'Raw Data'!BE36)</f>
        <v>0</v>
      </c>
      <c r="BA21" s="12" t="n">
        <f aca="false">IF('Raw Data'!BF36="",0,'Raw Data'!BF36)</f>
        <v>0</v>
      </c>
      <c r="BB21" s="12" t="n">
        <f aca="false">IF('Raw Data'!BG36="",0,'Raw Data'!BG36)</f>
        <v>0</v>
      </c>
      <c r="BC21" s="12" t="n">
        <f aca="false">IF('Raw Data'!BH36="",0,'Raw Data'!BH36)</f>
        <v>0</v>
      </c>
      <c r="BD21" s="12" t="n">
        <f aca="false">IF('Raw Data'!BI36="",0,'Raw Data'!BI36)</f>
        <v>0</v>
      </c>
      <c r="BE21" s="12" t="n">
        <f aca="false">IF('Raw Data'!BJ36="",0,'Raw Data'!BJ36)</f>
        <v>0</v>
      </c>
      <c r="BF21" s="12" t="n">
        <f aca="false">IF('Raw Data'!BK36="",0,'Raw Data'!BK36)</f>
        <v>0</v>
      </c>
      <c r="BG21" s="12" t="n">
        <f aca="false">IF('Raw Data'!BL36="",0,'Raw Data'!BL36)</f>
        <v>0</v>
      </c>
      <c r="BH21" s="12" t="n">
        <f aca="false">IF('Raw Data'!BM36="",0,'Raw Data'!BM36)</f>
        <v>0</v>
      </c>
      <c r="BI21" s="12" t="n">
        <f aca="false">IF('Raw Data'!BN36="",0,'Raw Data'!BN36)</f>
        <v>0</v>
      </c>
      <c r="BJ21" s="12" t="n">
        <f aca="false">IF('Raw Data'!BO36="",0,'Raw Data'!BO36)</f>
        <v>0</v>
      </c>
      <c r="BK21" s="12" t="n">
        <f aca="false">IF('Raw Data'!BP36="",0,'Raw Data'!BP36)</f>
        <v>0</v>
      </c>
      <c r="BL21" s="12" t="n">
        <f aca="false">IF('Raw Data'!BQ36="",0,'Raw Data'!BQ36)</f>
        <v>0</v>
      </c>
      <c r="BM21" s="12" t="n">
        <f aca="false">IF('Raw Data'!BR36="",0,'Raw Data'!BR36)</f>
        <v>0</v>
      </c>
      <c r="BN21" s="12" t="n">
        <f aca="false">IF('Raw Data'!BS36="",0,'Raw Data'!BS36)</f>
        <v>0</v>
      </c>
      <c r="BO21" s="21" t="b">
        <f aca="false">FALSE()</f>
        <v>0</v>
      </c>
    </row>
    <row r="22" customFormat="false" ht="15" hidden="false" customHeight="false" outlineLevel="0" collapsed="false">
      <c r="A22" s="20" t="str">
        <f aca="false">'Raw Data'!A37</f>
        <v>Local Account #27 from CA</v>
      </c>
      <c r="B22" s="12" t="n">
        <f aca="false">IF('Raw Data'!G37="",0,'Raw Data'!G37)</f>
        <v>400</v>
      </c>
      <c r="C22" s="12" t="n">
        <f aca="false">IF('Raw Data'!H37="",0,'Raw Data'!H37)</f>
        <v>400</v>
      </c>
      <c r="D22" s="12" t="n">
        <f aca="false">IF('Raw Data'!I37="",0,'Raw Data'!I37)</f>
        <v>400</v>
      </c>
      <c r="E22" s="12" t="n">
        <f aca="false">IF('Raw Data'!J37="",0,'Raw Data'!J37)</f>
        <v>400</v>
      </c>
      <c r="F22" s="12" t="n">
        <f aca="false">IF('Raw Data'!K37="",0,'Raw Data'!K37)</f>
        <v>400</v>
      </c>
      <c r="G22" s="12" t="n">
        <f aca="false">IF('Raw Data'!L37="",0,'Raw Data'!L37)</f>
        <v>400</v>
      </c>
      <c r="H22" s="12" t="n">
        <f aca="false">IF('Raw Data'!M37="",0,'Raw Data'!M37)</f>
        <v>400</v>
      </c>
      <c r="I22" s="12" t="n">
        <f aca="false">IF('Raw Data'!N37="",0,'Raw Data'!N37)</f>
        <v>400</v>
      </c>
      <c r="J22" s="12" t="n">
        <f aca="false">IF('Raw Data'!O37="",0,'Raw Data'!O37)</f>
        <v>400</v>
      </c>
      <c r="K22" s="12" t="n">
        <f aca="false">IF('Raw Data'!P37="",0,'Raw Data'!P37)</f>
        <v>400</v>
      </c>
      <c r="L22" s="12" t="n">
        <f aca="false">IF('Raw Data'!Q37="",0,'Raw Data'!Q37)</f>
        <v>400</v>
      </c>
      <c r="M22" s="12" t="n">
        <f aca="false">IF('Raw Data'!R37="",0,'Raw Data'!R37)</f>
        <v>400</v>
      </c>
      <c r="N22" s="12" t="n">
        <f aca="false">IF('Raw Data'!S37="",0,'Raw Data'!S37)</f>
        <v>400</v>
      </c>
      <c r="O22" s="12" t="n">
        <f aca="false">IF('Raw Data'!T37="",0,'Raw Data'!T37)</f>
        <v>400</v>
      </c>
      <c r="P22" s="12" t="n">
        <f aca="false">IF('Raw Data'!U37="",0,'Raw Data'!U37)</f>
        <v>400</v>
      </c>
      <c r="Q22" s="12" t="n">
        <f aca="false">IF('Raw Data'!V37="",0,'Raw Data'!V37)</f>
        <v>400</v>
      </c>
      <c r="R22" s="12" t="n">
        <f aca="false">IF('Raw Data'!W37="",0,'Raw Data'!W37)</f>
        <v>400</v>
      </c>
      <c r="S22" s="12" t="n">
        <f aca="false">IF('Raw Data'!X37="",0,'Raw Data'!X37)</f>
        <v>400</v>
      </c>
      <c r="T22" s="12" t="n">
        <f aca="false">IF('Raw Data'!Y37="",0,'Raw Data'!Y37)</f>
        <v>900</v>
      </c>
      <c r="U22" s="12" t="n">
        <f aca="false">IF('Raw Data'!Z37="",0,'Raw Data'!Z37)</f>
        <v>900</v>
      </c>
      <c r="V22" s="12" t="n">
        <f aca="false">IF('Raw Data'!AA37="",0,'Raw Data'!AA37)</f>
        <v>900</v>
      </c>
      <c r="W22" s="12" t="n">
        <f aca="false">IF('Raw Data'!AB37="",0,'Raw Data'!AB37)</f>
        <v>900</v>
      </c>
      <c r="X22" s="12" t="n">
        <f aca="false">IF('Raw Data'!AC37="",0,'Raw Data'!AC37)</f>
        <v>900</v>
      </c>
      <c r="Y22" s="12" t="n">
        <f aca="false">IF('Raw Data'!AD37="",0,'Raw Data'!AD37)</f>
        <v>900</v>
      </c>
      <c r="Z22" s="12" t="n">
        <f aca="false">IF('Raw Data'!AE37="",0,'Raw Data'!AE37)</f>
        <v>900</v>
      </c>
      <c r="AA22" s="12" t="n">
        <f aca="false">IF('Raw Data'!AF37="",0,'Raw Data'!AF37)</f>
        <v>900</v>
      </c>
      <c r="AB22" s="12" t="n">
        <f aca="false">IF('Raw Data'!AG37="",0,'Raw Data'!AG37)</f>
        <v>900</v>
      </c>
      <c r="AC22" s="12" t="n">
        <f aca="false">IF('Raw Data'!AH37="",0,'Raw Data'!AH37)</f>
        <v>900</v>
      </c>
      <c r="AD22" s="12" t="n">
        <f aca="false">IF('Raw Data'!AI37="",0,'Raw Data'!AI37)</f>
        <v>900</v>
      </c>
      <c r="AE22" s="12" t="n">
        <f aca="false">IF('Raw Data'!AJ37="",0,'Raw Data'!AJ37)</f>
        <v>900</v>
      </c>
      <c r="AF22" s="12" t="n">
        <f aca="false">IF('Raw Data'!AK37="",0,'Raw Data'!AK37)</f>
        <v>1300</v>
      </c>
      <c r="AG22" s="12" t="n">
        <f aca="false">IF('Raw Data'!AL37="",0,'Raw Data'!AL37)</f>
        <v>1300</v>
      </c>
      <c r="AH22" s="12" t="n">
        <f aca="false">IF('Raw Data'!AM37="",0,'Raw Data'!AM37)</f>
        <v>1300</v>
      </c>
      <c r="AI22" s="12" t="n">
        <f aca="false">IF('Raw Data'!AN37="",0,'Raw Data'!AN37)</f>
        <v>1300</v>
      </c>
      <c r="AJ22" s="12" t="n">
        <f aca="false">IF('Raw Data'!AO37="",0,'Raw Data'!AO37)</f>
        <v>1300</v>
      </c>
      <c r="AK22" s="12" t="n">
        <f aca="false">IF('Raw Data'!AP37="",0,'Raw Data'!AP37)</f>
        <v>1300</v>
      </c>
      <c r="AL22" s="12" t="n">
        <f aca="false">IF('Raw Data'!AQ37="",0,'Raw Data'!AQ37)</f>
        <v>1300</v>
      </c>
      <c r="AM22" s="12" t="n">
        <f aca="false">IF('Raw Data'!AR37="",0,'Raw Data'!AR37)</f>
        <v>1300</v>
      </c>
      <c r="AN22" s="12" t="n">
        <f aca="false">IF('Raw Data'!AS37="",0,'Raw Data'!AS37)</f>
        <v>1300</v>
      </c>
      <c r="AO22" s="12" t="n">
        <f aca="false">IF('Raw Data'!AT37="",0,'Raw Data'!AT37)</f>
        <v>1300</v>
      </c>
      <c r="AP22" s="12" t="n">
        <f aca="false">IF('Raw Data'!AU37="",0,'Raw Data'!AU37)</f>
        <v>1300</v>
      </c>
      <c r="AQ22" s="12" t="n">
        <f aca="false">IF('Raw Data'!AV37="",0,'Raw Data'!AV37)</f>
        <v>1300</v>
      </c>
      <c r="AR22" s="12" t="n">
        <f aca="false">IF('Raw Data'!AW37="",0,'Raw Data'!AW37)</f>
        <v>1200</v>
      </c>
      <c r="AS22" s="12" t="n">
        <f aca="false">IF('Raw Data'!AX37="",0,'Raw Data'!AX37)</f>
        <v>1200</v>
      </c>
      <c r="AT22" s="12" t="n">
        <f aca="false">IF('Raw Data'!AY37="",0,'Raw Data'!AY37)</f>
        <v>1200</v>
      </c>
      <c r="AU22" s="12" t="n">
        <f aca="false">IF('Raw Data'!AZ37="",0,'Raw Data'!AZ37)</f>
        <v>1200</v>
      </c>
      <c r="AV22" s="12" t="n">
        <f aca="false">IF('Raw Data'!BA37="",0,'Raw Data'!BA37)</f>
        <v>1200</v>
      </c>
      <c r="AW22" s="12" t="n">
        <f aca="false">IF('Raw Data'!BB37="",0,'Raw Data'!BB37)</f>
        <v>1200</v>
      </c>
      <c r="AX22" s="12" t="n">
        <f aca="false">IF('Raw Data'!BC37="",0,'Raw Data'!BC37)</f>
        <v>1200</v>
      </c>
      <c r="AY22" s="12" t="n">
        <f aca="false">IF('Raw Data'!BD37="",0,'Raw Data'!BD37)</f>
        <v>1200</v>
      </c>
      <c r="AZ22" s="12" t="n">
        <f aca="false">IF('Raw Data'!BE37="",0,'Raw Data'!BE37)</f>
        <v>1200</v>
      </c>
      <c r="BA22" s="12" t="n">
        <f aca="false">IF('Raw Data'!BF37="",0,'Raw Data'!BF37)</f>
        <v>1200</v>
      </c>
      <c r="BB22" s="12" t="n">
        <f aca="false">IF('Raw Data'!BG37="",0,'Raw Data'!BG37)</f>
        <v>1200</v>
      </c>
      <c r="BC22" s="12" t="n">
        <f aca="false">IF('Raw Data'!BH37="",0,'Raw Data'!BH37)</f>
        <v>1200</v>
      </c>
      <c r="BD22" s="12" t="n">
        <f aca="false">IF('Raw Data'!BI37="",0,'Raw Data'!BI37)</f>
        <v>900</v>
      </c>
      <c r="BE22" s="12" t="n">
        <f aca="false">IF('Raw Data'!BJ37="",0,'Raw Data'!BJ37)</f>
        <v>900</v>
      </c>
      <c r="BF22" s="12" t="n">
        <f aca="false">IF('Raw Data'!BK37="",0,'Raw Data'!BK37)</f>
        <v>900</v>
      </c>
      <c r="BG22" s="12" t="n">
        <f aca="false">IF('Raw Data'!BL37="",0,'Raw Data'!BL37)</f>
        <v>900</v>
      </c>
      <c r="BH22" s="12" t="n">
        <f aca="false">IF('Raw Data'!BM37="",0,'Raw Data'!BM37)</f>
        <v>900</v>
      </c>
      <c r="BI22" s="12" t="n">
        <f aca="false">IF('Raw Data'!BN37="",0,'Raw Data'!BN37)</f>
        <v>900</v>
      </c>
      <c r="BJ22" s="12" t="n">
        <f aca="false">IF('Raw Data'!BO37="",0,'Raw Data'!BO37)</f>
        <v>900</v>
      </c>
      <c r="BK22" s="12" t="n">
        <f aca="false">IF('Raw Data'!BP37="",0,'Raw Data'!BP37)</f>
        <v>900</v>
      </c>
      <c r="BL22" s="12" t="n">
        <f aca="false">IF('Raw Data'!BQ37="",0,'Raw Data'!BQ37)</f>
        <v>900</v>
      </c>
      <c r="BM22" s="12" t="n">
        <f aca="false">IF('Raw Data'!BR37="",0,'Raw Data'!BR37)</f>
        <v>900</v>
      </c>
      <c r="BN22" s="12" t="n">
        <f aca="false">IF('Raw Data'!BS37="",0,'Raw Data'!BS37)</f>
        <v>900</v>
      </c>
      <c r="BO22" s="21" t="b">
        <f aca="false">FALSE()</f>
        <v>0</v>
      </c>
    </row>
    <row r="23" customFormat="false" ht="15" hidden="false" customHeight="false" outlineLevel="0" collapsed="false">
      <c r="A23" s="20" t="str">
        <f aca="false">'Raw Data'!A38</f>
        <v>Local Account #28 from CA</v>
      </c>
      <c r="B23" s="12" t="n">
        <f aca="false">IF('Raw Data'!G38="",0,'Raw Data'!G38)</f>
        <v>2725</v>
      </c>
      <c r="C23" s="12" t="n">
        <f aca="false">IF('Raw Data'!H38="",0,'Raw Data'!H38)</f>
        <v>2725</v>
      </c>
      <c r="D23" s="12" t="n">
        <f aca="false">IF('Raw Data'!I38="",0,'Raw Data'!I38)</f>
        <v>2725</v>
      </c>
      <c r="E23" s="12" t="n">
        <f aca="false">IF('Raw Data'!J38="",0,'Raw Data'!J38)</f>
        <v>2725</v>
      </c>
      <c r="F23" s="12" t="n">
        <f aca="false">IF('Raw Data'!K38="",0,'Raw Data'!K38)</f>
        <v>2725</v>
      </c>
      <c r="G23" s="12" t="n">
        <f aca="false">IF('Raw Data'!L38="",0,'Raw Data'!L38)</f>
        <v>2725</v>
      </c>
      <c r="H23" s="12" t="n">
        <f aca="false">IF('Raw Data'!M38="",0,'Raw Data'!M38)</f>
        <v>900</v>
      </c>
      <c r="I23" s="12" t="n">
        <f aca="false">IF('Raw Data'!N38="",0,'Raw Data'!N38)</f>
        <v>900</v>
      </c>
      <c r="J23" s="12" t="n">
        <f aca="false">IF('Raw Data'!O38="",0,'Raw Data'!O38)</f>
        <v>900</v>
      </c>
      <c r="K23" s="12" t="n">
        <f aca="false">IF('Raw Data'!P38="",0,'Raw Data'!P38)</f>
        <v>900</v>
      </c>
      <c r="L23" s="12" t="n">
        <f aca="false">IF('Raw Data'!Q38="",0,'Raw Data'!Q38)</f>
        <v>900</v>
      </c>
      <c r="M23" s="12" t="n">
        <f aca="false">IF('Raw Data'!R38="",0,'Raw Data'!R38)</f>
        <v>900</v>
      </c>
      <c r="N23" s="12" t="n">
        <f aca="false">IF('Raw Data'!S38="",0,'Raw Data'!S38)</f>
        <v>900</v>
      </c>
      <c r="O23" s="12" t="n">
        <f aca="false">IF('Raw Data'!T38="",0,'Raw Data'!T38)</f>
        <v>900</v>
      </c>
      <c r="P23" s="12" t="n">
        <f aca="false">IF('Raw Data'!U38="",0,'Raw Data'!U38)</f>
        <v>900</v>
      </c>
      <c r="Q23" s="12" t="n">
        <f aca="false">IF('Raw Data'!V38="",0,'Raw Data'!V38)</f>
        <v>900</v>
      </c>
      <c r="R23" s="12" t="n">
        <f aca="false">IF('Raw Data'!W38="",0,'Raw Data'!W38)</f>
        <v>900</v>
      </c>
      <c r="S23" s="12" t="n">
        <f aca="false">IF('Raw Data'!X38="",0,'Raw Data'!X38)</f>
        <v>900</v>
      </c>
      <c r="T23" s="12" t="n">
        <f aca="false">IF('Raw Data'!Y38="",0,'Raw Data'!Y38)</f>
        <v>700</v>
      </c>
      <c r="U23" s="12" t="n">
        <f aca="false">IF('Raw Data'!Z38="",0,'Raw Data'!Z38)</f>
        <v>700</v>
      </c>
      <c r="V23" s="12" t="n">
        <f aca="false">IF('Raw Data'!AA38="",0,'Raw Data'!AA38)</f>
        <v>700</v>
      </c>
      <c r="W23" s="12" t="n">
        <f aca="false">IF('Raw Data'!AB38="",0,'Raw Data'!AB38)</f>
        <v>700</v>
      </c>
      <c r="X23" s="12" t="n">
        <f aca="false">IF('Raw Data'!AC38="",0,'Raw Data'!AC38)</f>
        <v>700</v>
      </c>
      <c r="Y23" s="12" t="n">
        <f aca="false">IF('Raw Data'!AD38="",0,'Raw Data'!AD38)</f>
        <v>700</v>
      </c>
      <c r="Z23" s="12" t="n">
        <f aca="false">IF('Raw Data'!AE38="",0,'Raw Data'!AE38)</f>
        <v>700</v>
      </c>
      <c r="AA23" s="12" t="n">
        <f aca="false">IF('Raw Data'!AF38="",0,'Raw Data'!AF38)</f>
        <v>700</v>
      </c>
      <c r="AB23" s="12" t="n">
        <f aca="false">IF('Raw Data'!AG38="",0,'Raw Data'!AG38)</f>
        <v>700</v>
      </c>
      <c r="AC23" s="12" t="n">
        <f aca="false">IF('Raw Data'!AH38="",0,'Raw Data'!AH38)</f>
        <v>700</v>
      </c>
      <c r="AD23" s="12" t="n">
        <f aca="false">IF('Raw Data'!AI38="",0,'Raw Data'!AI38)</f>
        <v>700</v>
      </c>
      <c r="AE23" s="12" t="n">
        <f aca="false">IF('Raw Data'!AJ38="",0,'Raw Data'!AJ38)</f>
        <v>700</v>
      </c>
      <c r="AF23" s="12" t="n">
        <f aca="false">IF('Raw Data'!AK38="",0,'Raw Data'!AK38)</f>
        <v>600</v>
      </c>
      <c r="AG23" s="12" t="n">
        <f aca="false">IF('Raw Data'!AL38="",0,'Raw Data'!AL38)</f>
        <v>600</v>
      </c>
      <c r="AH23" s="12" t="n">
        <f aca="false">IF('Raw Data'!AM38="",0,'Raw Data'!AM38)</f>
        <v>600</v>
      </c>
      <c r="AI23" s="12" t="n">
        <f aca="false">IF('Raw Data'!AN38="",0,'Raw Data'!AN38)</f>
        <v>600</v>
      </c>
      <c r="AJ23" s="12" t="n">
        <f aca="false">IF('Raw Data'!AO38="",0,'Raw Data'!AO38)</f>
        <v>600</v>
      </c>
      <c r="AK23" s="12" t="n">
        <f aca="false">IF('Raw Data'!AP38="",0,'Raw Data'!AP38)</f>
        <v>600</v>
      </c>
      <c r="AL23" s="12" t="n">
        <f aca="false">IF('Raw Data'!AQ38="",0,'Raw Data'!AQ38)</f>
        <v>600</v>
      </c>
      <c r="AM23" s="12" t="n">
        <f aca="false">IF('Raw Data'!AR38="",0,'Raw Data'!AR38)</f>
        <v>600</v>
      </c>
      <c r="AN23" s="12" t="n">
        <f aca="false">IF('Raw Data'!AS38="",0,'Raw Data'!AS38)</f>
        <v>600</v>
      </c>
      <c r="AO23" s="12" t="n">
        <f aca="false">IF('Raw Data'!AT38="",0,'Raw Data'!AT38)</f>
        <v>600</v>
      </c>
      <c r="AP23" s="12" t="n">
        <f aca="false">IF('Raw Data'!AU38="",0,'Raw Data'!AU38)</f>
        <v>600</v>
      </c>
      <c r="AQ23" s="12" t="n">
        <f aca="false">IF('Raw Data'!AV38="",0,'Raw Data'!AV38)</f>
        <v>600</v>
      </c>
      <c r="AR23" s="12" t="n">
        <f aca="false">IF('Raw Data'!AW38="",0,'Raw Data'!AW38)</f>
        <v>3904.16666666667</v>
      </c>
      <c r="AS23" s="12" t="n">
        <f aca="false">IF('Raw Data'!AX38="",0,'Raw Data'!AX38)</f>
        <v>3904.16666666667</v>
      </c>
      <c r="AT23" s="12" t="n">
        <f aca="false">IF('Raw Data'!AY38="",0,'Raw Data'!AY38)</f>
        <v>3904.16666666667</v>
      </c>
      <c r="AU23" s="12" t="n">
        <f aca="false">IF('Raw Data'!AZ38="",0,'Raw Data'!AZ38)</f>
        <v>3904.16666666667</v>
      </c>
      <c r="AV23" s="12" t="n">
        <f aca="false">IF('Raw Data'!BA38="",0,'Raw Data'!BA38)</f>
        <v>3904.16666666667</v>
      </c>
      <c r="AW23" s="12" t="n">
        <f aca="false">IF('Raw Data'!BB38="",0,'Raw Data'!BB38)</f>
        <v>3904.16666666667</v>
      </c>
      <c r="AX23" s="12" t="n">
        <f aca="false">IF('Raw Data'!BC38="",0,'Raw Data'!BC38)</f>
        <v>3904.16666666667</v>
      </c>
      <c r="AY23" s="12" t="n">
        <f aca="false">IF('Raw Data'!BD38="",0,'Raw Data'!BD38)</f>
        <v>3904.16666666667</v>
      </c>
      <c r="AZ23" s="12" t="n">
        <f aca="false">IF('Raw Data'!BE38="",0,'Raw Data'!BE38)</f>
        <v>3904.16666666667</v>
      </c>
      <c r="BA23" s="12" t="n">
        <f aca="false">IF('Raw Data'!BF38="",0,'Raw Data'!BF38)</f>
        <v>3904.16666666667</v>
      </c>
      <c r="BB23" s="12" t="n">
        <f aca="false">IF('Raw Data'!BG38="",0,'Raw Data'!BG38)</f>
        <v>3904.16666666667</v>
      </c>
      <c r="BC23" s="12" t="n">
        <f aca="false">IF('Raw Data'!BH38="",0,'Raw Data'!BH38)</f>
        <v>3904.16666666667</v>
      </c>
      <c r="BD23" s="12" t="n">
        <f aca="false">IF('Raw Data'!BI38="",0,'Raw Data'!BI38)</f>
        <v>150</v>
      </c>
      <c r="BE23" s="12" t="n">
        <f aca="false">IF('Raw Data'!BJ38="",0,'Raw Data'!BJ38)</f>
        <v>150</v>
      </c>
      <c r="BF23" s="12" t="n">
        <f aca="false">IF('Raw Data'!BK38="",0,'Raw Data'!BK38)</f>
        <v>150</v>
      </c>
      <c r="BG23" s="12" t="n">
        <f aca="false">IF('Raw Data'!BL38="",0,'Raw Data'!BL38)</f>
        <v>150</v>
      </c>
      <c r="BH23" s="12" t="n">
        <f aca="false">IF('Raw Data'!BM38="",0,'Raw Data'!BM38)</f>
        <v>150</v>
      </c>
      <c r="BI23" s="12" t="n">
        <f aca="false">IF('Raw Data'!BN38="",0,'Raw Data'!BN38)</f>
        <v>150</v>
      </c>
      <c r="BJ23" s="12" t="n">
        <f aca="false">IF('Raw Data'!BO38="",0,'Raw Data'!BO38)</f>
        <v>150</v>
      </c>
      <c r="BK23" s="12" t="n">
        <f aca="false">IF('Raw Data'!BP38="",0,'Raw Data'!BP38)</f>
        <v>150</v>
      </c>
      <c r="BL23" s="12" t="n">
        <f aca="false">IF('Raw Data'!BQ38="",0,'Raw Data'!BQ38)</f>
        <v>150</v>
      </c>
      <c r="BM23" s="12" t="n">
        <f aca="false">IF('Raw Data'!BR38="",0,'Raw Data'!BR38)</f>
        <v>150</v>
      </c>
      <c r="BN23" s="12" t="n">
        <f aca="false">IF('Raw Data'!BS38="",0,'Raw Data'!BS38)</f>
        <v>150</v>
      </c>
      <c r="BO23" s="21" t="b">
        <f aca="false">FALSE()</f>
        <v>0</v>
      </c>
    </row>
    <row r="24" customFormat="false" ht="15" hidden="false" customHeight="false" outlineLevel="0" collapsed="false">
      <c r="A24" s="20" t="str">
        <f aca="false">'Raw Data'!A39</f>
        <v>Local Account #29 from CA</v>
      </c>
      <c r="B24" s="12" t="n">
        <f aca="false">IF('Raw Data'!G39="",0,'Raw Data'!G39)</f>
        <v>0</v>
      </c>
      <c r="C24" s="12" t="n">
        <f aca="false">IF('Raw Data'!H39="",0,'Raw Data'!H39)</f>
        <v>0</v>
      </c>
      <c r="D24" s="12" t="n">
        <f aca="false">IF('Raw Data'!I39="",0,'Raw Data'!I39)</f>
        <v>0</v>
      </c>
      <c r="E24" s="12" t="n">
        <f aca="false">IF('Raw Data'!J39="",0,'Raw Data'!J39)</f>
        <v>0</v>
      </c>
      <c r="F24" s="12" t="n">
        <f aca="false">IF('Raw Data'!K39="",0,'Raw Data'!K39)</f>
        <v>0</v>
      </c>
      <c r="G24" s="12" t="n">
        <f aca="false">IF('Raw Data'!L39="",0,'Raw Data'!L39)</f>
        <v>0</v>
      </c>
      <c r="H24" s="12" t="n">
        <f aca="false">IF('Raw Data'!M39="",0,'Raw Data'!M39)</f>
        <v>0</v>
      </c>
      <c r="I24" s="12" t="n">
        <f aca="false">IF('Raw Data'!N39="",0,'Raw Data'!N39)</f>
        <v>0</v>
      </c>
      <c r="J24" s="12" t="n">
        <f aca="false">IF('Raw Data'!O39="",0,'Raw Data'!O39)</f>
        <v>0</v>
      </c>
      <c r="K24" s="12" t="n">
        <f aca="false">IF('Raw Data'!P39="",0,'Raw Data'!P39)</f>
        <v>0</v>
      </c>
      <c r="L24" s="12" t="n">
        <f aca="false">IF('Raw Data'!Q39="",0,'Raw Data'!Q39)</f>
        <v>0</v>
      </c>
      <c r="M24" s="12" t="n">
        <f aca="false">IF('Raw Data'!R39="",0,'Raw Data'!R39)</f>
        <v>0</v>
      </c>
      <c r="N24" s="12" t="n">
        <f aca="false">IF('Raw Data'!S39="",0,'Raw Data'!S39)</f>
        <v>0</v>
      </c>
      <c r="O24" s="12" t="n">
        <f aca="false">IF('Raw Data'!T39="",0,'Raw Data'!T39)</f>
        <v>0</v>
      </c>
      <c r="P24" s="12" t="n">
        <f aca="false">IF('Raw Data'!U39="",0,'Raw Data'!U39)</f>
        <v>0</v>
      </c>
      <c r="Q24" s="12" t="n">
        <f aca="false">IF('Raw Data'!V39="",0,'Raw Data'!V39)</f>
        <v>0</v>
      </c>
      <c r="R24" s="12" t="n">
        <f aca="false">IF('Raw Data'!W39="",0,'Raw Data'!W39)</f>
        <v>0</v>
      </c>
      <c r="S24" s="12" t="n">
        <f aca="false">IF('Raw Data'!X39="",0,'Raw Data'!X39)</f>
        <v>0</v>
      </c>
      <c r="T24" s="12" t="n">
        <f aca="false">IF('Raw Data'!Y39="",0,'Raw Data'!Y39)</f>
        <v>0</v>
      </c>
      <c r="U24" s="12" t="n">
        <f aca="false">IF('Raw Data'!Z39="",0,'Raw Data'!Z39)</f>
        <v>0</v>
      </c>
      <c r="V24" s="12" t="n">
        <f aca="false">IF('Raw Data'!AA39="",0,'Raw Data'!AA39)</f>
        <v>0</v>
      </c>
      <c r="W24" s="12" t="n">
        <f aca="false">IF('Raw Data'!AB39="",0,'Raw Data'!AB39)</f>
        <v>0</v>
      </c>
      <c r="X24" s="12" t="n">
        <f aca="false">IF('Raw Data'!AC39="",0,'Raw Data'!AC39)</f>
        <v>0</v>
      </c>
      <c r="Y24" s="12" t="n">
        <f aca="false">IF('Raw Data'!AD39="",0,'Raw Data'!AD39)</f>
        <v>0</v>
      </c>
      <c r="Z24" s="12" t="n">
        <f aca="false">IF('Raw Data'!AE39="",0,'Raw Data'!AE39)</f>
        <v>0</v>
      </c>
      <c r="AA24" s="12" t="n">
        <f aca="false">IF('Raw Data'!AF39="",0,'Raw Data'!AF39)</f>
        <v>0</v>
      </c>
      <c r="AB24" s="12" t="n">
        <f aca="false">IF('Raw Data'!AG39="",0,'Raw Data'!AG39)</f>
        <v>0</v>
      </c>
      <c r="AC24" s="12" t="n">
        <f aca="false">IF('Raw Data'!AH39="",0,'Raw Data'!AH39)</f>
        <v>0</v>
      </c>
      <c r="AD24" s="12" t="n">
        <f aca="false">IF('Raw Data'!AI39="",0,'Raw Data'!AI39)</f>
        <v>0</v>
      </c>
      <c r="AE24" s="12" t="n">
        <f aca="false">IF('Raw Data'!AJ39="",0,'Raw Data'!AJ39)</f>
        <v>0</v>
      </c>
      <c r="AF24" s="12" t="n">
        <f aca="false">IF('Raw Data'!AK39="",0,'Raw Data'!AK39)</f>
        <v>0</v>
      </c>
      <c r="AG24" s="12" t="n">
        <f aca="false">IF('Raw Data'!AL39="",0,'Raw Data'!AL39)</f>
        <v>0</v>
      </c>
      <c r="AH24" s="12" t="n">
        <f aca="false">IF('Raw Data'!AM39="",0,'Raw Data'!AM39)</f>
        <v>0</v>
      </c>
      <c r="AI24" s="12" t="n">
        <f aca="false">IF('Raw Data'!AN39="",0,'Raw Data'!AN39)</f>
        <v>0</v>
      </c>
      <c r="AJ24" s="12" t="n">
        <f aca="false">IF('Raw Data'!AO39="",0,'Raw Data'!AO39)</f>
        <v>0</v>
      </c>
      <c r="AK24" s="12" t="n">
        <f aca="false">IF('Raw Data'!AP39="",0,'Raw Data'!AP39)</f>
        <v>0</v>
      </c>
      <c r="AL24" s="12" t="n">
        <f aca="false">IF('Raw Data'!AQ39="",0,'Raw Data'!AQ39)</f>
        <v>0</v>
      </c>
      <c r="AM24" s="12" t="n">
        <f aca="false">IF('Raw Data'!AR39="",0,'Raw Data'!AR39)</f>
        <v>0</v>
      </c>
      <c r="AN24" s="12" t="n">
        <f aca="false">IF('Raw Data'!AS39="",0,'Raw Data'!AS39)</f>
        <v>0</v>
      </c>
      <c r="AO24" s="12" t="n">
        <f aca="false">IF('Raw Data'!AT39="",0,'Raw Data'!AT39)</f>
        <v>0</v>
      </c>
      <c r="AP24" s="12" t="n">
        <f aca="false">IF('Raw Data'!AU39="",0,'Raw Data'!AU39)</f>
        <v>0</v>
      </c>
      <c r="AQ24" s="12" t="n">
        <f aca="false">IF('Raw Data'!AV39="",0,'Raw Data'!AV39)</f>
        <v>0</v>
      </c>
      <c r="AR24" s="12" t="n">
        <f aca="false">IF('Raw Data'!AW39="",0,'Raw Data'!AW39)</f>
        <v>0</v>
      </c>
      <c r="AS24" s="12" t="n">
        <f aca="false">IF('Raw Data'!AX39="",0,'Raw Data'!AX39)</f>
        <v>0</v>
      </c>
      <c r="AT24" s="12" t="n">
        <f aca="false">IF('Raw Data'!AY39="",0,'Raw Data'!AY39)</f>
        <v>0</v>
      </c>
      <c r="AU24" s="12" t="n">
        <f aca="false">IF('Raw Data'!AZ39="",0,'Raw Data'!AZ39)</f>
        <v>0</v>
      </c>
      <c r="AV24" s="12" t="n">
        <f aca="false">IF('Raw Data'!BA39="",0,'Raw Data'!BA39)</f>
        <v>0</v>
      </c>
      <c r="AW24" s="12" t="n">
        <f aca="false">IF('Raw Data'!BB39="",0,'Raw Data'!BB39)</f>
        <v>0</v>
      </c>
      <c r="AX24" s="12" t="n">
        <f aca="false">IF('Raw Data'!BC39="",0,'Raw Data'!BC39)</f>
        <v>0</v>
      </c>
      <c r="AY24" s="12" t="n">
        <f aca="false">IF('Raw Data'!BD39="",0,'Raw Data'!BD39)</f>
        <v>0</v>
      </c>
      <c r="AZ24" s="12" t="n">
        <f aca="false">IF('Raw Data'!BE39="",0,'Raw Data'!BE39)</f>
        <v>0</v>
      </c>
      <c r="BA24" s="12" t="n">
        <f aca="false">IF('Raw Data'!BF39="",0,'Raw Data'!BF39)</f>
        <v>0</v>
      </c>
      <c r="BB24" s="12" t="n">
        <f aca="false">IF('Raw Data'!BG39="",0,'Raw Data'!BG39)</f>
        <v>15383.3333333333</v>
      </c>
      <c r="BC24" s="12" t="n">
        <f aca="false">IF('Raw Data'!BH39="",0,'Raw Data'!BH39)</f>
        <v>15383.3333333333</v>
      </c>
      <c r="BD24" s="12" t="n">
        <f aca="false">IF('Raw Data'!BI39="",0,'Raw Data'!BI39)</f>
        <v>15383.3333333333</v>
      </c>
      <c r="BE24" s="12" t="n">
        <f aca="false">IF('Raw Data'!BJ39="",0,'Raw Data'!BJ39)</f>
        <v>15383.3333333333</v>
      </c>
      <c r="BF24" s="12" t="n">
        <f aca="false">IF('Raw Data'!BK39="",0,'Raw Data'!BK39)</f>
        <v>15383.3333333333</v>
      </c>
      <c r="BG24" s="12" t="n">
        <f aca="false">IF('Raw Data'!BL39="",0,'Raw Data'!BL39)</f>
        <v>15383.3333333333</v>
      </c>
      <c r="BH24" s="12" t="n">
        <f aca="false">IF('Raw Data'!BM39="",0,'Raw Data'!BM39)</f>
        <v>15383.3333333333</v>
      </c>
      <c r="BI24" s="12" t="n">
        <f aca="false">IF('Raw Data'!BN39="",0,'Raw Data'!BN39)</f>
        <v>15383.3333333333</v>
      </c>
      <c r="BJ24" s="12" t="n">
        <f aca="false">IF('Raw Data'!BO39="",0,'Raw Data'!BO39)</f>
        <v>15383.3333333333</v>
      </c>
      <c r="BK24" s="12" t="n">
        <f aca="false">IF('Raw Data'!BP39="",0,'Raw Data'!BP39)</f>
        <v>15383.3333333333</v>
      </c>
      <c r="BL24" s="12" t="n">
        <f aca="false">IF('Raw Data'!BQ39="",0,'Raw Data'!BQ39)</f>
        <v>15383.3333333333</v>
      </c>
      <c r="BM24" s="12" t="n">
        <f aca="false">IF('Raw Data'!BR39="",0,'Raw Data'!BR39)</f>
        <v>15383.3333333333</v>
      </c>
      <c r="BN24" s="12" t="n">
        <f aca="false">IF('Raw Data'!BS39="",0,'Raw Data'!BS39)</f>
        <v>15383.3333333333</v>
      </c>
      <c r="BO24" s="21" t="b">
        <f aca="false">FALSE()</f>
        <v>0</v>
      </c>
    </row>
    <row r="25" customFormat="false" ht="15" hidden="false" customHeight="false" outlineLevel="0" collapsed="false">
      <c r="A25" s="20" t="str">
        <f aca="false">'Raw Data'!A14</f>
        <v>Local Account #3 from MI</v>
      </c>
      <c r="B25" s="12" t="n">
        <f aca="false">IF('Raw Data'!G14="",0,'Raw Data'!G14)</f>
        <v>0</v>
      </c>
      <c r="C25" s="12" t="n">
        <f aca="false">IF('Raw Data'!H14="",0,'Raw Data'!H14)</f>
        <v>0</v>
      </c>
      <c r="D25" s="12" t="n">
        <f aca="false">IF('Raw Data'!I14="",0,'Raw Data'!I14)</f>
        <v>0</v>
      </c>
      <c r="E25" s="12" t="n">
        <f aca="false">IF('Raw Data'!J14="",0,'Raw Data'!J14)</f>
        <v>0</v>
      </c>
      <c r="F25" s="12" t="n">
        <f aca="false">IF('Raw Data'!K14="",0,'Raw Data'!K14)</f>
        <v>0</v>
      </c>
      <c r="G25" s="12" t="n">
        <f aca="false">IF('Raw Data'!L14="",0,'Raw Data'!L14)</f>
        <v>0</v>
      </c>
      <c r="H25" s="12" t="n">
        <f aca="false">IF('Raw Data'!M14="",0,'Raw Data'!M14)</f>
        <v>0</v>
      </c>
      <c r="I25" s="12" t="n">
        <f aca="false">IF('Raw Data'!N14="",0,'Raw Data'!N14)</f>
        <v>0</v>
      </c>
      <c r="J25" s="12" t="n">
        <f aca="false">IF('Raw Data'!O14="",0,'Raw Data'!O14)</f>
        <v>0</v>
      </c>
      <c r="K25" s="12" t="n">
        <f aca="false">IF('Raw Data'!P14="",0,'Raw Data'!P14)</f>
        <v>0</v>
      </c>
      <c r="L25" s="12" t="n">
        <f aca="false">IF('Raw Data'!Q14="",0,'Raw Data'!Q14)</f>
        <v>0</v>
      </c>
      <c r="M25" s="12" t="n">
        <f aca="false">IF('Raw Data'!R14="",0,'Raw Data'!R14)</f>
        <v>0</v>
      </c>
      <c r="N25" s="12" t="n">
        <f aca="false">IF('Raw Data'!S14="",0,'Raw Data'!S14)</f>
        <v>0</v>
      </c>
      <c r="O25" s="12" t="n">
        <f aca="false">IF('Raw Data'!T14="",0,'Raw Data'!T14)</f>
        <v>0</v>
      </c>
      <c r="P25" s="12" t="n">
        <f aca="false">IF('Raw Data'!U14="",0,'Raw Data'!U14)</f>
        <v>0</v>
      </c>
      <c r="Q25" s="12" t="n">
        <f aca="false">IF('Raw Data'!V14="",0,'Raw Data'!V14)</f>
        <v>9364.58333333333</v>
      </c>
      <c r="R25" s="12" t="n">
        <f aca="false">IF('Raw Data'!W14="",0,'Raw Data'!W14)</f>
        <v>9364.58333333333</v>
      </c>
      <c r="S25" s="12" t="n">
        <f aca="false">IF('Raw Data'!X14="",0,'Raw Data'!X14)</f>
        <v>9364.58333333333</v>
      </c>
      <c r="T25" s="12" t="n">
        <f aca="false">IF('Raw Data'!Y14="",0,'Raw Data'!Y14)</f>
        <v>9364.58333333333</v>
      </c>
      <c r="U25" s="12" t="n">
        <f aca="false">IF('Raw Data'!Z14="",0,'Raw Data'!Z14)</f>
        <v>9364.58333333333</v>
      </c>
      <c r="V25" s="12" t="n">
        <f aca="false">IF('Raw Data'!AA14="",0,'Raw Data'!AA14)</f>
        <v>9364.58333333333</v>
      </c>
      <c r="W25" s="12" t="n">
        <f aca="false">IF('Raw Data'!AB14="",0,'Raw Data'!AB14)</f>
        <v>10979.0833333333</v>
      </c>
      <c r="X25" s="12" t="n">
        <f aca="false">IF('Raw Data'!AC14="",0,'Raw Data'!AC14)</f>
        <v>10979.0833333333</v>
      </c>
      <c r="Y25" s="12" t="n">
        <f aca="false">IF('Raw Data'!AD14="",0,'Raw Data'!AD14)</f>
        <v>10979.0833333333</v>
      </c>
      <c r="Z25" s="12" t="n">
        <f aca="false">IF('Raw Data'!AE14="",0,'Raw Data'!AE14)</f>
        <v>10979.0833333333</v>
      </c>
      <c r="AA25" s="12" t="n">
        <f aca="false">IF('Raw Data'!AF14="",0,'Raw Data'!AF14)</f>
        <v>10979.0833333333</v>
      </c>
      <c r="AB25" s="12" t="n">
        <f aca="false">IF('Raw Data'!AG14="",0,'Raw Data'!AG14)</f>
        <v>10979.0833333333</v>
      </c>
      <c r="AC25" s="12" t="n">
        <f aca="false">IF('Raw Data'!AH14="",0,'Raw Data'!AH14)</f>
        <v>10333.3333333333</v>
      </c>
      <c r="AD25" s="12" t="n">
        <f aca="false">IF('Raw Data'!AI14="",0,'Raw Data'!AI14)</f>
        <v>10333.3333333333</v>
      </c>
      <c r="AE25" s="12" t="n">
        <f aca="false">IF('Raw Data'!AJ14="",0,'Raw Data'!AJ14)</f>
        <v>10333.3333333333</v>
      </c>
      <c r="AF25" s="12" t="n">
        <f aca="false">IF('Raw Data'!AK14="",0,'Raw Data'!AK14)</f>
        <v>10333.3333333333</v>
      </c>
      <c r="AG25" s="12" t="n">
        <f aca="false">IF('Raw Data'!AL14="",0,'Raw Data'!AL14)</f>
        <v>10333.3333333333</v>
      </c>
      <c r="AH25" s="12" t="n">
        <f aca="false">IF('Raw Data'!AM14="",0,'Raw Data'!AM14)</f>
        <v>10333.3333333333</v>
      </c>
      <c r="AI25" s="12" t="n">
        <f aca="false">IF('Raw Data'!AN14="",0,'Raw Data'!AN14)</f>
        <v>10333.3333333333</v>
      </c>
      <c r="AJ25" s="12" t="n">
        <f aca="false">IF('Raw Data'!AO14="",0,'Raw Data'!AO14)</f>
        <v>10333.3333333333</v>
      </c>
      <c r="AK25" s="12" t="n">
        <f aca="false">IF('Raw Data'!AP14="",0,'Raw Data'!AP14)</f>
        <v>10333.3333333333</v>
      </c>
      <c r="AL25" s="12" t="n">
        <f aca="false">IF('Raw Data'!AQ14="",0,'Raw Data'!AQ14)</f>
        <v>10333.3333333333</v>
      </c>
      <c r="AM25" s="12" t="n">
        <f aca="false">IF('Raw Data'!AR14="",0,'Raw Data'!AR14)</f>
        <v>10333.3333333333</v>
      </c>
      <c r="AN25" s="12" t="n">
        <f aca="false">IF('Raw Data'!AS14="",0,'Raw Data'!AS14)</f>
        <v>10333.3333333333</v>
      </c>
      <c r="AO25" s="12" t="n">
        <f aca="false">IF('Raw Data'!AT14="",0,'Raw Data'!AT14)</f>
        <v>10333.3333333333</v>
      </c>
      <c r="AP25" s="12" t="n">
        <f aca="false">IF('Raw Data'!AU14="",0,'Raw Data'!AU14)</f>
        <v>10333.3333333333</v>
      </c>
      <c r="AQ25" s="12" t="n">
        <f aca="false">IF('Raw Data'!AV14="",0,'Raw Data'!AV14)</f>
        <v>10333.3333333333</v>
      </c>
      <c r="AR25" s="12" t="n">
        <f aca="false">IF('Raw Data'!AW14="",0,'Raw Data'!AW14)</f>
        <v>10333.3333333333</v>
      </c>
      <c r="AS25" s="12" t="n">
        <f aca="false">IF('Raw Data'!AX14="",0,'Raw Data'!AX14)</f>
        <v>11431.2570833333</v>
      </c>
      <c r="AT25" s="12" t="n">
        <f aca="false">IF('Raw Data'!AY14="",0,'Raw Data'!AY14)</f>
        <v>11431.2570833333</v>
      </c>
      <c r="AU25" s="12" t="n">
        <f aca="false">IF('Raw Data'!AZ14="",0,'Raw Data'!AZ14)</f>
        <v>11560.4254166667</v>
      </c>
      <c r="AV25" s="12" t="n">
        <f aca="false">IF('Raw Data'!BA14="",0,'Raw Data'!BA14)</f>
        <v>11560.4254166667</v>
      </c>
      <c r="AW25" s="12" t="n">
        <f aca="false">IF('Raw Data'!BB14="",0,'Raw Data'!BB14)</f>
        <v>12593.7054166667</v>
      </c>
      <c r="AX25" s="12" t="n">
        <f aca="false">IF('Raw Data'!BC14="",0,'Raw Data'!BC14)</f>
        <v>12593.7054166667</v>
      </c>
      <c r="AY25" s="12" t="n">
        <f aca="false">IF('Raw Data'!BD14="",0,'Raw Data'!BD14)</f>
        <v>12593.7054166667</v>
      </c>
      <c r="AZ25" s="12" t="n">
        <f aca="false">IF('Raw Data'!BE14="",0,'Raw Data'!BE14)</f>
        <v>12593.7054166667</v>
      </c>
      <c r="BA25" s="12" t="n">
        <f aca="false">IF('Raw Data'!BF14="",0,'Raw Data'!BF14)</f>
        <v>12693.75</v>
      </c>
      <c r="BB25" s="12" t="n">
        <f aca="false">IF('Raw Data'!BG14="",0,'Raw Data'!BG14)</f>
        <v>13727.03</v>
      </c>
      <c r="BC25" s="12" t="n">
        <f aca="false">IF('Raw Data'!BH14="",0,'Raw Data'!BH14)</f>
        <v>13727.03</v>
      </c>
      <c r="BD25" s="12" t="n">
        <f aca="false">IF('Raw Data'!BI14="",0,'Raw Data'!BI14)</f>
        <v>13727.03</v>
      </c>
      <c r="BE25" s="12" t="n">
        <f aca="false">IF('Raw Data'!BJ14="",0,'Raw Data'!BJ14)</f>
        <v>13727.03</v>
      </c>
      <c r="BF25" s="12" t="n">
        <f aca="false">IF('Raw Data'!BK14="",0,'Raw Data'!BK14)</f>
        <v>13727.03</v>
      </c>
      <c r="BG25" s="12" t="n">
        <f aca="false">IF('Raw Data'!BL14="",0,'Raw Data'!BL14)</f>
        <v>13727.03</v>
      </c>
      <c r="BH25" s="12" t="n">
        <f aca="false">IF('Raw Data'!BM14="",0,'Raw Data'!BM14)</f>
        <v>13727.03</v>
      </c>
      <c r="BI25" s="12" t="n">
        <f aca="false">IF('Raw Data'!BN14="",0,'Raw Data'!BN14)</f>
        <v>13727.03</v>
      </c>
      <c r="BJ25" s="12" t="n">
        <f aca="false">IF('Raw Data'!BO14="",0,'Raw Data'!BO14)</f>
        <v>13727.03</v>
      </c>
      <c r="BK25" s="12" t="n">
        <f aca="false">IF('Raw Data'!BP14="",0,'Raw Data'!BP14)</f>
        <v>13727.03</v>
      </c>
      <c r="BL25" s="12" t="n">
        <f aca="false">IF('Raw Data'!BQ14="",0,'Raw Data'!BQ14)</f>
        <v>13727.03</v>
      </c>
      <c r="BM25" s="12" t="n">
        <f aca="false">IF('Raw Data'!BR14="",0,'Raw Data'!BR14)</f>
        <v>13239.5833333333</v>
      </c>
      <c r="BN25" s="12" t="n">
        <f aca="false">IF('Raw Data'!BS14="",0,'Raw Data'!BS14)</f>
        <v>13239.5833333333</v>
      </c>
      <c r="BO25" s="21" t="b">
        <f aca="false">FALSE()</f>
        <v>0</v>
      </c>
    </row>
    <row r="26" customFormat="false" ht="15" hidden="false" customHeight="false" outlineLevel="0" collapsed="false">
      <c r="A26" s="20" t="str">
        <f aca="false">'Raw Data'!A40</f>
        <v>Local Account #30 from OR</v>
      </c>
      <c r="B26" s="12" t="n">
        <f aca="false">IF('Raw Data'!G40="",0,'Raw Data'!G40)</f>
        <v>0</v>
      </c>
      <c r="C26" s="12" t="n">
        <f aca="false">IF('Raw Data'!H40="",0,'Raw Data'!H40)</f>
        <v>0</v>
      </c>
      <c r="D26" s="12" t="n">
        <f aca="false">IF('Raw Data'!I40="",0,'Raw Data'!I40)</f>
        <v>0</v>
      </c>
      <c r="E26" s="12" t="n">
        <f aca="false">IF('Raw Data'!J40="",0,'Raw Data'!J40)</f>
        <v>0</v>
      </c>
      <c r="F26" s="12" t="n">
        <f aca="false">IF('Raw Data'!K40="",0,'Raw Data'!K40)</f>
        <v>0</v>
      </c>
      <c r="G26" s="12" t="n">
        <f aca="false">IF('Raw Data'!L40="",0,'Raw Data'!L40)</f>
        <v>0</v>
      </c>
      <c r="H26" s="12" t="n">
        <f aca="false">IF('Raw Data'!M40="",0,'Raw Data'!M40)</f>
        <v>0</v>
      </c>
      <c r="I26" s="12" t="n">
        <f aca="false">IF('Raw Data'!N40="",0,'Raw Data'!N40)</f>
        <v>0</v>
      </c>
      <c r="J26" s="12" t="n">
        <f aca="false">IF('Raw Data'!O40="",0,'Raw Data'!O40)</f>
        <v>0</v>
      </c>
      <c r="K26" s="12" t="n">
        <f aca="false">IF('Raw Data'!P40="",0,'Raw Data'!P40)</f>
        <v>0</v>
      </c>
      <c r="L26" s="12" t="n">
        <f aca="false">IF('Raw Data'!Q40="",0,'Raw Data'!Q40)</f>
        <v>0</v>
      </c>
      <c r="M26" s="12" t="n">
        <f aca="false">IF('Raw Data'!R40="",0,'Raw Data'!R40)</f>
        <v>0</v>
      </c>
      <c r="N26" s="12" t="n">
        <f aca="false">IF('Raw Data'!S40="",0,'Raw Data'!S40)</f>
        <v>0</v>
      </c>
      <c r="O26" s="12" t="n">
        <f aca="false">IF('Raw Data'!T40="",0,'Raw Data'!T40)</f>
        <v>0</v>
      </c>
      <c r="P26" s="12" t="n">
        <f aca="false">IF('Raw Data'!U40="",0,'Raw Data'!U40)</f>
        <v>0</v>
      </c>
      <c r="Q26" s="12" t="n">
        <f aca="false">IF('Raw Data'!V40="",0,'Raw Data'!V40)</f>
        <v>0</v>
      </c>
      <c r="R26" s="12" t="n">
        <f aca="false">IF('Raw Data'!W40="",0,'Raw Data'!W40)</f>
        <v>0</v>
      </c>
      <c r="S26" s="12" t="n">
        <f aca="false">IF('Raw Data'!X40="",0,'Raw Data'!X40)</f>
        <v>0</v>
      </c>
      <c r="T26" s="12" t="n">
        <f aca="false">IF('Raw Data'!Y40="",0,'Raw Data'!Y40)</f>
        <v>0</v>
      </c>
      <c r="U26" s="12" t="n">
        <f aca="false">IF('Raw Data'!Z40="",0,'Raw Data'!Z40)</f>
        <v>541.666666666667</v>
      </c>
      <c r="V26" s="12" t="n">
        <f aca="false">IF('Raw Data'!AA40="",0,'Raw Data'!AA40)</f>
        <v>541.666666666667</v>
      </c>
      <c r="W26" s="12" t="n">
        <f aca="false">IF('Raw Data'!AB40="",0,'Raw Data'!AB40)</f>
        <v>541.666666666667</v>
      </c>
      <c r="X26" s="12" t="n">
        <f aca="false">IF('Raw Data'!AC40="",0,'Raw Data'!AC40)</f>
        <v>541.666666666667</v>
      </c>
      <c r="Y26" s="12" t="n">
        <f aca="false">IF('Raw Data'!AD40="",0,'Raw Data'!AD40)</f>
        <v>541.666666666667</v>
      </c>
      <c r="Z26" s="12" t="n">
        <f aca="false">IF('Raw Data'!AE40="",0,'Raw Data'!AE40)</f>
        <v>541.666666666667</v>
      </c>
      <c r="AA26" s="12" t="n">
        <f aca="false">IF('Raw Data'!AF40="",0,'Raw Data'!AF40)</f>
        <v>541.666666666667</v>
      </c>
      <c r="AB26" s="12" t="n">
        <f aca="false">IF('Raw Data'!AG40="",0,'Raw Data'!AG40)</f>
        <v>541.666666666667</v>
      </c>
      <c r="AC26" s="12" t="n">
        <f aca="false">IF('Raw Data'!AH40="",0,'Raw Data'!AH40)</f>
        <v>541.666666666667</v>
      </c>
      <c r="AD26" s="12" t="n">
        <f aca="false">IF('Raw Data'!AI40="",0,'Raw Data'!AI40)</f>
        <v>541.666666666667</v>
      </c>
      <c r="AE26" s="12" t="n">
        <f aca="false">IF('Raw Data'!AJ40="",0,'Raw Data'!AJ40)</f>
        <v>541.666666666667</v>
      </c>
      <c r="AF26" s="12" t="n">
        <f aca="false">IF('Raw Data'!AK40="",0,'Raw Data'!AK40)</f>
        <v>541.666666666667</v>
      </c>
      <c r="AG26" s="12" t="n">
        <f aca="false">IF('Raw Data'!AL40="",0,'Raw Data'!AL40)</f>
        <v>541.666666666667</v>
      </c>
      <c r="AH26" s="12" t="n">
        <f aca="false">IF('Raw Data'!AM40="",0,'Raw Data'!AM40)</f>
        <v>541.666666666667</v>
      </c>
      <c r="AI26" s="12" t="n">
        <f aca="false">IF('Raw Data'!AN40="",0,'Raw Data'!AN40)</f>
        <v>541.666666666667</v>
      </c>
      <c r="AJ26" s="12" t="n">
        <f aca="false">IF('Raw Data'!AO40="",0,'Raw Data'!AO40)</f>
        <v>541.666666666667</v>
      </c>
      <c r="AK26" s="12" t="n">
        <f aca="false">IF('Raw Data'!AP40="",0,'Raw Data'!AP40)</f>
        <v>541.666666666667</v>
      </c>
      <c r="AL26" s="12" t="n">
        <f aca="false">IF('Raw Data'!AQ40="",0,'Raw Data'!AQ40)</f>
        <v>541.666666666667</v>
      </c>
      <c r="AM26" s="12" t="n">
        <f aca="false">IF('Raw Data'!AR40="",0,'Raw Data'!AR40)</f>
        <v>550</v>
      </c>
      <c r="AN26" s="12" t="n">
        <f aca="false">IF('Raw Data'!AS40="",0,'Raw Data'!AS40)</f>
        <v>550</v>
      </c>
      <c r="AO26" s="12" t="n">
        <f aca="false">IF('Raw Data'!AT40="",0,'Raw Data'!AT40)</f>
        <v>550</v>
      </c>
      <c r="AP26" s="12" t="n">
        <f aca="false">IF('Raw Data'!AU40="",0,'Raw Data'!AU40)</f>
        <v>550</v>
      </c>
      <c r="AQ26" s="12" t="n">
        <f aca="false">IF('Raw Data'!AV40="",0,'Raw Data'!AV40)</f>
        <v>550</v>
      </c>
      <c r="AR26" s="12" t="n">
        <f aca="false">IF('Raw Data'!AW40="",0,'Raw Data'!AW40)</f>
        <v>550</v>
      </c>
      <c r="AS26" s="12" t="n">
        <f aca="false">IF('Raw Data'!AX40="",0,'Raw Data'!AX40)</f>
        <v>550</v>
      </c>
      <c r="AT26" s="12" t="n">
        <f aca="false">IF('Raw Data'!AY40="",0,'Raw Data'!AY40)</f>
        <v>550</v>
      </c>
      <c r="AU26" s="12" t="n">
        <f aca="false">IF('Raw Data'!AZ40="",0,'Raw Data'!AZ40)</f>
        <v>550</v>
      </c>
      <c r="AV26" s="12" t="n">
        <f aca="false">IF('Raw Data'!BA40="",0,'Raw Data'!BA40)</f>
        <v>550</v>
      </c>
      <c r="AW26" s="12" t="n">
        <f aca="false">IF('Raw Data'!BB40="",0,'Raw Data'!BB40)</f>
        <v>550</v>
      </c>
      <c r="AX26" s="12" t="n">
        <f aca="false">IF('Raw Data'!BC40="",0,'Raw Data'!BC40)</f>
        <v>550</v>
      </c>
      <c r="AY26" s="12" t="n">
        <f aca="false">IF('Raw Data'!BD40="",0,'Raw Data'!BD40)</f>
        <v>550</v>
      </c>
      <c r="AZ26" s="12" t="n">
        <f aca="false">IF('Raw Data'!BE40="",0,'Raw Data'!BE40)</f>
        <v>550</v>
      </c>
      <c r="BA26" s="12" t="n">
        <f aca="false">IF('Raw Data'!BF40="",0,'Raw Data'!BF40)</f>
        <v>550</v>
      </c>
      <c r="BB26" s="12" t="n">
        <f aca="false">IF('Raw Data'!BG40="",0,'Raw Data'!BG40)</f>
        <v>550</v>
      </c>
      <c r="BC26" s="12" t="n">
        <f aca="false">IF('Raw Data'!BH40="",0,'Raw Data'!BH40)</f>
        <v>550</v>
      </c>
      <c r="BD26" s="12" t="n">
        <f aca="false">IF('Raw Data'!BI40="",0,'Raw Data'!BI40)</f>
        <v>550</v>
      </c>
      <c r="BE26" s="12" t="n">
        <f aca="false">IF('Raw Data'!BJ40="",0,'Raw Data'!BJ40)</f>
        <v>550</v>
      </c>
      <c r="BF26" s="12" t="n">
        <f aca="false">IF('Raw Data'!BK40="",0,'Raw Data'!BK40)</f>
        <v>550</v>
      </c>
      <c r="BG26" s="12" t="n">
        <f aca="false">IF('Raw Data'!BL40="",0,'Raw Data'!BL40)</f>
        <v>550</v>
      </c>
      <c r="BH26" s="12" t="n">
        <f aca="false">IF('Raw Data'!BM40="",0,'Raw Data'!BM40)</f>
        <v>550</v>
      </c>
      <c r="BI26" s="12" t="n">
        <f aca="false">IF('Raw Data'!BN40="",0,'Raw Data'!BN40)</f>
        <v>550</v>
      </c>
      <c r="BJ26" s="12" t="n">
        <f aca="false">IF('Raw Data'!BO40="",0,'Raw Data'!BO40)</f>
        <v>550</v>
      </c>
      <c r="BK26" s="12" t="n">
        <f aca="false">IF('Raw Data'!BP40="",0,'Raw Data'!BP40)</f>
        <v>137.5</v>
      </c>
      <c r="BL26" s="12" t="n">
        <f aca="false">IF('Raw Data'!BQ40="",0,'Raw Data'!BQ40)</f>
        <v>137.5</v>
      </c>
      <c r="BM26" s="12" t="n">
        <f aca="false">IF('Raw Data'!BR40="",0,'Raw Data'!BR40)</f>
        <v>137.5</v>
      </c>
      <c r="BN26" s="12" t="n">
        <f aca="false">IF('Raw Data'!BS40="",0,'Raw Data'!BS40)</f>
        <v>137.5</v>
      </c>
      <c r="BO26" s="21" t="b">
        <f aca="false">FALSE()</f>
        <v>0</v>
      </c>
    </row>
    <row r="27" customFormat="false" ht="15" hidden="false" customHeight="false" outlineLevel="0" collapsed="false">
      <c r="A27" s="20" t="str">
        <f aca="false">'Raw Data'!A41</f>
        <v>Local Account #31 from CA</v>
      </c>
      <c r="B27" s="12" t="n">
        <f aca="false">IF('Raw Data'!G41="",0,'Raw Data'!G41)</f>
        <v>0</v>
      </c>
      <c r="C27" s="12" t="n">
        <f aca="false">IF('Raw Data'!H41="",0,'Raw Data'!H41)</f>
        <v>0</v>
      </c>
      <c r="D27" s="12" t="n">
        <f aca="false">IF('Raw Data'!I41="",0,'Raw Data'!I41)</f>
        <v>0</v>
      </c>
      <c r="E27" s="12" t="n">
        <f aca="false">IF('Raw Data'!J41="",0,'Raw Data'!J41)</f>
        <v>0</v>
      </c>
      <c r="F27" s="12" t="n">
        <f aca="false">IF('Raw Data'!K41="",0,'Raw Data'!K41)</f>
        <v>0</v>
      </c>
      <c r="G27" s="12" t="n">
        <f aca="false">IF('Raw Data'!L41="",0,'Raw Data'!L41)</f>
        <v>0</v>
      </c>
      <c r="H27" s="12" t="n">
        <f aca="false">IF('Raw Data'!M41="",0,'Raw Data'!M41)</f>
        <v>0</v>
      </c>
      <c r="I27" s="12" t="n">
        <f aca="false">IF('Raw Data'!N41="",0,'Raw Data'!N41)</f>
        <v>0</v>
      </c>
      <c r="J27" s="12" t="n">
        <f aca="false">IF('Raw Data'!O41="",0,'Raw Data'!O41)</f>
        <v>0</v>
      </c>
      <c r="K27" s="12" t="n">
        <f aca="false">IF('Raw Data'!P41="",0,'Raw Data'!P41)</f>
        <v>0</v>
      </c>
      <c r="L27" s="12" t="n">
        <f aca="false">IF('Raw Data'!Q41="",0,'Raw Data'!Q41)</f>
        <v>0</v>
      </c>
      <c r="M27" s="12" t="n">
        <f aca="false">IF('Raw Data'!R41="",0,'Raw Data'!R41)</f>
        <v>0</v>
      </c>
      <c r="N27" s="12" t="n">
        <f aca="false">IF('Raw Data'!S41="",0,'Raw Data'!S41)</f>
        <v>0</v>
      </c>
      <c r="O27" s="12" t="n">
        <f aca="false">IF('Raw Data'!T41="",0,'Raw Data'!T41)</f>
        <v>0</v>
      </c>
      <c r="P27" s="12" t="n">
        <f aca="false">IF('Raw Data'!U41="",0,'Raw Data'!U41)</f>
        <v>0</v>
      </c>
      <c r="Q27" s="12" t="n">
        <f aca="false">IF('Raw Data'!V41="",0,'Raw Data'!V41)</f>
        <v>0</v>
      </c>
      <c r="R27" s="12" t="n">
        <f aca="false">IF('Raw Data'!W41="",0,'Raw Data'!W41)</f>
        <v>0</v>
      </c>
      <c r="S27" s="12" t="n">
        <f aca="false">IF('Raw Data'!X41="",0,'Raw Data'!X41)</f>
        <v>0</v>
      </c>
      <c r="T27" s="12" t="n">
        <f aca="false">IF('Raw Data'!Y41="",0,'Raw Data'!Y41)</f>
        <v>500</v>
      </c>
      <c r="U27" s="12" t="n">
        <f aca="false">IF('Raw Data'!Z41="",0,'Raw Data'!Z41)</f>
        <v>500</v>
      </c>
      <c r="V27" s="12" t="n">
        <f aca="false">IF('Raw Data'!AA41="",0,'Raw Data'!AA41)</f>
        <v>500</v>
      </c>
      <c r="W27" s="12" t="n">
        <f aca="false">IF('Raw Data'!AB41="",0,'Raw Data'!AB41)</f>
        <v>500</v>
      </c>
      <c r="X27" s="12" t="n">
        <f aca="false">IF('Raw Data'!AC41="",0,'Raw Data'!AC41)</f>
        <v>500</v>
      </c>
      <c r="Y27" s="12" t="n">
        <f aca="false">IF('Raw Data'!AD41="",0,'Raw Data'!AD41)</f>
        <v>500</v>
      </c>
      <c r="Z27" s="12" t="n">
        <f aca="false">IF('Raw Data'!AE41="",0,'Raw Data'!AE41)</f>
        <v>500</v>
      </c>
      <c r="AA27" s="12" t="n">
        <f aca="false">IF('Raw Data'!AF41="",0,'Raw Data'!AF41)</f>
        <v>500</v>
      </c>
      <c r="AB27" s="12" t="n">
        <f aca="false">IF('Raw Data'!AG41="",0,'Raw Data'!AG41)</f>
        <v>500</v>
      </c>
      <c r="AC27" s="12" t="n">
        <f aca="false">IF('Raw Data'!AH41="",0,'Raw Data'!AH41)</f>
        <v>500</v>
      </c>
      <c r="AD27" s="12" t="n">
        <f aca="false">IF('Raw Data'!AI41="",0,'Raw Data'!AI41)</f>
        <v>500</v>
      </c>
      <c r="AE27" s="12" t="n">
        <f aca="false">IF('Raw Data'!AJ41="",0,'Raw Data'!AJ41)</f>
        <v>500</v>
      </c>
      <c r="AF27" s="12" t="n">
        <f aca="false">IF('Raw Data'!AK41="",0,'Raw Data'!AK41)</f>
        <v>500</v>
      </c>
      <c r="AG27" s="12" t="n">
        <f aca="false">IF('Raw Data'!AL41="",0,'Raw Data'!AL41)</f>
        <v>500</v>
      </c>
      <c r="AH27" s="12" t="n">
        <f aca="false">IF('Raw Data'!AM41="",0,'Raw Data'!AM41)</f>
        <v>500</v>
      </c>
      <c r="AI27" s="12" t="n">
        <f aca="false">IF('Raw Data'!AN41="",0,'Raw Data'!AN41)</f>
        <v>500</v>
      </c>
      <c r="AJ27" s="12" t="n">
        <f aca="false">IF('Raw Data'!AO41="",0,'Raw Data'!AO41)</f>
        <v>500</v>
      </c>
      <c r="AK27" s="12" t="n">
        <f aca="false">IF('Raw Data'!AP41="",0,'Raw Data'!AP41)</f>
        <v>500</v>
      </c>
      <c r="AL27" s="12" t="n">
        <f aca="false">IF('Raw Data'!AQ41="",0,'Raw Data'!AQ41)</f>
        <v>500</v>
      </c>
      <c r="AM27" s="12" t="n">
        <f aca="false">IF('Raw Data'!AR41="",0,'Raw Data'!AR41)</f>
        <v>500</v>
      </c>
      <c r="AN27" s="12" t="n">
        <f aca="false">IF('Raw Data'!AS41="",0,'Raw Data'!AS41)</f>
        <v>500</v>
      </c>
      <c r="AO27" s="12" t="n">
        <f aca="false">IF('Raw Data'!AT41="",0,'Raw Data'!AT41)</f>
        <v>500</v>
      </c>
      <c r="AP27" s="12" t="n">
        <f aca="false">IF('Raw Data'!AU41="",0,'Raw Data'!AU41)</f>
        <v>500</v>
      </c>
      <c r="AQ27" s="12" t="n">
        <f aca="false">IF('Raw Data'!AV41="",0,'Raw Data'!AV41)</f>
        <v>500</v>
      </c>
      <c r="AR27" s="12" t="n">
        <f aca="false">IF('Raw Data'!AW41="",0,'Raw Data'!AW41)</f>
        <v>900</v>
      </c>
      <c r="AS27" s="12" t="n">
        <f aca="false">IF('Raw Data'!AX41="",0,'Raw Data'!AX41)</f>
        <v>900</v>
      </c>
      <c r="AT27" s="12" t="n">
        <f aca="false">IF('Raw Data'!AY41="",0,'Raw Data'!AY41)</f>
        <v>900</v>
      </c>
      <c r="AU27" s="12" t="n">
        <f aca="false">IF('Raw Data'!AZ41="",0,'Raw Data'!AZ41)</f>
        <v>900</v>
      </c>
      <c r="AV27" s="12" t="n">
        <f aca="false">IF('Raw Data'!BA41="",0,'Raw Data'!BA41)</f>
        <v>900</v>
      </c>
      <c r="AW27" s="12" t="n">
        <f aca="false">IF('Raw Data'!BB41="",0,'Raw Data'!BB41)</f>
        <v>900</v>
      </c>
      <c r="AX27" s="12" t="n">
        <f aca="false">IF('Raw Data'!BC41="",0,'Raw Data'!BC41)</f>
        <v>900</v>
      </c>
      <c r="AY27" s="12" t="n">
        <f aca="false">IF('Raw Data'!BD41="",0,'Raw Data'!BD41)</f>
        <v>900</v>
      </c>
      <c r="AZ27" s="12" t="n">
        <f aca="false">IF('Raw Data'!BE41="",0,'Raw Data'!BE41)</f>
        <v>900</v>
      </c>
      <c r="BA27" s="12" t="n">
        <f aca="false">IF('Raw Data'!BF41="",0,'Raw Data'!BF41)</f>
        <v>900</v>
      </c>
      <c r="BB27" s="12" t="n">
        <f aca="false">IF('Raw Data'!BG41="",0,'Raw Data'!BG41)</f>
        <v>900</v>
      </c>
      <c r="BC27" s="12" t="n">
        <f aca="false">IF('Raw Data'!BH41="",0,'Raw Data'!BH41)</f>
        <v>900</v>
      </c>
      <c r="BD27" s="12" t="n">
        <f aca="false">IF('Raw Data'!BI41="",0,'Raw Data'!BI41)</f>
        <v>1500</v>
      </c>
      <c r="BE27" s="12" t="n">
        <f aca="false">IF('Raw Data'!BJ41="",0,'Raw Data'!BJ41)</f>
        <v>1500</v>
      </c>
      <c r="BF27" s="12" t="n">
        <f aca="false">IF('Raw Data'!BK41="",0,'Raw Data'!BK41)</f>
        <v>1500</v>
      </c>
      <c r="BG27" s="12" t="n">
        <f aca="false">IF('Raw Data'!BL41="",0,'Raw Data'!BL41)</f>
        <v>1500</v>
      </c>
      <c r="BH27" s="12" t="n">
        <f aca="false">IF('Raw Data'!BM41="",0,'Raw Data'!BM41)</f>
        <v>1500</v>
      </c>
      <c r="BI27" s="12" t="n">
        <f aca="false">IF('Raw Data'!BN41="",0,'Raw Data'!BN41)</f>
        <v>1500</v>
      </c>
      <c r="BJ27" s="12" t="n">
        <f aca="false">IF('Raw Data'!BO41="",0,'Raw Data'!BO41)</f>
        <v>1500</v>
      </c>
      <c r="BK27" s="12" t="n">
        <f aca="false">IF('Raw Data'!BP41="",0,'Raw Data'!BP41)</f>
        <v>1500</v>
      </c>
      <c r="BL27" s="12" t="n">
        <f aca="false">IF('Raw Data'!BQ41="",0,'Raw Data'!BQ41)</f>
        <v>1500</v>
      </c>
      <c r="BM27" s="12" t="n">
        <f aca="false">IF('Raw Data'!BR41="",0,'Raw Data'!BR41)</f>
        <v>1500</v>
      </c>
      <c r="BN27" s="12" t="n">
        <f aca="false">IF('Raw Data'!BS41="",0,'Raw Data'!BS41)</f>
        <v>1500</v>
      </c>
      <c r="BO27" s="21" t="b">
        <f aca="false">FALSE()</f>
        <v>0</v>
      </c>
    </row>
    <row r="28" customFormat="false" ht="15" hidden="false" customHeight="false" outlineLevel="0" collapsed="false">
      <c r="A28" s="20" t="str">
        <f aca="false">'Raw Data'!A42</f>
        <v>Local Account #32 from CA</v>
      </c>
      <c r="B28" s="12" t="n">
        <f aca="false">IF('Raw Data'!G42="",0,'Raw Data'!G42)</f>
        <v>0</v>
      </c>
      <c r="C28" s="12" t="n">
        <f aca="false">IF('Raw Data'!H42="",0,'Raw Data'!H42)</f>
        <v>0</v>
      </c>
      <c r="D28" s="12" t="n">
        <f aca="false">IF('Raw Data'!I42="",0,'Raw Data'!I42)</f>
        <v>0</v>
      </c>
      <c r="E28" s="12" t="n">
        <f aca="false">IF('Raw Data'!J42="",0,'Raw Data'!J42)</f>
        <v>0</v>
      </c>
      <c r="F28" s="12" t="n">
        <f aca="false">IF('Raw Data'!K42="",0,'Raw Data'!K42)</f>
        <v>0</v>
      </c>
      <c r="G28" s="12" t="n">
        <f aca="false">IF('Raw Data'!L42="",0,'Raw Data'!L42)</f>
        <v>0</v>
      </c>
      <c r="H28" s="12" t="n">
        <f aca="false">IF('Raw Data'!M42="",0,'Raw Data'!M42)</f>
        <v>0</v>
      </c>
      <c r="I28" s="12" t="n">
        <f aca="false">IF('Raw Data'!N42="",0,'Raw Data'!N42)</f>
        <v>0</v>
      </c>
      <c r="J28" s="12" t="n">
        <f aca="false">IF('Raw Data'!O42="",0,'Raw Data'!O42)</f>
        <v>0</v>
      </c>
      <c r="K28" s="12" t="n">
        <f aca="false">IF('Raw Data'!P42="",0,'Raw Data'!P42)</f>
        <v>0</v>
      </c>
      <c r="L28" s="12" t="n">
        <f aca="false">IF('Raw Data'!Q42="",0,'Raw Data'!Q42)</f>
        <v>0</v>
      </c>
      <c r="M28" s="12" t="n">
        <f aca="false">IF('Raw Data'!R42="",0,'Raw Data'!R42)</f>
        <v>0</v>
      </c>
      <c r="N28" s="12" t="n">
        <f aca="false">IF('Raw Data'!S42="",0,'Raw Data'!S42)</f>
        <v>0</v>
      </c>
      <c r="O28" s="12" t="n">
        <f aca="false">IF('Raw Data'!T42="",0,'Raw Data'!T42)</f>
        <v>0</v>
      </c>
      <c r="P28" s="12" t="n">
        <f aca="false">IF('Raw Data'!U42="",0,'Raw Data'!U42)</f>
        <v>0</v>
      </c>
      <c r="Q28" s="12" t="n">
        <f aca="false">IF('Raw Data'!V42="",0,'Raw Data'!V42)</f>
        <v>0</v>
      </c>
      <c r="R28" s="12" t="n">
        <f aca="false">IF('Raw Data'!W42="",0,'Raw Data'!W42)</f>
        <v>0</v>
      </c>
      <c r="S28" s="12" t="n">
        <f aca="false">IF('Raw Data'!X42="",0,'Raw Data'!X42)</f>
        <v>0</v>
      </c>
      <c r="T28" s="12" t="n">
        <f aca="false">IF('Raw Data'!Y42="",0,'Raw Data'!Y42)</f>
        <v>0</v>
      </c>
      <c r="U28" s="12" t="n">
        <f aca="false">IF('Raw Data'!Z42="",0,'Raw Data'!Z42)</f>
        <v>0</v>
      </c>
      <c r="V28" s="12" t="n">
        <f aca="false">IF('Raw Data'!AA42="",0,'Raw Data'!AA42)</f>
        <v>0</v>
      </c>
      <c r="W28" s="12" t="n">
        <f aca="false">IF('Raw Data'!AB42="",0,'Raw Data'!AB42)</f>
        <v>0</v>
      </c>
      <c r="X28" s="12" t="n">
        <f aca="false">IF('Raw Data'!AC42="",0,'Raw Data'!AC42)</f>
        <v>0</v>
      </c>
      <c r="Y28" s="12" t="n">
        <f aca="false">IF('Raw Data'!AD42="",0,'Raw Data'!AD42)</f>
        <v>0</v>
      </c>
      <c r="Z28" s="12" t="n">
        <f aca="false">IF('Raw Data'!AE42="",0,'Raw Data'!AE42)</f>
        <v>0</v>
      </c>
      <c r="AA28" s="12" t="n">
        <f aca="false">IF('Raw Data'!AF42="",0,'Raw Data'!AF42)</f>
        <v>0</v>
      </c>
      <c r="AB28" s="12" t="n">
        <f aca="false">IF('Raw Data'!AG42="",0,'Raw Data'!AG42)</f>
        <v>0</v>
      </c>
      <c r="AC28" s="12" t="n">
        <f aca="false">IF('Raw Data'!AH42="",0,'Raw Data'!AH42)</f>
        <v>0</v>
      </c>
      <c r="AD28" s="12" t="n">
        <f aca="false">IF('Raw Data'!AI42="",0,'Raw Data'!AI42)</f>
        <v>0</v>
      </c>
      <c r="AE28" s="12" t="n">
        <f aca="false">IF('Raw Data'!AJ42="",0,'Raw Data'!AJ42)</f>
        <v>0</v>
      </c>
      <c r="AF28" s="12" t="n">
        <f aca="false">IF('Raw Data'!AK42="",0,'Raw Data'!AK42)</f>
        <v>0</v>
      </c>
      <c r="AG28" s="12" t="n">
        <f aca="false">IF('Raw Data'!AL42="",0,'Raw Data'!AL42)</f>
        <v>0</v>
      </c>
      <c r="AH28" s="12" t="n">
        <f aca="false">IF('Raw Data'!AM42="",0,'Raw Data'!AM42)</f>
        <v>0</v>
      </c>
      <c r="AI28" s="12" t="n">
        <f aca="false">IF('Raw Data'!AN42="",0,'Raw Data'!AN42)</f>
        <v>0</v>
      </c>
      <c r="AJ28" s="12" t="n">
        <f aca="false">IF('Raw Data'!AO42="",0,'Raw Data'!AO42)</f>
        <v>0</v>
      </c>
      <c r="AK28" s="12" t="n">
        <f aca="false">IF('Raw Data'!AP42="",0,'Raw Data'!AP42)</f>
        <v>0</v>
      </c>
      <c r="AL28" s="12" t="n">
        <f aca="false">IF('Raw Data'!AQ42="",0,'Raw Data'!AQ42)</f>
        <v>0</v>
      </c>
      <c r="AM28" s="12" t="n">
        <f aca="false">IF('Raw Data'!AR42="",0,'Raw Data'!AR42)</f>
        <v>0</v>
      </c>
      <c r="AN28" s="12" t="n">
        <f aca="false">IF('Raw Data'!AS42="",0,'Raw Data'!AS42)</f>
        <v>0</v>
      </c>
      <c r="AO28" s="12" t="n">
        <f aca="false">IF('Raw Data'!AT42="",0,'Raw Data'!AT42)</f>
        <v>0</v>
      </c>
      <c r="AP28" s="12" t="n">
        <f aca="false">IF('Raw Data'!AU42="",0,'Raw Data'!AU42)</f>
        <v>0</v>
      </c>
      <c r="AQ28" s="12" t="n">
        <f aca="false">IF('Raw Data'!AV42="",0,'Raw Data'!AV42)</f>
        <v>0</v>
      </c>
      <c r="AR28" s="12" t="n">
        <f aca="false">IF('Raw Data'!AW42="",0,'Raw Data'!AW42)</f>
        <v>0</v>
      </c>
      <c r="AS28" s="12" t="n">
        <f aca="false">IF('Raw Data'!AX42="",0,'Raw Data'!AX42)</f>
        <v>0</v>
      </c>
      <c r="AT28" s="12" t="n">
        <f aca="false">IF('Raw Data'!AY42="",0,'Raw Data'!AY42)</f>
        <v>0</v>
      </c>
      <c r="AU28" s="12" t="n">
        <f aca="false">IF('Raw Data'!AZ42="",0,'Raw Data'!AZ42)</f>
        <v>0</v>
      </c>
      <c r="AV28" s="12" t="n">
        <f aca="false">IF('Raw Data'!BA42="",0,'Raw Data'!BA42)</f>
        <v>0</v>
      </c>
      <c r="AW28" s="12" t="n">
        <f aca="false">IF('Raw Data'!BB42="",0,'Raw Data'!BB42)</f>
        <v>144.444166666667</v>
      </c>
      <c r="AX28" s="12" t="n">
        <f aca="false">IF('Raw Data'!BC42="",0,'Raw Data'!BC42)</f>
        <v>144.444166666667</v>
      </c>
      <c r="AY28" s="12" t="n">
        <f aca="false">IF('Raw Data'!BD42="",0,'Raw Data'!BD42)</f>
        <v>144.444166666667</v>
      </c>
      <c r="AZ28" s="12" t="n">
        <f aca="false">IF('Raw Data'!BE42="",0,'Raw Data'!BE42)</f>
        <v>144.444166666667</v>
      </c>
      <c r="BA28" s="12" t="n">
        <f aca="false">IF('Raw Data'!BF42="",0,'Raw Data'!BF42)</f>
        <v>144.444166666667</v>
      </c>
      <c r="BB28" s="12" t="n">
        <f aca="false">IF('Raw Data'!BG42="",0,'Raw Data'!BG42)</f>
        <v>144.444166666667</v>
      </c>
      <c r="BC28" s="12" t="n">
        <f aca="false">IF('Raw Data'!BH42="",0,'Raw Data'!BH42)</f>
        <v>144.444166666667</v>
      </c>
      <c r="BD28" s="12" t="n">
        <f aca="false">IF('Raw Data'!BI42="",0,'Raw Data'!BI42)</f>
        <v>144.444166666667</v>
      </c>
      <c r="BE28" s="12" t="n">
        <f aca="false">IF('Raw Data'!BJ42="",0,'Raw Data'!BJ42)</f>
        <v>144.444166666667</v>
      </c>
      <c r="BF28" s="12" t="n">
        <f aca="false">IF('Raw Data'!BK42="",0,'Raw Data'!BK42)</f>
        <v>144.444166666667</v>
      </c>
      <c r="BG28" s="12" t="n">
        <f aca="false">IF('Raw Data'!BL42="",0,'Raw Data'!BL42)</f>
        <v>144.444166666667</v>
      </c>
      <c r="BH28" s="12" t="n">
        <f aca="false">IF('Raw Data'!BM42="",0,'Raw Data'!BM42)</f>
        <v>144.444166666667</v>
      </c>
      <c r="BI28" s="12" t="n">
        <f aca="false">IF('Raw Data'!BN42="",0,'Raw Data'!BN42)</f>
        <v>122.2225</v>
      </c>
      <c r="BJ28" s="12" t="n">
        <f aca="false">IF('Raw Data'!BO42="",0,'Raw Data'!BO42)</f>
        <v>122.2225</v>
      </c>
      <c r="BK28" s="12" t="n">
        <f aca="false">IF('Raw Data'!BP42="",0,'Raw Data'!BP42)</f>
        <v>122.2225</v>
      </c>
      <c r="BL28" s="12" t="n">
        <f aca="false">IF('Raw Data'!BQ42="",0,'Raw Data'!BQ42)</f>
        <v>122.2225</v>
      </c>
      <c r="BM28" s="12" t="n">
        <f aca="false">IF('Raw Data'!BR42="",0,'Raw Data'!BR42)</f>
        <v>122.2225</v>
      </c>
      <c r="BN28" s="12" t="n">
        <f aca="false">IF('Raw Data'!BS42="",0,'Raw Data'!BS42)</f>
        <v>122.2225</v>
      </c>
      <c r="BO28" s="21" t="b">
        <f aca="false">FALSE()</f>
        <v>0</v>
      </c>
    </row>
    <row r="29" customFormat="false" ht="15" hidden="false" customHeight="false" outlineLevel="0" collapsed="false">
      <c r="A29" s="20" t="str">
        <f aca="false">'Raw Data'!A43</f>
        <v>Local Account #33 from CA</v>
      </c>
      <c r="B29" s="12" t="n">
        <f aca="false">IF('Raw Data'!G43="",0,'Raw Data'!G43)</f>
        <v>0</v>
      </c>
      <c r="C29" s="12" t="n">
        <f aca="false">IF('Raw Data'!H43="",0,'Raw Data'!H43)</f>
        <v>0</v>
      </c>
      <c r="D29" s="12" t="n">
        <f aca="false">IF('Raw Data'!I43="",0,'Raw Data'!I43)</f>
        <v>0</v>
      </c>
      <c r="E29" s="12" t="n">
        <f aca="false">IF('Raw Data'!J43="",0,'Raw Data'!J43)</f>
        <v>0</v>
      </c>
      <c r="F29" s="12" t="n">
        <f aca="false">IF('Raw Data'!K43="",0,'Raw Data'!K43)</f>
        <v>0</v>
      </c>
      <c r="G29" s="12" t="n">
        <f aca="false">IF('Raw Data'!L43="",0,'Raw Data'!L43)</f>
        <v>0</v>
      </c>
      <c r="H29" s="12" t="n">
        <f aca="false">IF('Raw Data'!M43="",0,'Raw Data'!M43)</f>
        <v>0</v>
      </c>
      <c r="I29" s="12" t="n">
        <f aca="false">IF('Raw Data'!N43="",0,'Raw Data'!N43)</f>
        <v>0</v>
      </c>
      <c r="J29" s="12" t="n">
        <f aca="false">IF('Raw Data'!O43="",0,'Raw Data'!O43)</f>
        <v>0</v>
      </c>
      <c r="K29" s="12" t="n">
        <f aca="false">IF('Raw Data'!P43="",0,'Raw Data'!P43)</f>
        <v>0</v>
      </c>
      <c r="L29" s="12" t="n">
        <f aca="false">IF('Raw Data'!Q43="",0,'Raw Data'!Q43)</f>
        <v>0</v>
      </c>
      <c r="M29" s="12" t="n">
        <f aca="false">IF('Raw Data'!R43="",0,'Raw Data'!R43)</f>
        <v>0</v>
      </c>
      <c r="N29" s="12" t="n">
        <f aca="false">IF('Raw Data'!S43="",0,'Raw Data'!S43)</f>
        <v>0</v>
      </c>
      <c r="O29" s="12" t="n">
        <f aca="false">IF('Raw Data'!T43="",0,'Raw Data'!T43)</f>
        <v>0</v>
      </c>
      <c r="P29" s="12" t="n">
        <f aca="false">IF('Raw Data'!U43="",0,'Raw Data'!U43)</f>
        <v>0</v>
      </c>
      <c r="Q29" s="12" t="n">
        <f aca="false">IF('Raw Data'!V43="",0,'Raw Data'!V43)</f>
        <v>0</v>
      </c>
      <c r="R29" s="12" t="n">
        <f aca="false">IF('Raw Data'!W43="",0,'Raw Data'!W43)</f>
        <v>0</v>
      </c>
      <c r="S29" s="12" t="n">
        <f aca="false">IF('Raw Data'!X43="",0,'Raw Data'!X43)</f>
        <v>0</v>
      </c>
      <c r="T29" s="12" t="n">
        <f aca="false">IF('Raw Data'!Y43="",0,'Raw Data'!Y43)</f>
        <v>0</v>
      </c>
      <c r="U29" s="12" t="n">
        <f aca="false">IF('Raw Data'!Z43="",0,'Raw Data'!Z43)</f>
        <v>0</v>
      </c>
      <c r="V29" s="12" t="n">
        <f aca="false">IF('Raw Data'!AA43="",0,'Raw Data'!AA43)</f>
        <v>0</v>
      </c>
      <c r="W29" s="12" t="n">
        <f aca="false">IF('Raw Data'!AB43="",0,'Raw Data'!AB43)</f>
        <v>0</v>
      </c>
      <c r="X29" s="12" t="n">
        <f aca="false">IF('Raw Data'!AC43="",0,'Raw Data'!AC43)</f>
        <v>0</v>
      </c>
      <c r="Y29" s="12" t="n">
        <f aca="false">IF('Raw Data'!AD43="",0,'Raw Data'!AD43)</f>
        <v>0</v>
      </c>
      <c r="Z29" s="12" t="n">
        <f aca="false">IF('Raw Data'!AE43="",0,'Raw Data'!AE43)</f>
        <v>0</v>
      </c>
      <c r="AA29" s="12" t="n">
        <f aca="false">IF('Raw Data'!AF43="",0,'Raw Data'!AF43)</f>
        <v>0</v>
      </c>
      <c r="AB29" s="12" t="n">
        <f aca="false">IF('Raw Data'!AG43="",0,'Raw Data'!AG43)</f>
        <v>0</v>
      </c>
      <c r="AC29" s="12" t="n">
        <f aca="false">IF('Raw Data'!AH43="",0,'Raw Data'!AH43)</f>
        <v>0</v>
      </c>
      <c r="AD29" s="12" t="n">
        <f aca="false">IF('Raw Data'!AI43="",0,'Raw Data'!AI43)</f>
        <v>0</v>
      </c>
      <c r="AE29" s="12" t="n">
        <f aca="false">IF('Raw Data'!AJ43="",0,'Raw Data'!AJ43)</f>
        <v>0</v>
      </c>
      <c r="AF29" s="12" t="n">
        <f aca="false">IF('Raw Data'!AK43="",0,'Raw Data'!AK43)</f>
        <v>0</v>
      </c>
      <c r="AG29" s="12" t="n">
        <f aca="false">IF('Raw Data'!AL43="",0,'Raw Data'!AL43)</f>
        <v>1077.7775</v>
      </c>
      <c r="AH29" s="12" t="n">
        <f aca="false">IF('Raw Data'!AM43="",0,'Raw Data'!AM43)</f>
        <v>1077.7775</v>
      </c>
      <c r="AI29" s="12" t="n">
        <f aca="false">IF('Raw Data'!AN43="",0,'Raw Data'!AN43)</f>
        <v>1077.7775</v>
      </c>
      <c r="AJ29" s="12" t="n">
        <f aca="false">IF('Raw Data'!AO43="",0,'Raw Data'!AO43)</f>
        <v>1077.7775</v>
      </c>
      <c r="AK29" s="12" t="n">
        <f aca="false">IF('Raw Data'!AP43="",0,'Raw Data'!AP43)</f>
        <v>1077.7775</v>
      </c>
      <c r="AL29" s="12" t="n">
        <f aca="false">IF('Raw Data'!AQ43="",0,'Raw Data'!AQ43)</f>
        <v>1077.7775</v>
      </c>
      <c r="AM29" s="12" t="n">
        <f aca="false">IF('Raw Data'!AR43="",0,'Raw Data'!AR43)</f>
        <v>1077.7775</v>
      </c>
      <c r="AN29" s="12" t="n">
        <f aca="false">IF('Raw Data'!AS43="",0,'Raw Data'!AS43)</f>
        <v>1077.7775</v>
      </c>
      <c r="AO29" s="12" t="n">
        <f aca="false">IF('Raw Data'!AT43="",0,'Raw Data'!AT43)</f>
        <v>1077.7775</v>
      </c>
      <c r="AP29" s="12" t="n">
        <f aca="false">IF('Raw Data'!AU43="",0,'Raw Data'!AU43)</f>
        <v>1077.7775</v>
      </c>
      <c r="AQ29" s="12" t="n">
        <f aca="false">IF('Raw Data'!AV43="",0,'Raw Data'!AV43)</f>
        <v>1077.7775</v>
      </c>
      <c r="AR29" s="12" t="n">
        <f aca="false">IF('Raw Data'!AW43="",0,'Raw Data'!AW43)</f>
        <v>1077.7775</v>
      </c>
      <c r="AS29" s="12" t="n">
        <f aca="false">IF('Raw Data'!AX43="",0,'Raw Data'!AX43)</f>
        <v>1333.33333333333</v>
      </c>
      <c r="AT29" s="12" t="n">
        <f aca="false">IF('Raw Data'!AY43="",0,'Raw Data'!AY43)</f>
        <v>1333.33333333333</v>
      </c>
      <c r="AU29" s="12" t="n">
        <f aca="false">IF('Raw Data'!AZ43="",0,'Raw Data'!AZ43)</f>
        <v>1333.33333333333</v>
      </c>
      <c r="AV29" s="12" t="n">
        <f aca="false">IF('Raw Data'!BA43="",0,'Raw Data'!BA43)</f>
        <v>1333.33333333333</v>
      </c>
      <c r="AW29" s="12" t="n">
        <f aca="false">IF('Raw Data'!BB43="",0,'Raw Data'!BB43)</f>
        <v>1333.33333333333</v>
      </c>
      <c r="AX29" s="12" t="n">
        <f aca="false">IF('Raw Data'!BC43="",0,'Raw Data'!BC43)</f>
        <v>1333.33333333333</v>
      </c>
      <c r="AY29" s="12" t="n">
        <f aca="false">IF('Raw Data'!BD43="",0,'Raw Data'!BD43)</f>
        <v>1333.33333333333</v>
      </c>
      <c r="AZ29" s="12" t="n">
        <f aca="false">IF('Raw Data'!BE43="",0,'Raw Data'!BE43)</f>
        <v>1333.33333333333</v>
      </c>
      <c r="BA29" s="12" t="n">
        <f aca="false">IF('Raw Data'!BF43="",0,'Raw Data'!BF43)</f>
        <v>1333.33333333333</v>
      </c>
      <c r="BB29" s="12" t="n">
        <f aca="false">IF('Raw Data'!BG43="",0,'Raw Data'!BG43)</f>
        <v>1333.33333333333</v>
      </c>
      <c r="BC29" s="12" t="n">
        <f aca="false">IF('Raw Data'!BH43="",0,'Raw Data'!BH43)</f>
        <v>1333.33333333333</v>
      </c>
      <c r="BD29" s="12" t="n">
        <f aca="false">IF('Raw Data'!BI43="",0,'Raw Data'!BI43)</f>
        <v>1333.33333333333</v>
      </c>
      <c r="BE29" s="12" t="n">
        <f aca="false">IF('Raw Data'!BJ43="",0,'Raw Data'!BJ43)</f>
        <v>1266.66666666667</v>
      </c>
      <c r="BF29" s="12" t="n">
        <f aca="false">IF('Raw Data'!BK43="",0,'Raw Data'!BK43)</f>
        <v>1266.66666666667</v>
      </c>
      <c r="BG29" s="12" t="n">
        <f aca="false">IF('Raw Data'!BL43="",0,'Raw Data'!BL43)</f>
        <v>1266.66666666667</v>
      </c>
      <c r="BH29" s="12" t="n">
        <f aca="false">IF('Raw Data'!BM43="",0,'Raw Data'!BM43)</f>
        <v>1266.66666666667</v>
      </c>
      <c r="BI29" s="12" t="n">
        <f aca="false">IF('Raw Data'!BN43="",0,'Raw Data'!BN43)</f>
        <v>1266.66666666667</v>
      </c>
      <c r="BJ29" s="12" t="n">
        <f aca="false">IF('Raw Data'!BO43="",0,'Raw Data'!BO43)</f>
        <v>1266.66666666667</v>
      </c>
      <c r="BK29" s="12" t="n">
        <f aca="false">IF('Raw Data'!BP43="",0,'Raw Data'!BP43)</f>
        <v>1266.66666666667</v>
      </c>
      <c r="BL29" s="12" t="n">
        <f aca="false">IF('Raw Data'!BQ43="",0,'Raw Data'!BQ43)</f>
        <v>1266.66666666667</v>
      </c>
      <c r="BM29" s="12" t="n">
        <f aca="false">IF('Raw Data'!BR43="",0,'Raw Data'!BR43)</f>
        <v>1266.66666666667</v>
      </c>
      <c r="BN29" s="12" t="n">
        <f aca="false">IF('Raw Data'!BS43="",0,'Raw Data'!BS43)</f>
        <v>1266.66666666667</v>
      </c>
      <c r="BO29" s="21" t="b">
        <f aca="false">FALSE()</f>
        <v>0</v>
      </c>
    </row>
    <row r="30" customFormat="false" ht="15" hidden="false" customHeight="false" outlineLevel="0" collapsed="false">
      <c r="A30" s="20" t="str">
        <f aca="false">'Raw Data'!A44</f>
        <v>Local Account #34 from MI</v>
      </c>
      <c r="B30" s="12" t="n">
        <f aca="false">IF('Raw Data'!G44="",0,'Raw Data'!G44)</f>
        <v>12737.9833333333</v>
      </c>
      <c r="C30" s="12" t="n">
        <f aca="false">IF('Raw Data'!H44="",0,'Raw Data'!H44)</f>
        <v>12737.9833333333</v>
      </c>
      <c r="D30" s="12" t="n">
        <f aca="false">IF('Raw Data'!I44="",0,'Raw Data'!I44)</f>
        <v>12737.9833333333</v>
      </c>
      <c r="E30" s="12" t="n">
        <f aca="false">IF('Raw Data'!J44="",0,'Raw Data'!J44)</f>
        <v>12737.9833333333</v>
      </c>
      <c r="F30" s="12" t="n">
        <f aca="false">IF('Raw Data'!K44="",0,'Raw Data'!K44)</f>
        <v>12737.9833333333</v>
      </c>
      <c r="G30" s="12" t="n">
        <f aca="false">IF('Raw Data'!L44="",0,'Raw Data'!L44)</f>
        <v>12737.9833333333</v>
      </c>
      <c r="H30" s="12" t="n">
        <f aca="false">IF('Raw Data'!M44="",0,'Raw Data'!M44)</f>
        <v>14875.4833333333</v>
      </c>
      <c r="I30" s="12" t="n">
        <f aca="false">IF('Raw Data'!N44="",0,'Raw Data'!N44)</f>
        <v>14875.4833333333</v>
      </c>
      <c r="J30" s="12" t="n">
        <f aca="false">IF('Raw Data'!O44="",0,'Raw Data'!O44)</f>
        <v>14875.4833333333</v>
      </c>
      <c r="K30" s="12" t="n">
        <f aca="false">IF('Raw Data'!P44="",0,'Raw Data'!P44)</f>
        <v>14875.4833333333</v>
      </c>
      <c r="L30" s="12" t="n">
        <f aca="false">IF('Raw Data'!Q44="",0,'Raw Data'!Q44)</f>
        <v>14875.4833333333</v>
      </c>
      <c r="M30" s="12" t="n">
        <f aca="false">IF('Raw Data'!R44="",0,'Raw Data'!R44)</f>
        <v>14875.4833333333</v>
      </c>
      <c r="N30" s="12" t="n">
        <f aca="false">IF('Raw Data'!S44="",0,'Raw Data'!S44)</f>
        <v>14875.4833333333</v>
      </c>
      <c r="O30" s="12" t="n">
        <f aca="false">IF('Raw Data'!T44="",0,'Raw Data'!T44)</f>
        <v>14875.4833333333</v>
      </c>
      <c r="P30" s="12" t="n">
        <f aca="false">IF('Raw Data'!U44="",0,'Raw Data'!U44)</f>
        <v>14875.4833333333</v>
      </c>
      <c r="Q30" s="12" t="n">
        <f aca="false">IF('Raw Data'!V44="",0,'Raw Data'!V44)</f>
        <v>14875.4833333333</v>
      </c>
      <c r="R30" s="12" t="n">
        <f aca="false">IF('Raw Data'!W44="",0,'Raw Data'!W44)</f>
        <v>14875.4833333333</v>
      </c>
      <c r="S30" s="12" t="n">
        <f aca="false">IF('Raw Data'!X44="",0,'Raw Data'!X44)</f>
        <v>14875.4833333333</v>
      </c>
      <c r="T30" s="12" t="n">
        <f aca="false">IF('Raw Data'!Y44="",0,'Raw Data'!Y44)</f>
        <v>15961.9383333333</v>
      </c>
      <c r="U30" s="12" t="n">
        <f aca="false">IF('Raw Data'!Z44="",0,'Raw Data'!Z44)</f>
        <v>15961.9383333333</v>
      </c>
      <c r="V30" s="12" t="n">
        <f aca="false">IF('Raw Data'!AA44="",0,'Raw Data'!AA44)</f>
        <v>15961.9383333333</v>
      </c>
      <c r="W30" s="12" t="n">
        <f aca="false">IF('Raw Data'!AB44="",0,'Raw Data'!AB44)</f>
        <v>15961.9383333333</v>
      </c>
      <c r="X30" s="12" t="n">
        <f aca="false">IF('Raw Data'!AC44="",0,'Raw Data'!AC44)</f>
        <v>15961.9383333333</v>
      </c>
      <c r="Y30" s="12" t="n">
        <f aca="false">IF('Raw Data'!AD44="",0,'Raw Data'!AD44)</f>
        <v>15961.9383333333</v>
      </c>
      <c r="Z30" s="12" t="n">
        <f aca="false">IF('Raw Data'!AE44="",0,'Raw Data'!AE44)</f>
        <v>15961.9383333333</v>
      </c>
      <c r="AA30" s="12" t="n">
        <f aca="false">IF('Raw Data'!AF44="",0,'Raw Data'!AF44)</f>
        <v>15961.9383333333</v>
      </c>
      <c r="AB30" s="12" t="n">
        <f aca="false">IF('Raw Data'!AG44="",0,'Raw Data'!AG44)</f>
        <v>15961.9383333333</v>
      </c>
      <c r="AC30" s="12" t="n">
        <f aca="false">IF('Raw Data'!AH44="",0,'Raw Data'!AH44)</f>
        <v>15961.9383333333</v>
      </c>
      <c r="AD30" s="12" t="n">
        <f aca="false">IF('Raw Data'!AI44="",0,'Raw Data'!AI44)</f>
        <v>15961.9383333333</v>
      </c>
      <c r="AE30" s="12" t="n">
        <f aca="false">IF('Raw Data'!AJ44="",0,'Raw Data'!AJ44)</f>
        <v>15961.9383333333</v>
      </c>
      <c r="AF30" s="12" t="n">
        <f aca="false">IF('Raw Data'!AK44="",0,'Raw Data'!AK44)</f>
        <v>16604.9966666667</v>
      </c>
      <c r="AG30" s="12" t="n">
        <f aca="false">IF('Raw Data'!AL44="",0,'Raw Data'!AL44)</f>
        <v>16604.9966666667</v>
      </c>
      <c r="AH30" s="12" t="n">
        <f aca="false">IF('Raw Data'!AM44="",0,'Raw Data'!AM44)</f>
        <v>16604.9966666667</v>
      </c>
      <c r="AI30" s="12" t="n">
        <f aca="false">IF('Raw Data'!AN44="",0,'Raw Data'!AN44)</f>
        <v>16604.9966666667</v>
      </c>
      <c r="AJ30" s="12" t="n">
        <f aca="false">IF('Raw Data'!AO44="",0,'Raw Data'!AO44)</f>
        <v>16604.9966666667</v>
      </c>
      <c r="AK30" s="12" t="n">
        <f aca="false">IF('Raw Data'!AP44="",0,'Raw Data'!AP44)</f>
        <v>16604.9966666667</v>
      </c>
      <c r="AL30" s="12" t="n">
        <f aca="false">IF('Raw Data'!AQ44="",0,'Raw Data'!AQ44)</f>
        <v>16604.9966666667</v>
      </c>
      <c r="AM30" s="12" t="n">
        <f aca="false">IF('Raw Data'!AR44="",0,'Raw Data'!AR44)</f>
        <v>16604.9966666667</v>
      </c>
      <c r="AN30" s="12" t="n">
        <f aca="false">IF('Raw Data'!AS44="",0,'Raw Data'!AS44)</f>
        <v>16604.9966666667</v>
      </c>
      <c r="AO30" s="12" t="n">
        <f aca="false">IF('Raw Data'!AT44="",0,'Raw Data'!AT44)</f>
        <v>16604.9966666667</v>
      </c>
      <c r="AP30" s="12" t="n">
        <f aca="false">IF('Raw Data'!AU44="",0,'Raw Data'!AU44)</f>
        <v>16604.9966666667</v>
      </c>
      <c r="AQ30" s="12" t="n">
        <f aca="false">IF('Raw Data'!AV44="",0,'Raw Data'!AV44)</f>
        <v>16604.9966666667</v>
      </c>
      <c r="AR30" s="12" t="n">
        <f aca="false">IF('Raw Data'!AW44="",0,'Raw Data'!AW44)</f>
        <v>18485.33</v>
      </c>
      <c r="AS30" s="12" t="n">
        <f aca="false">IF('Raw Data'!AX44="",0,'Raw Data'!AX44)</f>
        <v>18485.33</v>
      </c>
      <c r="AT30" s="12" t="n">
        <f aca="false">IF('Raw Data'!AY44="",0,'Raw Data'!AY44)</f>
        <v>18485.33</v>
      </c>
      <c r="AU30" s="12" t="n">
        <f aca="false">IF('Raw Data'!AZ44="",0,'Raw Data'!AZ44)</f>
        <v>18485.33</v>
      </c>
      <c r="AV30" s="12" t="n">
        <f aca="false">IF('Raw Data'!BA44="",0,'Raw Data'!BA44)</f>
        <v>18485.33</v>
      </c>
      <c r="AW30" s="12" t="n">
        <f aca="false">IF('Raw Data'!BB44="",0,'Raw Data'!BB44)</f>
        <v>18485.33</v>
      </c>
      <c r="AX30" s="12" t="n">
        <f aca="false">IF('Raw Data'!BC44="",0,'Raw Data'!BC44)</f>
        <v>18485.33</v>
      </c>
      <c r="AY30" s="12" t="n">
        <f aca="false">IF('Raw Data'!BD44="",0,'Raw Data'!BD44)</f>
        <v>18485.33</v>
      </c>
      <c r="AZ30" s="12" t="n">
        <f aca="false">IF('Raw Data'!BE44="",0,'Raw Data'!BE44)</f>
        <v>18485.33</v>
      </c>
      <c r="BA30" s="12" t="n">
        <f aca="false">IF('Raw Data'!BF44="",0,'Raw Data'!BF44)</f>
        <v>18485.33</v>
      </c>
      <c r="BB30" s="12" t="n">
        <f aca="false">IF('Raw Data'!BG44="",0,'Raw Data'!BG44)</f>
        <v>18485.33</v>
      </c>
      <c r="BC30" s="12" t="n">
        <f aca="false">IF('Raw Data'!BH44="",0,'Raw Data'!BH44)</f>
        <v>18485.33</v>
      </c>
      <c r="BD30" s="12" t="n">
        <f aca="false">IF('Raw Data'!BI44="",0,'Raw Data'!BI44)</f>
        <v>20475</v>
      </c>
      <c r="BE30" s="12" t="n">
        <f aca="false">IF('Raw Data'!BJ44="",0,'Raw Data'!BJ44)</f>
        <v>20475</v>
      </c>
      <c r="BF30" s="12" t="n">
        <f aca="false">IF('Raw Data'!BK44="",0,'Raw Data'!BK44)</f>
        <v>20475</v>
      </c>
      <c r="BG30" s="12" t="n">
        <f aca="false">IF('Raw Data'!BL44="",0,'Raw Data'!BL44)</f>
        <v>20475</v>
      </c>
      <c r="BH30" s="12" t="n">
        <f aca="false">IF('Raw Data'!BM44="",0,'Raw Data'!BM44)</f>
        <v>20475</v>
      </c>
      <c r="BI30" s="12" t="n">
        <f aca="false">IF('Raw Data'!BN44="",0,'Raw Data'!BN44)</f>
        <v>20475</v>
      </c>
      <c r="BJ30" s="12" t="n">
        <f aca="false">IF('Raw Data'!BO44="",0,'Raw Data'!BO44)</f>
        <v>20475</v>
      </c>
      <c r="BK30" s="12" t="n">
        <f aca="false">IF('Raw Data'!BP44="",0,'Raw Data'!BP44)</f>
        <v>20475</v>
      </c>
      <c r="BL30" s="12" t="n">
        <f aca="false">IF('Raw Data'!BQ44="",0,'Raw Data'!BQ44)</f>
        <v>20475</v>
      </c>
      <c r="BM30" s="12" t="n">
        <f aca="false">IF('Raw Data'!BR44="",0,'Raw Data'!BR44)</f>
        <v>20475</v>
      </c>
      <c r="BN30" s="12" t="n">
        <f aca="false">IF('Raw Data'!BS44="",0,'Raw Data'!BS44)</f>
        <v>20475</v>
      </c>
      <c r="BO30" s="21" t="b">
        <f aca="false">FALSE()</f>
        <v>0</v>
      </c>
    </row>
    <row r="31" customFormat="false" ht="15" hidden="false" customHeight="false" outlineLevel="0" collapsed="false">
      <c r="A31" s="20" t="str">
        <f aca="false">'Raw Data'!A45</f>
        <v>Local Account #35 from OR</v>
      </c>
      <c r="B31" s="12" t="n">
        <f aca="false">IF('Raw Data'!G45="",0,'Raw Data'!G45)</f>
        <v>0</v>
      </c>
      <c r="C31" s="12" t="n">
        <f aca="false">IF('Raw Data'!H45="",0,'Raw Data'!H45)</f>
        <v>0</v>
      </c>
      <c r="D31" s="12" t="n">
        <f aca="false">IF('Raw Data'!I45="",0,'Raw Data'!I45)</f>
        <v>0</v>
      </c>
      <c r="E31" s="12" t="n">
        <f aca="false">IF('Raw Data'!J45="",0,'Raw Data'!J45)</f>
        <v>0</v>
      </c>
      <c r="F31" s="12" t="n">
        <f aca="false">IF('Raw Data'!K45="",0,'Raw Data'!K45)</f>
        <v>0</v>
      </c>
      <c r="G31" s="12" t="n">
        <f aca="false">IF('Raw Data'!L45="",0,'Raw Data'!L45)</f>
        <v>0</v>
      </c>
      <c r="H31" s="12" t="n">
        <f aca="false">IF('Raw Data'!M45="",0,'Raw Data'!M45)</f>
        <v>0</v>
      </c>
      <c r="I31" s="12" t="n">
        <f aca="false">IF('Raw Data'!N45="",0,'Raw Data'!N45)</f>
        <v>0</v>
      </c>
      <c r="J31" s="12" t="n">
        <f aca="false">IF('Raw Data'!O45="",0,'Raw Data'!O45)</f>
        <v>0</v>
      </c>
      <c r="K31" s="12" t="n">
        <f aca="false">IF('Raw Data'!P45="",0,'Raw Data'!P45)</f>
        <v>0</v>
      </c>
      <c r="L31" s="12" t="n">
        <f aca="false">IF('Raw Data'!Q45="",0,'Raw Data'!Q45)</f>
        <v>0</v>
      </c>
      <c r="M31" s="12" t="n">
        <f aca="false">IF('Raw Data'!R45="",0,'Raw Data'!R45)</f>
        <v>0</v>
      </c>
      <c r="N31" s="12" t="n">
        <f aca="false">IF('Raw Data'!S45="",0,'Raw Data'!S45)</f>
        <v>0</v>
      </c>
      <c r="O31" s="12" t="n">
        <f aca="false">IF('Raw Data'!T45="",0,'Raw Data'!T45)</f>
        <v>0</v>
      </c>
      <c r="P31" s="12" t="n">
        <f aca="false">IF('Raw Data'!U45="",0,'Raw Data'!U45)</f>
        <v>0</v>
      </c>
      <c r="Q31" s="12" t="n">
        <f aca="false">IF('Raw Data'!V45="",0,'Raw Data'!V45)</f>
        <v>0</v>
      </c>
      <c r="R31" s="12" t="n">
        <f aca="false">IF('Raw Data'!W45="",0,'Raw Data'!W45)</f>
        <v>0</v>
      </c>
      <c r="S31" s="12" t="n">
        <f aca="false">IF('Raw Data'!X45="",0,'Raw Data'!X45)</f>
        <v>0</v>
      </c>
      <c r="T31" s="12" t="n">
        <f aca="false">IF('Raw Data'!Y45="",0,'Raw Data'!Y45)</f>
        <v>0</v>
      </c>
      <c r="U31" s="12" t="n">
        <f aca="false">IF('Raw Data'!Z45="",0,'Raw Data'!Z45)</f>
        <v>0</v>
      </c>
      <c r="V31" s="12" t="n">
        <f aca="false">IF('Raw Data'!AA45="",0,'Raw Data'!AA45)</f>
        <v>0</v>
      </c>
      <c r="W31" s="12" t="n">
        <f aca="false">IF('Raw Data'!AB45="",0,'Raw Data'!AB45)</f>
        <v>0</v>
      </c>
      <c r="X31" s="12" t="n">
        <f aca="false">IF('Raw Data'!AC45="",0,'Raw Data'!AC45)</f>
        <v>0</v>
      </c>
      <c r="Y31" s="12" t="n">
        <f aca="false">IF('Raw Data'!AD45="",0,'Raw Data'!AD45)</f>
        <v>0</v>
      </c>
      <c r="Z31" s="12" t="n">
        <f aca="false">IF('Raw Data'!AE45="",0,'Raw Data'!AE45)</f>
        <v>0</v>
      </c>
      <c r="AA31" s="12" t="n">
        <f aca="false">IF('Raw Data'!AF45="",0,'Raw Data'!AF45)</f>
        <v>0</v>
      </c>
      <c r="AB31" s="12" t="n">
        <f aca="false">IF('Raw Data'!AG45="",0,'Raw Data'!AG45)</f>
        <v>0</v>
      </c>
      <c r="AC31" s="12" t="n">
        <f aca="false">IF('Raw Data'!AH45="",0,'Raw Data'!AH45)</f>
        <v>0</v>
      </c>
      <c r="AD31" s="12" t="n">
        <f aca="false">IF('Raw Data'!AI45="",0,'Raw Data'!AI45)</f>
        <v>920.834</v>
      </c>
      <c r="AE31" s="12" t="n">
        <f aca="false">IF('Raw Data'!AJ45="",0,'Raw Data'!AJ45)</f>
        <v>920.834</v>
      </c>
      <c r="AF31" s="12" t="n">
        <f aca="false">IF('Raw Data'!AK45="",0,'Raw Data'!AK45)</f>
        <v>920.834</v>
      </c>
      <c r="AG31" s="12" t="n">
        <f aca="false">IF('Raw Data'!AL45="",0,'Raw Data'!AL45)</f>
        <v>920.834</v>
      </c>
      <c r="AH31" s="12" t="n">
        <f aca="false">IF('Raw Data'!AM45="",0,'Raw Data'!AM45)</f>
        <v>920.834</v>
      </c>
      <c r="AI31" s="12" t="n">
        <f aca="false">IF('Raw Data'!AN45="",0,'Raw Data'!AN45)</f>
        <v>920.833333333333</v>
      </c>
      <c r="AJ31" s="12" t="n">
        <f aca="false">IF('Raw Data'!AO45="",0,'Raw Data'!AO45)</f>
        <v>920.833333333333</v>
      </c>
      <c r="AK31" s="12" t="n">
        <f aca="false">IF('Raw Data'!AP45="",0,'Raw Data'!AP45)</f>
        <v>920.833333333333</v>
      </c>
      <c r="AL31" s="12" t="n">
        <f aca="false">IF('Raw Data'!AQ45="",0,'Raw Data'!AQ45)</f>
        <v>920.833333333333</v>
      </c>
      <c r="AM31" s="12" t="n">
        <f aca="false">IF('Raw Data'!AR45="",0,'Raw Data'!AR45)</f>
        <v>920.833333333333</v>
      </c>
      <c r="AN31" s="12" t="n">
        <f aca="false">IF('Raw Data'!AS45="",0,'Raw Data'!AS45)</f>
        <v>920.833333333333</v>
      </c>
      <c r="AO31" s="12" t="n">
        <f aca="false">IF('Raw Data'!AT45="",0,'Raw Data'!AT45)</f>
        <v>920.833333333333</v>
      </c>
      <c r="AP31" s="12" t="n">
        <f aca="false">IF('Raw Data'!AU45="",0,'Raw Data'!AU45)</f>
        <v>920.833333333333</v>
      </c>
      <c r="AQ31" s="12" t="n">
        <f aca="false">IF('Raw Data'!AV45="",0,'Raw Data'!AV45)</f>
        <v>920.833333333333</v>
      </c>
      <c r="AR31" s="12" t="n">
        <f aca="false">IF('Raw Data'!AW45="",0,'Raw Data'!AW45)</f>
        <v>920.833333333333</v>
      </c>
      <c r="AS31" s="12" t="n">
        <f aca="false">IF('Raw Data'!AX45="",0,'Raw Data'!AX45)</f>
        <v>1070.83333333333</v>
      </c>
      <c r="AT31" s="12" t="n">
        <f aca="false">IF('Raw Data'!AY45="",0,'Raw Data'!AY45)</f>
        <v>1070.83333333333</v>
      </c>
      <c r="AU31" s="12" t="n">
        <f aca="false">IF('Raw Data'!AZ45="",0,'Raw Data'!AZ45)</f>
        <v>1170.83333333333</v>
      </c>
      <c r="AV31" s="12" t="n">
        <f aca="false">IF('Raw Data'!BA45="",0,'Raw Data'!BA45)</f>
        <v>1170.83333333333</v>
      </c>
      <c r="AW31" s="12" t="n">
        <f aca="false">IF('Raw Data'!BB45="",0,'Raw Data'!BB45)</f>
        <v>1445.83333333333</v>
      </c>
      <c r="AX31" s="12" t="n">
        <f aca="false">IF('Raw Data'!BC45="",0,'Raw Data'!BC45)</f>
        <v>1445.83333333333</v>
      </c>
      <c r="AY31" s="12" t="n">
        <f aca="false">IF('Raw Data'!BD45="",0,'Raw Data'!BD45)</f>
        <v>1820.83333333333</v>
      </c>
      <c r="AZ31" s="12" t="n">
        <f aca="false">IF('Raw Data'!BE45="",0,'Raw Data'!BE45)</f>
        <v>1820.83333333333</v>
      </c>
      <c r="BA31" s="12" t="n">
        <f aca="false">IF('Raw Data'!BF45="",0,'Raw Data'!BF45)</f>
        <v>1820.83333333333</v>
      </c>
      <c r="BB31" s="12" t="n">
        <f aca="false">IF('Raw Data'!BG45="",0,'Raw Data'!BG45)</f>
        <v>1850.83333333333</v>
      </c>
      <c r="BC31" s="12" t="n">
        <f aca="false">IF('Raw Data'!BH45="",0,'Raw Data'!BH45)</f>
        <v>1850.83333333333</v>
      </c>
      <c r="BD31" s="12" t="n">
        <f aca="false">IF('Raw Data'!BI45="",0,'Raw Data'!BI45)</f>
        <v>1850.83333333333</v>
      </c>
      <c r="BE31" s="12" t="n">
        <f aca="false">IF('Raw Data'!BJ45="",0,'Raw Data'!BJ45)</f>
        <v>1850.83333333333</v>
      </c>
      <c r="BF31" s="12" t="n">
        <f aca="false">IF('Raw Data'!BK45="",0,'Raw Data'!BK45)</f>
        <v>1850.83333333333</v>
      </c>
      <c r="BG31" s="12" t="n">
        <f aca="false">IF('Raw Data'!BL45="",0,'Raw Data'!BL45)</f>
        <v>122.666666666667</v>
      </c>
      <c r="BH31" s="12" t="n">
        <f aca="false">IF('Raw Data'!BM45="",0,'Raw Data'!BM45)</f>
        <v>122.666666666667</v>
      </c>
      <c r="BI31" s="12" t="n">
        <f aca="false">IF('Raw Data'!BN45="",0,'Raw Data'!BN45)</f>
        <v>122.666666666667</v>
      </c>
      <c r="BJ31" s="12" t="n">
        <f aca="false">IF('Raw Data'!BO45="",0,'Raw Data'!BO45)</f>
        <v>122.666666666667</v>
      </c>
      <c r="BK31" s="12" t="n">
        <f aca="false">IF('Raw Data'!BP45="",0,'Raw Data'!BP45)</f>
        <v>122.666666666667</v>
      </c>
      <c r="BL31" s="12" t="n">
        <f aca="false">IF('Raw Data'!BQ45="",0,'Raw Data'!BQ45)</f>
        <v>122.666666666667</v>
      </c>
      <c r="BM31" s="12" t="n">
        <f aca="false">IF('Raw Data'!BR45="",0,'Raw Data'!BR45)</f>
        <v>122.666666666667</v>
      </c>
      <c r="BN31" s="12" t="n">
        <f aca="false">IF('Raw Data'!BS45="",0,'Raw Data'!BS45)</f>
        <v>122.666666666667</v>
      </c>
      <c r="BO31" s="21" t="b">
        <f aca="false">FALSE()</f>
        <v>0</v>
      </c>
    </row>
    <row r="32" customFormat="false" ht="15" hidden="false" customHeight="false" outlineLevel="0" collapsed="false">
      <c r="A32" s="20" t="str">
        <f aca="false">'Raw Data'!A46</f>
        <v>Local Account #36 from CA</v>
      </c>
      <c r="B32" s="12" t="n">
        <f aca="false">IF('Raw Data'!G46="",0,'Raw Data'!G46)</f>
        <v>2537.5</v>
      </c>
      <c r="C32" s="12" t="n">
        <f aca="false">IF('Raw Data'!H46="",0,'Raw Data'!H46)</f>
        <v>2537.5</v>
      </c>
      <c r="D32" s="12" t="n">
        <f aca="false">IF('Raw Data'!I46="",0,'Raw Data'!I46)</f>
        <v>1280</v>
      </c>
      <c r="E32" s="12" t="n">
        <f aca="false">IF('Raw Data'!J46="",0,'Raw Data'!J46)</f>
        <v>1280</v>
      </c>
      <c r="F32" s="12" t="n">
        <f aca="false">IF('Raw Data'!K46="",0,'Raw Data'!K46)</f>
        <v>1280</v>
      </c>
      <c r="G32" s="12" t="n">
        <f aca="false">IF('Raw Data'!L46="",0,'Raw Data'!L46)</f>
        <v>1280</v>
      </c>
      <c r="H32" s="12" t="n">
        <f aca="false">IF('Raw Data'!M46="",0,'Raw Data'!M46)</f>
        <v>1280</v>
      </c>
      <c r="I32" s="12" t="n">
        <f aca="false">IF('Raw Data'!N46="",0,'Raw Data'!N46)</f>
        <v>1280</v>
      </c>
      <c r="J32" s="12" t="n">
        <f aca="false">IF('Raw Data'!O46="",0,'Raw Data'!O46)</f>
        <v>1280</v>
      </c>
      <c r="K32" s="12" t="n">
        <f aca="false">IF('Raw Data'!P46="",0,'Raw Data'!P46)</f>
        <v>1280</v>
      </c>
      <c r="L32" s="12" t="n">
        <f aca="false">IF('Raw Data'!Q46="",0,'Raw Data'!Q46)</f>
        <v>1280</v>
      </c>
      <c r="M32" s="12" t="n">
        <f aca="false">IF('Raw Data'!R46="",0,'Raw Data'!R46)</f>
        <v>1280</v>
      </c>
      <c r="N32" s="12" t="n">
        <f aca="false">IF('Raw Data'!S46="",0,'Raw Data'!S46)</f>
        <v>1280</v>
      </c>
      <c r="O32" s="12" t="n">
        <f aca="false">IF('Raw Data'!T46="",0,'Raw Data'!T46)</f>
        <v>1280</v>
      </c>
      <c r="P32" s="12" t="n">
        <f aca="false">IF('Raw Data'!U46="",0,'Raw Data'!U46)</f>
        <v>1430</v>
      </c>
      <c r="Q32" s="12" t="n">
        <f aca="false">IF('Raw Data'!V46="",0,'Raw Data'!V46)</f>
        <v>1430</v>
      </c>
      <c r="R32" s="12" t="n">
        <f aca="false">IF('Raw Data'!W46="",0,'Raw Data'!W46)</f>
        <v>1430</v>
      </c>
      <c r="S32" s="12" t="n">
        <f aca="false">IF('Raw Data'!X46="",0,'Raw Data'!X46)</f>
        <v>1430</v>
      </c>
      <c r="T32" s="12" t="n">
        <f aca="false">IF('Raw Data'!Y46="",0,'Raw Data'!Y46)</f>
        <v>1430</v>
      </c>
      <c r="U32" s="12" t="n">
        <f aca="false">IF('Raw Data'!Z46="",0,'Raw Data'!Z46)</f>
        <v>1430</v>
      </c>
      <c r="V32" s="12" t="n">
        <f aca="false">IF('Raw Data'!AA46="",0,'Raw Data'!AA46)</f>
        <v>1430</v>
      </c>
      <c r="W32" s="12" t="n">
        <f aca="false">IF('Raw Data'!AB46="",0,'Raw Data'!AB46)</f>
        <v>1430</v>
      </c>
      <c r="X32" s="12" t="n">
        <f aca="false">IF('Raw Data'!AC46="",0,'Raw Data'!AC46)</f>
        <v>1430</v>
      </c>
      <c r="Y32" s="12" t="n">
        <f aca="false">IF('Raw Data'!AD46="",0,'Raw Data'!AD46)</f>
        <v>1430</v>
      </c>
      <c r="Z32" s="12" t="n">
        <f aca="false">IF('Raw Data'!AE46="",0,'Raw Data'!AE46)</f>
        <v>1430</v>
      </c>
      <c r="AA32" s="12" t="n">
        <f aca="false">IF('Raw Data'!AF46="",0,'Raw Data'!AF46)</f>
        <v>1430</v>
      </c>
      <c r="AB32" s="12" t="n">
        <f aca="false">IF('Raw Data'!AG46="",0,'Raw Data'!AG46)</f>
        <v>225</v>
      </c>
      <c r="AC32" s="12" t="n">
        <f aca="false">IF('Raw Data'!AH46="",0,'Raw Data'!AH46)</f>
        <v>225</v>
      </c>
      <c r="AD32" s="12" t="n">
        <f aca="false">IF('Raw Data'!AI46="",0,'Raw Data'!AI46)</f>
        <v>225</v>
      </c>
      <c r="AE32" s="12" t="n">
        <f aca="false">IF('Raw Data'!AJ46="",0,'Raw Data'!AJ46)</f>
        <v>225</v>
      </c>
      <c r="AF32" s="12" t="n">
        <f aca="false">IF('Raw Data'!AK46="",0,'Raw Data'!AK46)</f>
        <v>225</v>
      </c>
      <c r="AG32" s="12" t="n">
        <f aca="false">IF('Raw Data'!AL46="",0,'Raw Data'!AL46)</f>
        <v>225</v>
      </c>
      <c r="AH32" s="12" t="n">
        <f aca="false">IF('Raw Data'!AM46="",0,'Raw Data'!AM46)</f>
        <v>225</v>
      </c>
      <c r="AI32" s="12" t="n">
        <f aca="false">IF('Raw Data'!AN46="",0,'Raw Data'!AN46)</f>
        <v>225</v>
      </c>
      <c r="AJ32" s="12" t="n">
        <f aca="false">IF('Raw Data'!AO46="",0,'Raw Data'!AO46)</f>
        <v>225</v>
      </c>
      <c r="AK32" s="12" t="n">
        <f aca="false">IF('Raw Data'!AP46="",0,'Raw Data'!AP46)</f>
        <v>225</v>
      </c>
      <c r="AL32" s="12" t="n">
        <f aca="false">IF('Raw Data'!AQ46="",0,'Raw Data'!AQ46)</f>
        <v>225</v>
      </c>
      <c r="AM32" s="12" t="n">
        <f aca="false">IF('Raw Data'!AR46="",0,'Raw Data'!AR46)</f>
        <v>225</v>
      </c>
      <c r="AN32" s="12" t="n">
        <f aca="false">IF('Raw Data'!AS46="",0,'Raw Data'!AS46)</f>
        <v>0</v>
      </c>
      <c r="AO32" s="12" t="n">
        <f aca="false">IF('Raw Data'!AT46="",0,'Raw Data'!AT46)</f>
        <v>0</v>
      </c>
      <c r="AP32" s="12" t="n">
        <f aca="false">IF('Raw Data'!AU46="",0,'Raw Data'!AU46)</f>
        <v>0</v>
      </c>
      <c r="AQ32" s="12" t="n">
        <f aca="false">IF('Raw Data'!AV46="",0,'Raw Data'!AV46)</f>
        <v>0</v>
      </c>
      <c r="AR32" s="12" t="n">
        <f aca="false">IF('Raw Data'!AW46="",0,'Raw Data'!AW46)</f>
        <v>0</v>
      </c>
      <c r="AS32" s="12" t="n">
        <f aca="false">IF('Raw Data'!AX46="",0,'Raw Data'!AX46)</f>
        <v>0</v>
      </c>
      <c r="AT32" s="12" t="n">
        <f aca="false">IF('Raw Data'!AY46="",0,'Raw Data'!AY46)</f>
        <v>0</v>
      </c>
      <c r="AU32" s="12" t="n">
        <f aca="false">IF('Raw Data'!AZ46="",0,'Raw Data'!AZ46)</f>
        <v>0</v>
      </c>
      <c r="AV32" s="12" t="n">
        <f aca="false">IF('Raw Data'!BA46="",0,'Raw Data'!BA46)</f>
        <v>0</v>
      </c>
      <c r="AW32" s="12" t="n">
        <f aca="false">IF('Raw Data'!BB46="",0,'Raw Data'!BB46)</f>
        <v>0</v>
      </c>
      <c r="AX32" s="12" t="n">
        <f aca="false">IF('Raw Data'!BC46="",0,'Raw Data'!BC46)</f>
        <v>0</v>
      </c>
      <c r="AY32" s="12" t="n">
        <f aca="false">IF('Raw Data'!BD46="",0,'Raw Data'!BD46)</f>
        <v>0</v>
      </c>
      <c r="AZ32" s="12" t="n">
        <f aca="false">IF('Raw Data'!BE46="",0,'Raw Data'!BE46)</f>
        <v>0</v>
      </c>
      <c r="BA32" s="12" t="n">
        <f aca="false">IF('Raw Data'!BF46="",0,'Raw Data'!BF46)</f>
        <v>0</v>
      </c>
      <c r="BB32" s="12" t="n">
        <f aca="false">IF('Raw Data'!BG46="",0,'Raw Data'!BG46)</f>
        <v>0</v>
      </c>
      <c r="BC32" s="12" t="n">
        <f aca="false">IF('Raw Data'!BH46="",0,'Raw Data'!BH46)</f>
        <v>0</v>
      </c>
      <c r="BD32" s="12" t="n">
        <f aca="false">IF('Raw Data'!BI46="",0,'Raw Data'!BI46)</f>
        <v>0</v>
      </c>
      <c r="BE32" s="12" t="n">
        <f aca="false">IF('Raw Data'!BJ46="",0,'Raw Data'!BJ46)</f>
        <v>0</v>
      </c>
      <c r="BF32" s="12" t="n">
        <f aca="false">IF('Raw Data'!BK46="",0,'Raw Data'!BK46)</f>
        <v>0</v>
      </c>
      <c r="BG32" s="12" t="n">
        <f aca="false">IF('Raw Data'!BL46="",0,'Raw Data'!BL46)</f>
        <v>0</v>
      </c>
      <c r="BH32" s="12" t="n">
        <f aca="false">IF('Raw Data'!BM46="",0,'Raw Data'!BM46)</f>
        <v>0</v>
      </c>
      <c r="BI32" s="12" t="n">
        <f aca="false">IF('Raw Data'!BN46="",0,'Raw Data'!BN46)</f>
        <v>0</v>
      </c>
      <c r="BJ32" s="12" t="n">
        <f aca="false">IF('Raw Data'!BO46="",0,'Raw Data'!BO46)</f>
        <v>0</v>
      </c>
      <c r="BK32" s="12" t="n">
        <f aca="false">IF('Raw Data'!BP46="",0,'Raw Data'!BP46)</f>
        <v>0</v>
      </c>
      <c r="BL32" s="12" t="n">
        <f aca="false">IF('Raw Data'!BQ46="",0,'Raw Data'!BQ46)</f>
        <v>0</v>
      </c>
      <c r="BM32" s="12" t="n">
        <f aca="false">IF('Raw Data'!BR46="",0,'Raw Data'!BR46)</f>
        <v>0</v>
      </c>
      <c r="BN32" s="12" t="n">
        <f aca="false">IF('Raw Data'!BS46="",0,'Raw Data'!BS46)</f>
        <v>0</v>
      </c>
      <c r="BO32" s="21" t="b">
        <f aca="false">FALSE()</f>
        <v>0</v>
      </c>
    </row>
    <row r="33" customFormat="false" ht="15" hidden="false" customHeight="false" outlineLevel="0" collapsed="false">
      <c r="A33" s="20" t="str">
        <f aca="false">'Raw Data'!A47</f>
        <v>Local Account #37 from NC</v>
      </c>
      <c r="B33" s="12" t="n">
        <f aca="false">IF('Raw Data'!G47="",0,'Raw Data'!G47)</f>
        <v>0</v>
      </c>
      <c r="C33" s="12" t="n">
        <f aca="false">IF('Raw Data'!H47="",0,'Raw Data'!H47)</f>
        <v>0</v>
      </c>
      <c r="D33" s="12" t="n">
        <f aca="false">IF('Raw Data'!I47="",0,'Raw Data'!I47)</f>
        <v>0</v>
      </c>
      <c r="E33" s="12" t="n">
        <f aca="false">IF('Raw Data'!J47="",0,'Raw Data'!J47)</f>
        <v>0</v>
      </c>
      <c r="F33" s="12" t="n">
        <f aca="false">IF('Raw Data'!K47="",0,'Raw Data'!K47)</f>
        <v>0</v>
      </c>
      <c r="G33" s="12" t="n">
        <f aca="false">IF('Raw Data'!L47="",0,'Raw Data'!L47)</f>
        <v>0</v>
      </c>
      <c r="H33" s="12" t="n">
        <f aca="false">IF('Raw Data'!M47="",0,'Raw Data'!M47)</f>
        <v>0</v>
      </c>
      <c r="I33" s="12" t="n">
        <f aca="false">IF('Raw Data'!N47="",0,'Raw Data'!N47)</f>
        <v>0</v>
      </c>
      <c r="J33" s="12" t="n">
        <f aca="false">IF('Raw Data'!O47="",0,'Raw Data'!O47)</f>
        <v>0</v>
      </c>
      <c r="K33" s="12" t="n">
        <f aca="false">IF('Raw Data'!P47="",0,'Raw Data'!P47)</f>
        <v>0</v>
      </c>
      <c r="L33" s="12" t="n">
        <f aca="false">IF('Raw Data'!Q47="",0,'Raw Data'!Q47)</f>
        <v>0</v>
      </c>
      <c r="M33" s="12" t="n">
        <f aca="false">IF('Raw Data'!R47="",0,'Raw Data'!R47)</f>
        <v>0</v>
      </c>
      <c r="N33" s="12" t="n">
        <f aca="false">IF('Raw Data'!S47="",0,'Raw Data'!S47)</f>
        <v>0</v>
      </c>
      <c r="O33" s="12" t="n">
        <f aca="false">IF('Raw Data'!T47="",0,'Raw Data'!T47)</f>
        <v>0</v>
      </c>
      <c r="P33" s="12" t="n">
        <f aca="false">IF('Raw Data'!U47="",0,'Raw Data'!U47)</f>
        <v>0</v>
      </c>
      <c r="Q33" s="12" t="n">
        <f aca="false">IF('Raw Data'!V47="",0,'Raw Data'!V47)</f>
        <v>0</v>
      </c>
      <c r="R33" s="12" t="n">
        <f aca="false">IF('Raw Data'!W47="",0,'Raw Data'!W47)</f>
        <v>0</v>
      </c>
      <c r="S33" s="12" t="n">
        <f aca="false">IF('Raw Data'!X47="",0,'Raw Data'!X47)</f>
        <v>0</v>
      </c>
      <c r="T33" s="12" t="n">
        <f aca="false">IF('Raw Data'!Y47="",0,'Raw Data'!Y47)</f>
        <v>0</v>
      </c>
      <c r="U33" s="12" t="n">
        <f aca="false">IF('Raw Data'!Z47="",0,'Raw Data'!Z47)</f>
        <v>0</v>
      </c>
      <c r="V33" s="12" t="n">
        <f aca="false">IF('Raw Data'!AA47="",0,'Raw Data'!AA47)</f>
        <v>0</v>
      </c>
      <c r="W33" s="12" t="n">
        <f aca="false">IF('Raw Data'!AB47="",0,'Raw Data'!AB47)</f>
        <v>125</v>
      </c>
      <c r="X33" s="12" t="n">
        <f aca="false">IF('Raw Data'!AC47="",0,'Raw Data'!AC47)</f>
        <v>125</v>
      </c>
      <c r="Y33" s="12" t="n">
        <f aca="false">IF('Raw Data'!AD47="",0,'Raw Data'!AD47)</f>
        <v>125</v>
      </c>
      <c r="Z33" s="12" t="n">
        <f aca="false">IF('Raw Data'!AE47="",0,'Raw Data'!AE47)</f>
        <v>125</v>
      </c>
      <c r="AA33" s="12" t="n">
        <f aca="false">IF('Raw Data'!AF47="",0,'Raw Data'!AF47)</f>
        <v>125</v>
      </c>
      <c r="AB33" s="12" t="n">
        <f aca="false">IF('Raw Data'!AG47="",0,'Raw Data'!AG47)</f>
        <v>125</v>
      </c>
      <c r="AC33" s="12" t="n">
        <f aca="false">IF('Raw Data'!AH47="",0,'Raw Data'!AH47)</f>
        <v>125</v>
      </c>
      <c r="AD33" s="12" t="n">
        <f aca="false">IF('Raw Data'!AI47="",0,'Raw Data'!AI47)</f>
        <v>125</v>
      </c>
      <c r="AE33" s="12" t="n">
        <f aca="false">IF('Raw Data'!AJ47="",0,'Raw Data'!AJ47)</f>
        <v>125</v>
      </c>
      <c r="AF33" s="12" t="n">
        <f aca="false">IF('Raw Data'!AK47="",0,'Raw Data'!AK47)</f>
        <v>125</v>
      </c>
      <c r="AG33" s="12" t="n">
        <f aca="false">IF('Raw Data'!AL47="",0,'Raw Data'!AL47)</f>
        <v>125</v>
      </c>
      <c r="AH33" s="12" t="n">
        <f aca="false">IF('Raw Data'!AM47="",0,'Raw Data'!AM47)</f>
        <v>125</v>
      </c>
      <c r="AI33" s="12" t="n">
        <f aca="false">IF('Raw Data'!AN47="",0,'Raw Data'!AN47)</f>
        <v>166.666666666667</v>
      </c>
      <c r="AJ33" s="12" t="n">
        <f aca="false">IF('Raw Data'!AO47="",0,'Raw Data'!AO47)</f>
        <v>166.666666666667</v>
      </c>
      <c r="AK33" s="12" t="n">
        <f aca="false">IF('Raw Data'!AP47="",0,'Raw Data'!AP47)</f>
        <v>166.666666666667</v>
      </c>
      <c r="AL33" s="12" t="n">
        <f aca="false">IF('Raw Data'!AQ47="",0,'Raw Data'!AQ47)</f>
        <v>166.666666666667</v>
      </c>
      <c r="AM33" s="12" t="n">
        <f aca="false">IF('Raw Data'!AR47="",0,'Raw Data'!AR47)</f>
        <v>166.666666666667</v>
      </c>
      <c r="AN33" s="12" t="n">
        <f aca="false">IF('Raw Data'!AS47="",0,'Raw Data'!AS47)</f>
        <v>166.666666666667</v>
      </c>
      <c r="AO33" s="12" t="n">
        <f aca="false">IF('Raw Data'!AT47="",0,'Raw Data'!AT47)</f>
        <v>166.666666666667</v>
      </c>
      <c r="AP33" s="12" t="n">
        <f aca="false">IF('Raw Data'!AU47="",0,'Raw Data'!AU47)</f>
        <v>166.666666666667</v>
      </c>
      <c r="AQ33" s="12" t="n">
        <f aca="false">IF('Raw Data'!AV47="",0,'Raw Data'!AV47)</f>
        <v>166.666666666667</v>
      </c>
      <c r="AR33" s="12" t="n">
        <f aca="false">IF('Raw Data'!AW47="",0,'Raw Data'!AW47)</f>
        <v>166.666666666667</v>
      </c>
      <c r="AS33" s="12" t="n">
        <f aca="false">IF('Raw Data'!AX47="",0,'Raw Data'!AX47)</f>
        <v>166.666666666667</v>
      </c>
      <c r="AT33" s="12" t="n">
        <f aca="false">IF('Raw Data'!AY47="",0,'Raw Data'!AY47)</f>
        <v>166.666666666667</v>
      </c>
      <c r="AU33" s="12" t="n">
        <f aca="false">IF('Raw Data'!AZ47="",0,'Raw Data'!AZ47)</f>
        <v>8.33333333333333</v>
      </c>
      <c r="AV33" s="12" t="n">
        <f aca="false">IF('Raw Data'!BA47="",0,'Raw Data'!BA47)</f>
        <v>8.33333333333333</v>
      </c>
      <c r="AW33" s="12" t="n">
        <f aca="false">IF('Raw Data'!BB47="",0,'Raw Data'!BB47)</f>
        <v>8.33333333333333</v>
      </c>
      <c r="AX33" s="12" t="n">
        <f aca="false">IF('Raw Data'!BC47="",0,'Raw Data'!BC47)</f>
        <v>8.33333333333333</v>
      </c>
      <c r="AY33" s="12" t="n">
        <f aca="false">IF('Raw Data'!BD47="",0,'Raw Data'!BD47)</f>
        <v>8.33333333333333</v>
      </c>
      <c r="AZ33" s="12" t="n">
        <f aca="false">IF('Raw Data'!BE47="",0,'Raw Data'!BE47)</f>
        <v>8.33333333333333</v>
      </c>
      <c r="BA33" s="12" t="n">
        <f aca="false">IF('Raw Data'!BF47="",0,'Raw Data'!BF47)</f>
        <v>8.33333333333333</v>
      </c>
      <c r="BB33" s="12" t="n">
        <f aca="false">IF('Raw Data'!BG47="",0,'Raw Data'!BG47)</f>
        <v>8.33333333333333</v>
      </c>
      <c r="BC33" s="12" t="n">
        <f aca="false">IF('Raw Data'!BH47="",0,'Raw Data'!BH47)</f>
        <v>8.33333333333333</v>
      </c>
      <c r="BD33" s="12" t="n">
        <f aca="false">IF('Raw Data'!BI47="",0,'Raw Data'!BI47)</f>
        <v>8.33333333333333</v>
      </c>
      <c r="BE33" s="12" t="n">
        <f aca="false">IF('Raw Data'!BJ47="",0,'Raw Data'!BJ47)</f>
        <v>8.33333333333333</v>
      </c>
      <c r="BF33" s="12" t="n">
        <f aca="false">IF('Raw Data'!BK47="",0,'Raw Data'!BK47)</f>
        <v>8.33333333333333</v>
      </c>
      <c r="BG33" s="12" t="n">
        <f aca="false">IF('Raw Data'!BL47="",0,'Raw Data'!BL47)</f>
        <v>0</v>
      </c>
      <c r="BH33" s="12" t="n">
        <f aca="false">IF('Raw Data'!BM47="",0,'Raw Data'!BM47)</f>
        <v>0</v>
      </c>
      <c r="BI33" s="12" t="n">
        <f aca="false">IF('Raw Data'!BN47="",0,'Raw Data'!BN47)</f>
        <v>0</v>
      </c>
      <c r="BJ33" s="12" t="n">
        <f aca="false">IF('Raw Data'!BO47="",0,'Raw Data'!BO47)</f>
        <v>0</v>
      </c>
      <c r="BK33" s="12" t="n">
        <f aca="false">IF('Raw Data'!BP47="",0,'Raw Data'!BP47)</f>
        <v>0</v>
      </c>
      <c r="BL33" s="12" t="n">
        <f aca="false">IF('Raw Data'!BQ47="",0,'Raw Data'!BQ47)</f>
        <v>0</v>
      </c>
      <c r="BM33" s="12" t="n">
        <f aca="false">IF('Raw Data'!BR47="",0,'Raw Data'!BR47)</f>
        <v>0</v>
      </c>
      <c r="BN33" s="12" t="n">
        <f aca="false">IF('Raw Data'!BS47="",0,'Raw Data'!BS47)</f>
        <v>0</v>
      </c>
      <c r="BO33" s="21" t="b">
        <f aca="false">FALSE()</f>
        <v>0</v>
      </c>
    </row>
    <row r="34" customFormat="false" ht="15" hidden="false" customHeight="false" outlineLevel="0" collapsed="false">
      <c r="A34" s="20" t="str">
        <f aca="false">'Raw Data'!A48</f>
        <v>Local Account #38 from CA</v>
      </c>
      <c r="B34" s="12" t="n">
        <f aca="false">IF('Raw Data'!G48="",0,'Raw Data'!G48)</f>
        <v>1466.67533333333</v>
      </c>
      <c r="C34" s="12" t="n">
        <f aca="false">IF('Raw Data'!H48="",0,'Raw Data'!H48)</f>
        <v>1466.67533333333</v>
      </c>
      <c r="D34" s="12" t="n">
        <f aca="false">IF('Raw Data'!I48="",0,'Raw Data'!I48)</f>
        <v>1466.67533333333</v>
      </c>
      <c r="E34" s="12" t="n">
        <f aca="false">IF('Raw Data'!J48="",0,'Raw Data'!J48)</f>
        <v>1466.67533333333</v>
      </c>
      <c r="F34" s="12" t="n">
        <f aca="false">IF('Raw Data'!K48="",0,'Raw Data'!K48)</f>
        <v>1466.67533333333</v>
      </c>
      <c r="G34" s="12" t="n">
        <f aca="false">IF('Raw Data'!L48="",0,'Raw Data'!L48)</f>
        <v>1466.66666666667</v>
      </c>
      <c r="H34" s="12" t="n">
        <f aca="false">IF('Raw Data'!M48="",0,'Raw Data'!M48)</f>
        <v>1800.01666666667</v>
      </c>
      <c r="I34" s="12" t="n">
        <f aca="false">IF('Raw Data'!N48="",0,'Raw Data'!N48)</f>
        <v>1800.01666666667</v>
      </c>
      <c r="J34" s="12" t="n">
        <f aca="false">IF('Raw Data'!O48="",0,'Raw Data'!O48)</f>
        <v>1800.01666666667</v>
      </c>
      <c r="K34" s="12" t="n">
        <f aca="false">IF('Raw Data'!P48="",0,'Raw Data'!P48)</f>
        <v>1866.68666666667</v>
      </c>
      <c r="L34" s="12" t="n">
        <f aca="false">IF('Raw Data'!Q48="",0,'Raw Data'!Q48)</f>
        <v>1866.68666666667</v>
      </c>
      <c r="M34" s="12" t="n">
        <f aca="false">IF('Raw Data'!R48="",0,'Raw Data'!R48)</f>
        <v>1866.68666666667</v>
      </c>
      <c r="N34" s="12" t="n">
        <f aca="false">IF('Raw Data'!S48="",0,'Raw Data'!S48)</f>
        <v>1866.68666666667</v>
      </c>
      <c r="O34" s="12" t="n">
        <f aca="false">IF('Raw Data'!T48="",0,'Raw Data'!T48)</f>
        <v>1866.68666666667</v>
      </c>
      <c r="P34" s="12" t="n">
        <f aca="false">IF('Raw Data'!U48="",0,'Raw Data'!U48)</f>
        <v>1866.68666666667</v>
      </c>
      <c r="Q34" s="12" t="n">
        <f aca="false">IF('Raw Data'!V48="",0,'Raw Data'!V48)</f>
        <v>1800.01666666667</v>
      </c>
      <c r="R34" s="12" t="n">
        <f aca="false">IF('Raw Data'!W48="",0,'Raw Data'!W48)</f>
        <v>1800.01666666667</v>
      </c>
      <c r="S34" s="12" t="n">
        <f aca="false">IF('Raw Data'!X48="",0,'Raw Data'!X48)</f>
        <v>1866.66666666667</v>
      </c>
      <c r="T34" s="12" t="n">
        <f aca="false">IF('Raw Data'!Y48="",0,'Raw Data'!Y48)</f>
        <v>1866.66666666667</v>
      </c>
      <c r="U34" s="12" t="n">
        <f aca="false">IF('Raw Data'!Z48="",0,'Raw Data'!Z48)</f>
        <v>1866.66666666667</v>
      </c>
      <c r="V34" s="12" t="n">
        <f aca="false">IF('Raw Data'!AA48="",0,'Raw Data'!AA48)</f>
        <v>1866.66666666667</v>
      </c>
      <c r="W34" s="12" t="n">
        <f aca="false">IF('Raw Data'!AB48="",0,'Raw Data'!AB48)</f>
        <v>1866.66666666667</v>
      </c>
      <c r="X34" s="12" t="n">
        <f aca="false">IF('Raw Data'!AC48="",0,'Raw Data'!AC48)</f>
        <v>1866.66666666667</v>
      </c>
      <c r="Y34" s="12" t="n">
        <f aca="false">IF('Raw Data'!AD48="",0,'Raw Data'!AD48)</f>
        <v>2000.00666666667</v>
      </c>
      <c r="Z34" s="12" t="n">
        <f aca="false">IF('Raw Data'!AE48="",0,'Raw Data'!AE48)</f>
        <v>2000.00666666667</v>
      </c>
      <c r="AA34" s="12" t="n">
        <f aca="false">IF('Raw Data'!AF48="",0,'Raw Data'!AF48)</f>
        <v>2000.00666666667</v>
      </c>
      <c r="AB34" s="12" t="n">
        <f aca="false">IF('Raw Data'!AG48="",0,'Raw Data'!AG48)</f>
        <v>2000.00666666667</v>
      </c>
      <c r="AC34" s="12" t="n">
        <f aca="false">IF('Raw Data'!AH48="",0,'Raw Data'!AH48)</f>
        <v>2000.00666666667</v>
      </c>
      <c r="AD34" s="12" t="n">
        <f aca="false">IF('Raw Data'!AI48="",0,'Raw Data'!AI48)</f>
        <v>2000.00666666667</v>
      </c>
      <c r="AE34" s="12" t="n">
        <f aca="false">IF('Raw Data'!AJ48="",0,'Raw Data'!AJ48)</f>
        <v>2066.66666666667</v>
      </c>
      <c r="AF34" s="12" t="n">
        <f aca="false">IF('Raw Data'!AK48="",0,'Raw Data'!AK48)</f>
        <v>2066.66666666667</v>
      </c>
      <c r="AG34" s="12" t="n">
        <f aca="false">IF('Raw Data'!AL48="",0,'Raw Data'!AL48)</f>
        <v>2066.66666666667</v>
      </c>
      <c r="AH34" s="12" t="n">
        <f aca="false">IF('Raw Data'!AM48="",0,'Raw Data'!AM48)</f>
        <v>2066.66666666667</v>
      </c>
      <c r="AI34" s="12" t="n">
        <f aca="false">IF('Raw Data'!AN48="",0,'Raw Data'!AN48)</f>
        <v>2200.00666666667</v>
      </c>
      <c r="AJ34" s="12" t="n">
        <f aca="false">IF('Raw Data'!AO48="",0,'Raw Data'!AO48)</f>
        <v>2200.00666666667</v>
      </c>
      <c r="AK34" s="12" t="n">
        <f aca="false">IF('Raw Data'!AP48="",0,'Raw Data'!AP48)</f>
        <v>2200.00666666667</v>
      </c>
      <c r="AL34" s="12" t="n">
        <f aca="false">IF('Raw Data'!AQ48="",0,'Raw Data'!AQ48)</f>
        <v>2200.00666666667</v>
      </c>
      <c r="AM34" s="12" t="n">
        <f aca="false">IF('Raw Data'!AR48="",0,'Raw Data'!AR48)</f>
        <v>2467.00666666667</v>
      </c>
      <c r="AN34" s="12" t="n">
        <f aca="false">IF('Raw Data'!AS48="",0,'Raw Data'!AS48)</f>
        <v>2467.00666666667</v>
      </c>
      <c r="AO34" s="12" t="n">
        <f aca="false">IF('Raw Data'!AT48="",0,'Raw Data'!AT48)</f>
        <v>2467.00666666667</v>
      </c>
      <c r="AP34" s="12" t="n">
        <f aca="false">IF('Raw Data'!AU48="",0,'Raw Data'!AU48)</f>
        <v>2467.00666666667</v>
      </c>
      <c r="AQ34" s="12" t="n">
        <f aca="false">IF('Raw Data'!AV48="",0,'Raw Data'!AV48)</f>
        <v>2640</v>
      </c>
      <c r="AR34" s="12" t="n">
        <f aca="false">IF('Raw Data'!AW48="",0,'Raw Data'!AW48)</f>
        <v>2640</v>
      </c>
      <c r="AS34" s="12" t="n">
        <f aca="false">IF('Raw Data'!AX48="",0,'Raw Data'!AX48)</f>
        <v>2640</v>
      </c>
      <c r="AT34" s="12" t="n">
        <f aca="false">IF('Raw Data'!AY48="",0,'Raw Data'!AY48)</f>
        <v>2786.66666666667</v>
      </c>
      <c r="AU34" s="12" t="n">
        <f aca="false">IF('Raw Data'!AZ48="",0,'Raw Data'!AZ48)</f>
        <v>3080.00166666667</v>
      </c>
      <c r="AV34" s="12" t="n">
        <f aca="false">IF('Raw Data'!BA48="",0,'Raw Data'!BA48)</f>
        <v>3080.00166666667</v>
      </c>
      <c r="AW34" s="12" t="n">
        <f aca="false">IF('Raw Data'!BB48="",0,'Raw Data'!BB48)</f>
        <v>3080.00166666667</v>
      </c>
      <c r="AX34" s="12" t="n">
        <f aca="false">IF('Raw Data'!BC48="",0,'Raw Data'!BC48)</f>
        <v>3080.00166666667</v>
      </c>
      <c r="AY34" s="12" t="n">
        <f aca="false">IF('Raw Data'!BD48="",0,'Raw Data'!BD48)</f>
        <v>3080.00166666667</v>
      </c>
      <c r="AZ34" s="12" t="n">
        <f aca="false">IF('Raw Data'!BE48="",0,'Raw Data'!BE48)</f>
        <v>3080.00166666667</v>
      </c>
      <c r="BA34" s="12" t="n">
        <f aca="false">IF('Raw Data'!BF48="",0,'Raw Data'!BF48)</f>
        <v>3080.00166666667</v>
      </c>
      <c r="BB34" s="12" t="n">
        <f aca="false">IF('Raw Data'!BG48="",0,'Raw Data'!BG48)</f>
        <v>3080.00166666667</v>
      </c>
      <c r="BC34" s="12" t="n">
        <f aca="false">IF('Raw Data'!BH48="",0,'Raw Data'!BH48)</f>
        <v>3446.66666666667</v>
      </c>
      <c r="BD34" s="12" t="n">
        <f aca="false">IF('Raw Data'!BI48="",0,'Raw Data'!BI48)</f>
        <v>3446.66666666667</v>
      </c>
      <c r="BE34" s="12" t="n">
        <f aca="false">IF('Raw Data'!BJ48="",0,'Raw Data'!BJ48)</f>
        <v>4326.62666666667</v>
      </c>
      <c r="BF34" s="12" t="n">
        <f aca="false">IF('Raw Data'!BK48="",0,'Raw Data'!BK48)</f>
        <v>4326.62666666667</v>
      </c>
      <c r="BG34" s="12" t="n">
        <f aca="false">IF('Raw Data'!BL48="",0,'Raw Data'!BL48)</f>
        <v>4326.62666666667</v>
      </c>
      <c r="BH34" s="12" t="n">
        <f aca="false">IF('Raw Data'!BM48="",0,'Raw Data'!BM48)</f>
        <v>4619.94666666667</v>
      </c>
      <c r="BI34" s="12" t="n">
        <f aca="false">IF('Raw Data'!BN48="",0,'Raw Data'!BN48)</f>
        <v>4619.94666666667</v>
      </c>
      <c r="BJ34" s="12" t="n">
        <f aca="false">IF('Raw Data'!BO48="",0,'Raw Data'!BO48)</f>
        <v>4619.94666666667</v>
      </c>
      <c r="BK34" s="12" t="n">
        <f aca="false">IF('Raw Data'!BP48="",0,'Raw Data'!BP48)</f>
        <v>4619.94666666667</v>
      </c>
      <c r="BL34" s="12" t="n">
        <f aca="false">IF('Raw Data'!BQ48="",0,'Raw Data'!BQ48)</f>
        <v>5426.61333333333</v>
      </c>
      <c r="BM34" s="12" t="n">
        <f aca="false">IF('Raw Data'!BR48="",0,'Raw Data'!BR48)</f>
        <v>5426.61333333333</v>
      </c>
      <c r="BN34" s="12" t="n">
        <f aca="false">IF('Raw Data'!BS48="",0,'Raw Data'!BS48)</f>
        <v>5426.61333333333</v>
      </c>
      <c r="BO34" s="21" t="b">
        <f aca="false">FALSE()</f>
        <v>0</v>
      </c>
    </row>
    <row r="35" customFormat="false" ht="15" hidden="false" customHeight="false" outlineLevel="0" collapsed="false">
      <c r="A35" s="20" t="str">
        <f aca="false">'Raw Data'!A49</f>
        <v>Local Account #39 from CA</v>
      </c>
      <c r="B35" s="12" t="n">
        <f aca="false">IF('Raw Data'!G49="",0,'Raw Data'!G49)</f>
        <v>0</v>
      </c>
      <c r="C35" s="12" t="n">
        <f aca="false">IF('Raw Data'!H49="",0,'Raw Data'!H49)</f>
        <v>0</v>
      </c>
      <c r="D35" s="12" t="n">
        <f aca="false">IF('Raw Data'!I49="",0,'Raw Data'!I49)</f>
        <v>0</v>
      </c>
      <c r="E35" s="12" t="n">
        <f aca="false">IF('Raw Data'!J49="",0,'Raw Data'!J49)</f>
        <v>0</v>
      </c>
      <c r="F35" s="12" t="n">
        <f aca="false">IF('Raw Data'!K49="",0,'Raw Data'!K49)</f>
        <v>0</v>
      </c>
      <c r="G35" s="12" t="n">
        <f aca="false">IF('Raw Data'!L49="",0,'Raw Data'!L49)</f>
        <v>0</v>
      </c>
      <c r="H35" s="12" t="n">
        <f aca="false">IF('Raw Data'!M49="",0,'Raw Data'!M49)</f>
        <v>0</v>
      </c>
      <c r="I35" s="12" t="n">
        <f aca="false">IF('Raw Data'!N49="",0,'Raw Data'!N49)</f>
        <v>0</v>
      </c>
      <c r="J35" s="12" t="n">
        <f aca="false">IF('Raw Data'!O49="",0,'Raw Data'!O49)</f>
        <v>0</v>
      </c>
      <c r="K35" s="12" t="n">
        <f aca="false">IF('Raw Data'!P49="",0,'Raw Data'!P49)</f>
        <v>0</v>
      </c>
      <c r="L35" s="12" t="n">
        <f aca="false">IF('Raw Data'!Q49="",0,'Raw Data'!Q49)</f>
        <v>0</v>
      </c>
      <c r="M35" s="12" t="n">
        <f aca="false">IF('Raw Data'!R49="",0,'Raw Data'!R49)</f>
        <v>0</v>
      </c>
      <c r="N35" s="12" t="n">
        <f aca="false">IF('Raw Data'!S49="",0,'Raw Data'!S49)</f>
        <v>0</v>
      </c>
      <c r="O35" s="12" t="n">
        <f aca="false">IF('Raw Data'!T49="",0,'Raw Data'!T49)</f>
        <v>0</v>
      </c>
      <c r="P35" s="12" t="n">
        <f aca="false">IF('Raw Data'!U49="",0,'Raw Data'!U49)</f>
        <v>0</v>
      </c>
      <c r="Q35" s="12" t="n">
        <f aca="false">IF('Raw Data'!V49="",0,'Raw Data'!V49)</f>
        <v>0</v>
      </c>
      <c r="R35" s="12" t="n">
        <f aca="false">IF('Raw Data'!W49="",0,'Raw Data'!W49)</f>
        <v>0</v>
      </c>
      <c r="S35" s="12" t="n">
        <f aca="false">IF('Raw Data'!X49="",0,'Raw Data'!X49)</f>
        <v>0</v>
      </c>
      <c r="T35" s="12" t="n">
        <f aca="false">IF('Raw Data'!Y49="",0,'Raw Data'!Y49)</f>
        <v>0</v>
      </c>
      <c r="U35" s="12" t="n">
        <f aca="false">IF('Raw Data'!Z49="",0,'Raw Data'!Z49)</f>
        <v>0</v>
      </c>
      <c r="V35" s="12" t="n">
        <f aca="false">IF('Raw Data'!AA49="",0,'Raw Data'!AA49)</f>
        <v>0</v>
      </c>
      <c r="W35" s="12" t="n">
        <f aca="false">IF('Raw Data'!AB49="",0,'Raw Data'!AB49)</f>
        <v>0</v>
      </c>
      <c r="X35" s="12" t="n">
        <f aca="false">IF('Raw Data'!AC49="",0,'Raw Data'!AC49)</f>
        <v>0</v>
      </c>
      <c r="Y35" s="12" t="n">
        <f aca="false">IF('Raw Data'!AD49="",0,'Raw Data'!AD49)</f>
        <v>0</v>
      </c>
      <c r="Z35" s="12" t="n">
        <f aca="false">IF('Raw Data'!AE49="",0,'Raw Data'!AE49)</f>
        <v>0</v>
      </c>
      <c r="AA35" s="12" t="n">
        <f aca="false">IF('Raw Data'!AF49="",0,'Raw Data'!AF49)</f>
        <v>0</v>
      </c>
      <c r="AB35" s="12" t="n">
        <f aca="false">IF('Raw Data'!AG49="",0,'Raw Data'!AG49)</f>
        <v>0</v>
      </c>
      <c r="AC35" s="12" t="n">
        <f aca="false">IF('Raw Data'!AH49="",0,'Raw Data'!AH49)</f>
        <v>666.666666666667</v>
      </c>
      <c r="AD35" s="12" t="n">
        <f aca="false">IF('Raw Data'!AI49="",0,'Raw Data'!AI49)</f>
        <v>666.666666666667</v>
      </c>
      <c r="AE35" s="12" t="n">
        <f aca="false">IF('Raw Data'!AJ49="",0,'Raw Data'!AJ49)</f>
        <v>666.666666666667</v>
      </c>
      <c r="AF35" s="12" t="n">
        <f aca="false">IF('Raw Data'!AK49="",0,'Raw Data'!AK49)</f>
        <v>666.666666666667</v>
      </c>
      <c r="AG35" s="12" t="n">
        <f aca="false">IF('Raw Data'!AL49="",0,'Raw Data'!AL49)</f>
        <v>666.666666666667</v>
      </c>
      <c r="AH35" s="12" t="n">
        <f aca="false">IF('Raw Data'!AM49="",0,'Raw Data'!AM49)</f>
        <v>666.666666666667</v>
      </c>
      <c r="AI35" s="12" t="n">
        <f aca="false">IF('Raw Data'!AN49="",0,'Raw Data'!AN49)</f>
        <v>666.666666666667</v>
      </c>
      <c r="AJ35" s="12" t="n">
        <f aca="false">IF('Raw Data'!AO49="",0,'Raw Data'!AO49)</f>
        <v>666.666666666667</v>
      </c>
      <c r="AK35" s="12" t="n">
        <f aca="false">IF('Raw Data'!AP49="",0,'Raw Data'!AP49)</f>
        <v>666.666666666667</v>
      </c>
      <c r="AL35" s="12" t="n">
        <f aca="false">IF('Raw Data'!AQ49="",0,'Raw Data'!AQ49)</f>
        <v>666.666666666667</v>
      </c>
      <c r="AM35" s="12" t="n">
        <f aca="false">IF('Raw Data'!AR49="",0,'Raw Data'!AR49)</f>
        <v>666.666666666667</v>
      </c>
      <c r="AN35" s="12" t="n">
        <f aca="false">IF('Raw Data'!AS49="",0,'Raw Data'!AS49)</f>
        <v>666.666666666667</v>
      </c>
      <c r="AO35" s="12" t="n">
        <f aca="false">IF('Raw Data'!AT49="",0,'Raw Data'!AT49)</f>
        <v>0</v>
      </c>
      <c r="AP35" s="12" t="n">
        <f aca="false">IF('Raw Data'!AU49="",0,'Raw Data'!AU49)</f>
        <v>0</v>
      </c>
      <c r="AQ35" s="12" t="n">
        <f aca="false">IF('Raw Data'!AV49="",0,'Raw Data'!AV49)</f>
        <v>0</v>
      </c>
      <c r="AR35" s="12" t="n">
        <f aca="false">IF('Raw Data'!AW49="",0,'Raw Data'!AW49)</f>
        <v>0</v>
      </c>
      <c r="AS35" s="12" t="n">
        <f aca="false">IF('Raw Data'!AX49="",0,'Raw Data'!AX49)</f>
        <v>0</v>
      </c>
      <c r="AT35" s="12" t="n">
        <f aca="false">IF('Raw Data'!AY49="",0,'Raw Data'!AY49)</f>
        <v>0</v>
      </c>
      <c r="AU35" s="12" t="n">
        <f aca="false">IF('Raw Data'!AZ49="",0,'Raw Data'!AZ49)</f>
        <v>0</v>
      </c>
      <c r="AV35" s="12" t="n">
        <f aca="false">IF('Raw Data'!BA49="",0,'Raw Data'!BA49)</f>
        <v>0</v>
      </c>
      <c r="AW35" s="12" t="n">
        <f aca="false">IF('Raw Data'!BB49="",0,'Raw Data'!BB49)</f>
        <v>0</v>
      </c>
      <c r="AX35" s="12" t="n">
        <f aca="false">IF('Raw Data'!BC49="",0,'Raw Data'!BC49)</f>
        <v>0</v>
      </c>
      <c r="AY35" s="12" t="n">
        <f aca="false">IF('Raw Data'!BD49="",0,'Raw Data'!BD49)</f>
        <v>0</v>
      </c>
      <c r="AZ35" s="12" t="n">
        <f aca="false">IF('Raw Data'!BE49="",0,'Raw Data'!BE49)</f>
        <v>0</v>
      </c>
      <c r="BA35" s="12" t="n">
        <f aca="false">IF('Raw Data'!BF49="",0,'Raw Data'!BF49)</f>
        <v>0</v>
      </c>
      <c r="BB35" s="12" t="n">
        <f aca="false">IF('Raw Data'!BG49="",0,'Raw Data'!BG49)</f>
        <v>0</v>
      </c>
      <c r="BC35" s="12" t="n">
        <f aca="false">IF('Raw Data'!BH49="",0,'Raw Data'!BH49)</f>
        <v>0</v>
      </c>
      <c r="BD35" s="12" t="n">
        <f aca="false">IF('Raw Data'!BI49="",0,'Raw Data'!BI49)</f>
        <v>0</v>
      </c>
      <c r="BE35" s="12" t="n">
        <f aca="false">IF('Raw Data'!BJ49="",0,'Raw Data'!BJ49)</f>
        <v>0</v>
      </c>
      <c r="BF35" s="12" t="n">
        <f aca="false">IF('Raw Data'!BK49="",0,'Raw Data'!BK49)</f>
        <v>0</v>
      </c>
      <c r="BG35" s="12" t="n">
        <f aca="false">IF('Raw Data'!BL49="",0,'Raw Data'!BL49)</f>
        <v>0</v>
      </c>
      <c r="BH35" s="12" t="n">
        <f aca="false">IF('Raw Data'!BM49="",0,'Raw Data'!BM49)</f>
        <v>0</v>
      </c>
      <c r="BI35" s="12" t="n">
        <f aca="false">IF('Raw Data'!BN49="",0,'Raw Data'!BN49)</f>
        <v>0</v>
      </c>
      <c r="BJ35" s="12" t="n">
        <f aca="false">IF('Raw Data'!BO49="",0,'Raw Data'!BO49)</f>
        <v>0</v>
      </c>
      <c r="BK35" s="12" t="n">
        <f aca="false">IF('Raw Data'!BP49="",0,'Raw Data'!BP49)</f>
        <v>0</v>
      </c>
      <c r="BL35" s="12" t="n">
        <f aca="false">IF('Raw Data'!BQ49="",0,'Raw Data'!BQ49)</f>
        <v>0</v>
      </c>
      <c r="BM35" s="12" t="n">
        <f aca="false">IF('Raw Data'!BR49="",0,'Raw Data'!BR49)</f>
        <v>0</v>
      </c>
      <c r="BN35" s="12" t="n">
        <f aca="false">IF('Raw Data'!BS49="",0,'Raw Data'!BS49)</f>
        <v>0</v>
      </c>
      <c r="BO35" s="21" t="b">
        <f aca="false">FALSE()</f>
        <v>0</v>
      </c>
    </row>
    <row r="36" customFormat="false" ht="15" hidden="false" customHeight="false" outlineLevel="0" collapsed="false">
      <c r="A36" s="20" t="str">
        <f aca="false">'Raw Data'!A15</f>
        <v>Local Account #4 from CA</v>
      </c>
      <c r="B36" s="12" t="n">
        <f aca="false">IF('Raw Data'!G15="",0,'Raw Data'!G15)</f>
        <v>0</v>
      </c>
      <c r="C36" s="12" t="n">
        <f aca="false">IF('Raw Data'!H15="",0,'Raw Data'!H15)</f>
        <v>0</v>
      </c>
      <c r="D36" s="12" t="n">
        <f aca="false">IF('Raw Data'!I15="",0,'Raw Data'!I15)</f>
        <v>0</v>
      </c>
      <c r="E36" s="12" t="n">
        <f aca="false">IF('Raw Data'!J15="",0,'Raw Data'!J15)</f>
        <v>0</v>
      </c>
      <c r="F36" s="12" t="n">
        <f aca="false">IF('Raw Data'!K15="",0,'Raw Data'!K15)</f>
        <v>0</v>
      </c>
      <c r="G36" s="12" t="n">
        <f aca="false">IF('Raw Data'!L15="",0,'Raw Data'!L15)</f>
        <v>0</v>
      </c>
      <c r="H36" s="12" t="n">
        <f aca="false">IF('Raw Data'!M15="",0,'Raw Data'!M15)</f>
        <v>0</v>
      </c>
      <c r="I36" s="12" t="n">
        <f aca="false">IF('Raw Data'!N15="",0,'Raw Data'!N15)</f>
        <v>0</v>
      </c>
      <c r="J36" s="12" t="n">
        <f aca="false">IF('Raw Data'!O15="",0,'Raw Data'!O15)</f>
        <v>2608.69565217391</v>
      </c>
      <c r="K36" s="12" t="n">
        <f aca="false">IF('Raw Data'!P15="",0,'Raw Data'!P15)</f>
        <v>2608.69565217391</v>
      </c>
      <c r="L36" s="12" t="n">
        <f aca="false">IF('Raw Data'!Q15="",0,'Raw Data'!Q15)</f>
        <v>2658.69565217391</v>
      </c>
      <c r="M36" s="12" t="n">
        <f aca="false">IF('Raw Data'!R15="",0,'Raw Data'!R15)</f>
        <v>2658.69565217391</v>
      </c>
      <c r="N36" s="12" t="n">
        <f aca="false">IF('Raw Data'!S15="",0,'Raw Data'!S15)</f>
        <v>2658.69565217391</v>
      </c>
      <c r="O36" s="12" t="n">
        <f aca="false">IF('Raw Data'!T15="",0,'Raw Data'!T15)</f>
        <v>2658.69565217391</v>
      </c>
      <c r="P36" s="12" t="n">
        <f aca="false">IF('Raw Data'!U15="",0,'Raw Data'!U15)</f>
        <v>2658.69565217391</v>
      </c>
      <c r="Q36" s="12" t="n">
        <f aca="false">IF('Raw Data'!V15="",0,'Raw Data'!V15)</f>
        <v>2658.69565217391</v>
      </c>
      <c r="R36" s="12" t="n">
        <f aca="false">IF('Raw Data'!W15="",0,'Raw Data'!W15)</f>
        <v>2658.69565217391</v>
      </c>
      <c r="S36" s="12" t="n">
        <f aca="false">IF('Raw Data'!X15="",0,'Raw Data'!X15)</f>
        <v>2658.69565217391</v>
      </c>
      <c r="T36" s="12" t="n">
        <f aca="false">IF('Raw Data'!Y15="",0,'Raw Data'!Y15)</f>
        <v>2658.69565217391</v>
      </c>
      <c r="U36" s="12" t="n">
        <f aca="false">IF('Raw Data'!Z15="",0,'Raw Data'!Z15)</f>
        <v>2658.69565217391</v>
      </c>
      <c r="V36" s="12" t="n">
        <f aca="false">IF('Raw Data'!AA15="",0,'Raw Data'!AA15)</f>
        <v>2550</v>
      </c>
      <c r="W36" s="12" t="n">
        <f aca="false">IF('Raw Data'!AB15="",0,'Raw Data'!AB15)</f>
        <v>2550</v>
      </c>
      <c r="X36" s="12" t="n">
        <f aca="false">IF('Raw Data'!AC15="",0,'Raw Data'!AC15)</f>
        <v>2550</v>
      </c>
      <c r="Y36" s="12" t="n">
        <f aca="false">IF('Raw Data'!AD15="",0,'Raw Data'!AD15)</f>
        <v>2550</v>
      </c>
      <c r="Z36" s="12" t="n">
        <f aca="false">IF('Raw Data'!AE15="",0,'Raw Data'!AE15)</f>
        <v>2550</v>
      </c>
      <c r="AA36" s="12" t="n">
        <f aca="false">IF('Raw Data'!AF15="",0,'Raw Data'!AF15)</f>
        <v>2550</v>
      </c>
      <c r="AB36" s="12" t="n">
        <f aca="false">IF('Raw Data'!AG15="",0,'Raw Data'!AG15)</f>
        <v>2550</v>
      </c>
      <c r="AC36" s="12" t="n">
        <f aca="false">IF('Raw Data'!AH15="",0,'Raw Data'!AH15)</f>
        <v>2550</v>
      </c>
      <c r="AD36" s="12" t="n">
        <f aca="false">IF('Raw Data'!AI15="",0,'Raw Data'!AI15)</f>
        <v>2550</v>
      </c>
      <c r="AE36" s="12" t="n">
        <f aca="false">IF('Raw Data'!AJ15="",0,'Raw Data'!AJ15)</f>
        <v>2550</v>
      </c>
      <c r="AF36" s="12" t="n">
        <f aca="false">IF('Raw Data'!AK15="",0,'Raw Data'!AK15)</f>
        <v>2550</v>
      </c>
      <c r="AG36" s="12" t="n">
        <f aca="false">IF('Raw Data'!AL15="",0,'Raw Data'!AL15)</f>
        <v>2550</v>
      </c>
      <c r="AH36" s="12" t="n">
        <f aca="false">IF('Raw Data'!AM15="",0,'Raw Data'!AM15)</f>
        <v>2987</v>
      </c>
      <c r="AI36" s="12" t="n">
        <f aca="false">IF('Raw Data'!AN15="",0,'Raw Data'!AN15)</f>
        <v>2987</v>
      </c>
      <c r="AJ36" s="12" t="n">
        <f aca="false">IF('Raw Data'!AO15="",0,'Raw Data'!AO15)</f>
        <v>2987</v>
      </c>
      <c r="AK36" s="12" t="n">
        <f aca="false">IF('Raw Data'!AP15="",0,'Raw Data'!AP15)</f>
        <v>2987</v>
      </c>
      <c r="AL36" s="12" t="n">
        <f aca="false">IF('Raw Data'!AQ15="",0,'Raw Data'!AQ15)</f>
        <v>2987</v>
      </c>
      <c r="AM36" s="12" t="n">
        <f aca="false">IF('Raw Data'!AR15="",0,'Raw Data'!AR15)</f>
        <v>2987</v>
      </c>
      <c r="AN36" s="12" t="n">
        <f aca="false">IF('Raw Data'!AS15="",0,'Raw Data'!AS15)</f>
        <v>2987</v>
      </c>
      <c r="AO36" s="12" t="n">
        <f aca="false">IF('Raw Data'!AT15="",0,'Raw Data'!AT15)</f>
        <v>2987</v>
      </c>
      <c r="AP36" s="12" t="n">
        <f aca="false">IF('Raw Data'!AU15="",0,'Raw Data'!AU15)</f>
        <v>2987</v>
      </c>
      <c r="AQ36" s="12" t="n">
        <f aca="false">IF('Raw Data'!AV15="",0,'Raw Data'!AV15)</f>
        <v>2987</v>
      </c>
      <c r="AR36" s="12" t="n">
        <f aca="false">IF('Raw Data'!AW15="",0,'Raw Data'!AW15)</f>
        <v>2987</v>
      </c>
      <c r="AS36" s="12" t="n">
        <f aca="false">IF('Raw Data'!AX15="",0,'Raw Data'!AX15)</f>
        <v>2987</v>
      </c>
      <c r="AT36" s="12" t="n">
        <f aca="false">IF('Raw Data'!AY15="",0,'Raw Data'!AY15)</f>
        <v>3926.875</v>
      </c>
      <c r="AU36" s="12" t="n">
        <f aca="false">IF('Raw Data'!AZ15="",0,'Raw Data'!AZ15)</f>
        <v>3926.875</v>
      </c>
      <c r="AV36" s="12" t="n">
        <f aca="false">IF('Raw Data'!BA15="",0,'Raw Data'!BA15)</f>
        <v>3926.875</v>
      </c>
      <c r="AW36" s="12" t="n">
        <f aca="false">IF('Raw Data'!BB15="",0,'Raw Data'!BB15)</f>
        <v>3926.875</v>
      </c>
      <c r="AX36" s="12" t="n">
        <f aca="false">IF('Raw Data'!BC15="",0,'Raw Data'!BC15)</f>
        <v>3926.875</v>
      </c>
      <c r="AY36" s="12" t="n">
        <f aca="false">IF('Raw Data'!BD15="",0,'Raw Data'!BD15)</f>
        <v>3926.875</v>
      </c>
      <c r="AZ36" s="12" t="n">
        <f aca="false">IF('Raw Data'!BE15="",0,'Raw Data'!BE15)</f>
        <v>3926.875</v>
      </c>
      <c r="BA36" s="12" t="n">
        <f aca="false">IF('Raw Data'!BF15="",0,'Raw Data'!BF15)</f>
        <v>4132.875</v>
      </c>
      <c r="BB36" s="12" t="n">
        <f aca="false">IF('Raw Data'!BG15="",0,'Raw Data'!BG15)</f>
        <v>4132.875</v>
      </c>
      <c r="BC36" s="12" t="n">
        <f aca="false">IF('Raw Data'!BH15="",0,'Raw Data'!BH15)</f>
        <v>4132.875</v>
      </c>
      <c r="BD36" s="12" t="n">
        <f aca="false">IF('Raw Data'!BI15="",0,'Raw Data'!BI15)</f>
        <v>5729.375</v>
      </c>
      <c r="BE36" s="12" t="n">
        <f aca="false">IF('Raw Data'!BJ15="",0,'Raw Data'!BJ15)</f>
        <v>5729.375</v>
      </c>
      <c r="BF36" s="12" t="n">
        <f aca="false">IF('Raw Data'!BK15="",0,'Raw Data'!BK15)</f>
        <v>5613.5</v>
      </c>
      <c r="BG36" s="12" t="n">
        <f aca="false">IF('Raw Data'!BL15="",0,'Raw Data'!BL15)</f>
        <v>5613.5</v>
      </c>
      <c r="BH36" s="12" t="n">
        <f aca="false">IF('Raw Data'!BM15="",0,'Raw Data'!BM15)</f>
        <v>5613.5</v>
      </c>
      <c r="BI36" s="12" t="n">
        <f aca="false">IF('Raw Data'!BN15="",0,'Raw Data'!BN15)</f>
        <v>5613.5</v>
      </c>
      <c r="BJ36" s="12" t="n">
        <f aca="false">IF('Raw Data'!BO15="",0,'Raw Data'!BO15)</f>
        <v>5613.5</v>
      </c>
      <c r="BK36" s="12" t="n">
        <f aca="false">IF('Raw Data'!BP15="",0,'Raw Data'!BP15)</f>
        <v>5613.5</v>
      </c>
      <c r="BL36" s="12" t="n">
        <f aca="false">IF('Raw Data'!BQ15="",0,'Raw Data'!BQ15)</f>
        <v>5613.5</v>
      </c>
      <c r="BM36" s="12" t="n">
        <f aca="false">IF('Raw Data'!BR15="",0,'Raw Data'!BR15)</f>
        <v>5613.5</v>
      </c>
      <c r="BN36" s="12" t="n">
        <f aca="false">IF('Raw Data'!BS15="",0,'Raw Data'!BS15)</f>
        <v>5613.5</v>
      </c>
      <c r="BO36" s="21" t="b">
        <f aca="false">FALSE()</f>
        <v>0</v>
      </c>
    </row>
    <row r="37" customFormat="false" ht="15" hidden="false" customHeight="false" outlineLevel="0" collapsed="false">
      <c r="A37" s="20" t="str">
        <f aca="false">'Raw Data'!A50</f>
        <v>Local Account #40 from OH</v>
      </c>
      <c r="B37" s="12" t="n">
        <f aca="false">IF('Raw Data'!G50="",0,'Raw Data'!G50)</f>
        <v>0</v>
      </c>
      <c r="C37" s="12" t="n">
        <f aca="false">IF('Raw Data'!H50="",0,'Raw Data'!H50)</f>
        <v>0</v>
      </c>
      <c r="D37" s="12" t="n">
        <f aca="false">IF('Raw Data'!I50="",0,'Raw Data'!I50)</f>
        <v>0</v>
      </c>
      <c r="E37" s="12" t="n">
        <f aca="false">IF('Raw Data'!J50="",0,'Raw Data'!J50)</f>
        <v>0</v>
      </c>
      <c r="F37" s="12" t="n">
        <f aca="false">IF('Raw Data'!K50="",0,'Raw Data'!K50)</f>
        <v>0</v>
      </c>
      <c r="G37" s="12" t="n">
        <f aca="false">IF('Raw Data'!L50="",0,'Raw Data'!L50)</f>
        <v>0</v>
      </c>
      <c r="H37" s="12" t="n">
        <f aca="false">IF('Raw Data'!M50="",0,'Raw Data'!M50)</f>
        <v>0</v>
      </c>
      <c r="I37" s="12" t="n">
        <f aca="false">IF('Raw Data'!N50="",0,'Raw Data'!N50)</f>
        <v>0</v>
      </c>
      <c r="J37" s="12" t="n">
        <f aca="false">IF('Raw Data'!O50="",0,'Raw Data'!O50)</f>
        <v>0</v>
      </c>
      <c r="K37" s="12" t="n">
        <f aca="false">IF('Raw Data'!P50="",0,'Raw Data'!P50)</f>
        <v>0</v>
      </c>
      <c r="L37" s="12" t="n">
        <f aca="false">IF('Raw Data'!Q50="",0,'Raw Data'!Q50)</f>
        <v>0</v>
      </c>
      <c r="M37" s="12" t="n">
        <f aca="false">IF('Raw Data'!R50="",0,'Raw Data'!R50)</f>
        <v>0</v>
      </c>
      <c r="N37" s="12" t="n">
        <f aca="false">IF('Raw Data'!S50="",0,'Raw Data'!S50)</f>
        <v>0</v>
      </c>
      <c r="O37" s="12" t="n">
        <f aca="false">IF('Raw Data'!T50="",0,'Raw Data'!T50)</f>
        <v>0</v>
      </c>
      <c r="P37" s="12" t="n">
        <f aca="false">IF('Raw Data'!U50="",0,'Raw Data'!U50)</f>
        <v>0</v>
      </c>
      <c r="Q37" s="12" t="n">
        <f aca="false">IF('Raw Data'!V50="",0,'Raw Data'!V50)</f>
        <v>0</v>
      </c>
      <c r="R37" s="12" t="n">
        <f aca="false">IF('Raw Data'!W50="",0,'Raw Data'!W50)</f>
        <v>0</v>
      </c>
      <c r="S37" s="12" t="n">
        <f aca="false">IF('Raw Data'!X50="",0,'Raw Data'!X50)</f>
        <v>0</v>
      </c>
      <c r="T37" s="12" t="n">
        <f aca="false">IF('Raw Data'!Y50="",0,'Raw Data'!Y50)</f>
        <v>0</v>
      </c>
      <c r="U37" s="12" t="n">
        <f aca="false">IF('Raw Data'!Z50="",0,'Raw Data'!Z50)</f>
        <v>0</v>
      </c>
      <c r="V37" s="12" t="n">
        <f aca="false">IF('Raw Data'!AA50="",0,'Raw Data'!AA50)</f>
        <v>0</v>
      </c>
      <c r="W37" s="12" t="n">
        <f aca="false">IF('Raw Data'!AB50="",0,'Raw Data'!AB50)</f>
        <v>0</v>
      </c>
      <c r="X37" s="12" t="n">
        <f aca="false">IF('Raw Data'!AC50="",0,'Raw Data'!AC50)</f>
        <v>0</v>
      </c>
      <c r="Y37" s="12" t="n">
        <f aca="false">IF('Raw Data'!AD50="",0,'Raw Data'!AD50)</f>
        <v>0</v>
      </c>
      <c r="Z37" s="12" t="n">
        <f aca="false">IF('Raw Data'!AE50="",0,'Raw Data'!AE50)</f>
        <v>0</v>
      </c>
      <c r="AA37" s="12" t="n">
        <f aca="false">IF('Raw Data'!AF50="",0,'Raw Data'!AF50)</f>
        <v>0</v>
      </c>
      <c r="AB37" s="12" t="n">
        <f aca="false">IF('Raw Data'!AG50="",0,'Raw Data'!AG50)</f>
        <v>0</v>
      </c>
      <c r="AC37" s="12" t="n">
        <f aca="false">IF('Raw Data'!AH50="",0,'Raw Data'!AH50)</f>
        <v>0</v>
      </c>
      <c r="AD37" s="12" t="n">
        <f aca="false">IF('Raw Data'!AI50="",0,'Raw Data'!AI50)</f>
        <v>0</v>
      </c>
      <c r="AE37" s="12" t="n">
        <f aca="false">IF('Raw Data'!AJ50="",0,'Raw Data'!AJ50)</f>
        <v>883.333333333333</v>
      </c>
      <c r="AF37" s="12" t="n">
        <f aca="false">IF('Raw Data'!AK50="",0,'Raw Data'!AK50)</f>
        <v>883.333333333333</v>
      </c>
      <c r="AG37" s="12" t="n">
        <f aca="false">IF('Raw Data'!AL50="",0,'Raw Data'!AL50)</f>
        <v>883.333333333333</v>
      </c>
      <c r="AH37" s="12" t="n">
        <f aca="false">IF('Raw Data'!AM50="",0,'Raw Data'!AM50)</f>
        <v>883.333333333333</v>
      </c>
      <c r="AI37" s="12" t="n">
        <f aca="false">IF('Raw Data'!AN50="",0,'Raw Data'!AN50)</f>
        <v>1195.83208333333</v>
      </c>
      <c r="AJ37" s="12" t="n">
        <f aca="false">IF('Raw Data'!AO50="",0,'Raw Data'!AO50)</f>
        <v>1195.83208333333</v>
      </c>
      <c r="AK37" s="12" t="n">
        <f aca="false">IF('Raw Data'!AP50="",0,'Raw Data'!AP50)</f>
        <v>1293.05041666667</v>
      </c>
      <c r="AL37" s="12" t="n">
        <f aca="false">IF('Raw Data'!AQ50="",0,'Raw Data'!AQ50)</f>
        <v>1993.02241666667</v>
      </c>
      <c r="AM37" s="12" t="n">
        <f aca="false">IF('Raw Data'!AR50="",0,'Raw Data'!AR50)</f>
        <v>2300.30991666667</v>
      </c>
      <c r="AN37" s="12" t="n">
        <f aca="false">IF('Raw Data'!AS50="",0,'Raw Data'!AS50)</f>
        <v>2300.30991666667</v>
      </c>
      <c r="AO37" s="12" t="n">
        <f aca="false">IF('Raw Data'!AT50="",0,'Raw Data'!AT50)</f>
        <v>2300.30991666667</v>
      </c>
      <c r="AP37" s="12" t="n">
        <f aca="false">IF('Raw Data'!AU50="",0,'Raw Data'!AU50)</f>
        <v>2300.30991666667</v>
      </c>
      <c r="AQ37" s="12" t="n">
        <f aca="false">IF('Raw Data'!AV50="",0,'Raw Data'!AV50)</f>
        <v>833.333333333333</v>
      </c>
      <c r="AR37" s="12" t="n">
        <f aca="false">IF('Raw Data'!AW50="",0,'Raw Data'!AW50)</f>
        <v>833.333333333333</v>
      </c>
      <c r="AS37" s="12" t="n">
        <f aca="false">IF('Raw Data'!AX50="",0,'Raw Data'!AX50)</f>
        <v>2970.84233333333</v>
      </c>
      <c r="AT37" s="12" t="n">
        <f aca="false">IF('Raw Data'!AY50="",0,'Raw Data'!AY50)</f>
        <v>2970.84233333333</v>
      </c>
      <c r="AU37" s="12" t="n">
        <f aca="false">IF('Raw Data'!AZ50="",0,'Raw Data'!AZ50)</f>
        <v>2970.84233333333</v>
      </c>
      <c r="AV37" s="12" t="n">
        <f aca="false">IF('Raw Data'!BA50="",0,'Raw Data'!BA50)</f>
        <v>2970.84233333333</v>
      </c>
      <c r="AW37" s="12" t="n">
        <f aca="false">IF('Raw Data'!BB50="",0,'Raw Data'!BB50)</f>
        <v>2970.84233333333</v>
      </c>
      <c r="AX37" s="12" t="n">
        <f aca="false">IF('Raw Data'!BC50="",0,'Raw Data'!BC50)</f>
        <v>2970.84233333333</v>
      </c>
      <c r="AY37" s="12" t="n">
        <f aca="false">IF('Raw Data'!BD50="",0,'Raw Data'!BD50)</f>
        <v>2970.84233333333</v>
      </c>
      <c r="AZ37" s="12" t="n">
        <f aca="false">IF('Raw Data'!BE50="",0,'Raw Data'!BE50)</f>
        <v>2970.84233333333</v>
      </c>
      <c r="BA37" s="12" t="n">
        <f aca="false">IF('Raw Data'!BF50="",0,'Raw Data'!BF50)</f>
        <v>2970.84233333333</v>
      </c>
      <c r="BB37" s="12" t="n">
        <f aca="false">IF('Raw Data'!BG50="",0,'Raw Data'!BG50)</f>
        <v>2970.84233333333</v>
      </c>
      <c r="BC37" s="12" t="n">
        <f aca="false">IF('Raw Data'!BH50="",0,'Raw Data'!BH50)</f>
        <v>0</v>
      </c>
      <c r="BD37" s="12" t="n">
        <f aca="false">IF('Raw Data'!BI50="",0,'Raw Data'!BI50)</f>
        <v>0</v>
      </c>
      <c r="BE37" s="12" t="n">
        <f aca="false">IF('Raw Data'!BJ50="",0,'Raw Data'!BJ50)</f>
        <v>0</v>
      </c>
      <c r="BF37" s="12" t="n">
        <f aca="false">IF('Raw Data'!BK50="",0,'Raw Data'!BK50)</f>
        <v>0</v>
      </c>
      <c r="BG37" s="12" t="n">
        <f aca="false">IF('Raw Data'!BL50="",0,'Raw Data'!BL50)</f>
        <v>0</v>
      </c>
      <c r="BH37" s="12" t="n">
        <f aca="false">IF('Raw Data'!BM50="",0,'Raw Data'!BM50)</f>
        <v>0</v>
      </c>
      <c r="BI37" s="12" t="n">
        <f aca="false">IF('Raw Data'!BN50="",0,'Raw Data'!BN50)</f>
        <v>0</v>
      </c>
      <c r="BJ37" s="12" t="n">
        <f aca="false">IF('Raw Data'!BO50="",0,'Raw Data'!BO50)</f>
        <v>0</v>
      </c>
      <c r="BK37" s="12" t="n">
        <f aca="false">IF('Raw Data'!BP50="",0,'Raw Data'!BP50)</f>
        <v>0</v>
      </c>
      <c r="BL37" s="12" t="n">
        <f aca="false">IF('Raw Data'!BQ50="",0,'Raw Data'!BQ50)</f>
        <v>0</v>
      </c>
      <c r="BM37" s="12" t="n">
        <f aca="false">IF('Raw Data'!BR50="",0,'Raw Data'!BR50)</f>
        <v>0</v>
      </c>
      <c r="BN37" s="12" t="n">
        <f aca="false">IF('Raw Data'!BS50="",0,'Raw Data'!BS50)</f>
        <v>0</v>
      </c>
      <c r="BO37" s="21" t="b">
        <f aca="false">FALSE()</f>
        <v>0</v>
      </c>
    </row>
    <row r="38" customFormat="false" ht="15" hidden="false" customHeight="false" outlineLevel="0" collapsed="false">
      <c r="A38" s="20" t="str">
        <f aca="false">'Raw Data'!A51</f>
        <v>Local Account #41 from CA</v>
      </c>
      <c r="B38" s="12" t="n">
        <f aca="false">IF('Raw Data'!G51="",0,'Raw Data'!G51)</f>
        <v>2108.33333333333</v>
      </c>
      <c r="C38" s="12" t="n">
        <f aca="false">IF('Raw Data'!H51="",0,'Raw Data'!H51)</f>
        <v>2941.6675</v>
      </c>
      <c r="D38" s="12" t="n">
        <f aca="false">IF('Raw Data'!I51="",0,'Raw Data'!I51)</f>
        <v>2941.6675</v>
      </c>
      <c r="E38" s="12" t="n">
        <f aca="false">IF('Raw Data'!J51="",0,'Raw Data'!J51)</f>
        <v>2941.6675</v>
      </c>
      <c r="F38" s="12" t="n">
        <f aca="false">IF('Raw Data'!K51="",0,'Raw Data'!K51)</f>
        <v>2941.6675</v>
      </c>
      <c r="G38" s="12" t="n">
        <f aca="false">IF('Raw Data'!L51="",0,'Raw Data'!L51)</f>
        <v>2941.6675</v>
      </c>
      <c r="H38" s="12" t="n">
        <f aca="false">IF('Raw Data'!M51="",0,'Raw Data'!M51)</f>
        <v>2941.6675</v>
      </c>
      <c r="I38" s="12" t="n">
        <f aca="false">IF('Raw Data'!N51="",0,'Raw Data'!N51)</f>
        <v>2941.6675</v>
      </c>
      <c r="J38" s="12" t="n">
        <f aca="false">IF('Raw Data'!O51="",0,'Raw Data'!O51)</f>
        <v>2941.6675</v>
      </c>
      <c r="K38" s="12" t="n">
        <f aca="false">IF('Raw Data'!P51="",0,'Raw Data'!P51)</f>
        <v>2941.6675</v>
      </c>
      <c r="L38" s="12" t="n">
        <f aca="false">IF('Raw Data'!Q51="",0,'Raw Data'!Q51)</f>
        <v>2941.6675</v>
      </c>
      <c r="M38" s="12" t="n">
        <f aca="false">IF('Raw Data'!R51="",0,'Raw Data'!R51)</f>
        <v>2941.6675</v>
      </c>
      <c r="N38" s="12" t="n">
        <f aca="false">IF('Raw Data'!S51="",0,'Raw Data'!S51)</f>
        <v>2941.6675</v>
      </c>
      <c r="O38" s="12" t="n">
        <f aca="false">IF('Raw Data'!T51="",0,'Raw Data'!T51)</f>
        <v>2941.6675</v>
      </c>
      <c r="P38" s="12" t="n">
        <f aca="false">IF('Raw Data'!U51="",0,'Raw Data'!U51)</f>
        <v>2941.6675</v>
      </c>
      <c r="Q38" s="12" t="n">
        <f aca="false">IF('Raw Data'!V51="",0,'Raw Data'!V51)</f>
        <v>2941.6675</v>
      </c>
      <c r="R38" s="12" t="n">
        <f aca="false">IF('Raw Data'!W51="",0,'Raw Data'!W51)</f>
        <v>3216.6775</v>
      </c>
      <c r="S38" s="12" t="n">
        <f aca="false">IF('Raw Data'!X51="",0,'Raw Data'!X51)</f>
        <v>3216.6775</v>
      </c>
      <c r="T38" s="12" t="n">
        <f aca="false">IF('Raw Data'!Y51="",0,'Raw Data'!Y51)</f>
        <v>3216.6775</v>
      </c>
      <c r="U38" s="12" t="n">
        <f aca="false">IF('Raw Data'!Z51="",0,'Raw Data'!Z51)</f>
        <v>3216.6775</v>
      </c>
      <c r="V38" s="12" t="n">
        <f aca="false">IF('Raw Data'!AA51="",0,'Raw Data'!AA51)</f>
        <v>3216.6775</v>
      </c>
      <c r="W38" s="12" t="n">
        <f aca="false">IF('Raw Data'!AB51="",0,'Raw Data'!AB51)</f>
        <v>3216.6775</v>
      </c>
      <c r="X38" s="12" t="n">
        <f aca="false">IF('Raw Data'!AC51="",0,'Raw Data'!AC51)</f>
        <v>3216.6775</v>
      </c>
      <c r="Y38" s="12" t="n">
        <f aca="false">IF('Raw Data'!AD51="",0,'Raw Data'!AD51)</f>
        <v>3216.6775</v>
      </c>
      <c r="Z38" s="12" t="n">
        <f aca="false">IF('Raw Data'!AE51="",0,'Raw Data'!AE51)</f>
        <v>3216.6775</v>
      </c>
      <c r="AA38" s="12" t="n">
        <f aca="false">IF('Raw Data'!AF51="",0,'Raw Data'!AF51)</f>
        <v>2383.33333333333</v>
      </c>
      <c r="AB38" s="12" t="n">
        <f aca="false">IF('Raw Data'!AG51="",0,'Raw Data'!AG51)</f>
        <v>2383.33333333333</v>
      </c>
      <c r="AC38" s="12" t="n">
        <f aca="false">IF('Raw Data'!AH51="",0,'Raw Data'!AH51)</f>
        <v>2383.33333333333</v>
      </c>
      <c r="AD38" s="12" t="n">
        <f aca="false">IF('Raw Data'!AI51="",0,'Raw Data'!AI51)</f>
        <v>2383.33333333333</v>
      </c>
      <c r="AE38" s="12" t="n">
        <f aca="false">IF('Raw Data'!AJ51="",0,'Raw Data'!AJ51)</f>
        <v>2383.33333333333</v>
      </c>
      <c r="AF38" s="12" t="n">
        <f aca="false">IF('Raw Data'!AK51="",0,'Raw Data'!AK51)</f>
        <v>2383.33333333333</v>
      </c>
      <c r="AG38" s="12" t="n">
        <f aca="false">IF('Raw Data'!AL51="",0,'Raw Data'!AL51)</f>
        <v>2383.33333333333</v>
      </c>
      <c r="AH38" s="12" t="n">
        <f aca="false">IF('Raw Data'!AM51="",0,'Raw Data'!AM51)</f>
        <v>2383.33333333333</v>
      </c>
      <c r="AI38" s="12" t="n">
        <f aca="false">IF('Raw Data'!AN51="",0,'Raw Data'!AN51)</f>
        <v>2383.33333333333</v>
      </c>
      <c r="AJ38" s="12" t="n">
        <f aca="false">IF('Raw Data'!AO51="",0,'Raw Data'!AO51)</f>
        <v>2383.33333333333</v>
      </c>
      <c r="AK38" s="12" t="n">
        <f aca="false">IF('Raw Data'!AP51="",0,'Raw Data'!AP51)</f>
        <v>2383.33333333333</v>
      </c>
      <c r="AL38" s="12" t="n">
        <f aca="false">IF('Raw Data'!AQ51="",0,'Raw Data'!AQ51)</f>
        <v>2383.33333333333</v>
      </c>
      <c r="AM38" s="12" t="n">
        <f aca="false">IF('Raw Data'!AR51="",0,'Raw Data'!AR51)</f>
        <v>2383.33333333333</v>
      </c>
      <c r="AN38" s="12" t="n">
        <f aca="false">IF('Raw Data'!AS51="",0,'Raw Data'!AS51)</f>
        <v>2383.33333333333</v>
      </c>
      <c r="AO38" s="12" t="n">
        <f aca="false">IF('Raw Data'!AT51="",0,'Raw Data'!AT51)</f>
        <v>2383.33333333333</v>
      </c>
      <c r="AP38" s="12" t="n">
        <f aca="false">IF('Raw Data'!AU51="",0,'Raw Data'!AU51)</f>
        <v>2383.33333333333</v>
      </c>
      <c r="AQ38" s="12" t="n">
        <f aca="false">IF('Raw Data'!AV51="",0,'Raw Data'!AV51)</f>
        <v>2383.33333333333</v>
      </c>
      <c r="AR38" s="12" t="n">
        <f aca="false">IF('Raw Data'!AW51="",0,'Raw Data'!AW51)</f>
        <v>2383.33333333333</v>
      </c>
      <c r="AS38" s="12" t="n">
        <f aca="false">IF('Raw Data'!AX51="",0,'Raw Data'!AX51)</f>
        <v>2383.33333333333</v>
      </c>
      <c r="AT38" s="12" t="n">
        <f aca="false">IF('Raw Data'!AY51="",0,'Raw Data'!AY51)</f>
        <v>2383.33333333333</v>
      </c>
      <c r="AU38" s="12" t="n">
        <f aca="false">IF('Raw Data'!AZ51="",0,'Raw Data'!AZ51)</f>
        <v>2383.33333333333</v>
      </c>
      <c r="AV38" s="12" t="n">
        <f aca="false">IF('Raw Data'!BA51="",0,'Raw Data'!BA51)</f>
        <v>2383.33333333333</v>
      </c>
      <c r="AW38" s="12" t="n">
        <f aca="false">IF('Raw Data'!BB51="",0,'Raw Data'!BB51)</f>
        <v>2383.33333333333</v>
      </c>
      <c r="AX38" s="12" t="n">
        <f aca="false">IF('Raw Data'!BC51="",0,'Raw Data'!BC51)</f>
        <v>2383.33333333333</v>
      </c>
      <c r="AY38" s="12" t="n">
        <f aca="false">IF('Raw Data'!BD51="",0,'Raw Data'!BD51)</f>
        <v>1191.66666666667</v>
      </c>
      <c r="AZ38" s="12" t="n">
        <f aca="false">IF('Raw Data'!BE51="",0,'Raw Data'!BE51)</f>
        <v>1191.66666666667</v>
      </c>
      <c r="BA38" s="12" t="n">
        <f aca="false">IF('Raw Data'!BF51="",0,'Raw Data'!BF51)</f>
        <v>1191.66666666667</v>
      </c>
      <c r="BB38" s="12" t="n">
        <f aca="false">IF('Raw Data'!BG51="",0,'Raw Data'!BG51)</f>
        <v>1191.66666666667</v>
      </c>
      <c r="BC38" s="12" t="n">
        <f aca="false">IF('Raw Data'!BH51="",0,'Raw Data'!BH51)</f>
        <v>1191.66666666667</v>
      </c>
      <c r="BD38" s="12" t="n">
        <f aca="false">IF('Raw Data'!BI51="",0,'Raw Data'!BI51)</f>
        <v>1191.66666666667</v>
      </c>
      <c r="BE38" s="12" t="n">
        <f aca="false">IF('Raw Data'!BJ51="",0,'Raw Data'!BJ51)</f>
        <v>1191.66666666667</v>
      </c>
      <c r="BF38" s="12" t="n">
        <f aca="false">IF('Raw Data'!BK51="",0,'Raw Data'!BK51)</f>
        <v>1191.66666666667</v>
      </c>
      <c r="BG38" s="12" t="n">
        <f aca="false">IF('Raw Data'!BL51="",0,'Raw Data'!BL51)</f>
        <v>1191.66666666667</v>
      </c>
      <c r="BH38" s="12" t="n">
        <f aca="false">IF('Raw Data'!BM51="",0,'Raw Data'!BM51)</f>
        <v>1191.66666666667</v>
      </c>
      <c r="BI38" s="12" t="n">
        <f aca="false">IF('Raw Data'!BN51="",0,'Raw Data'!BN51)</f>
        <v>1191.66666666667</v>
      </c>
      <c r="BJ38" s="12" t="n">
        <f aca="false">IF('Raw Data'!BO51="",0,'Raw Data'!BO51)</f>
        <v>1191.66666666667</v>
      </c>
      <c r="BK38" s="12" t="n">
        <f aca="false">IF('Raw Data'!BP51="",0,'Raw Data'!BP51)</f>
        <v>1108.33333333333</v>
      </c>
      <c r="BL38" s="12" t="n">
        <f aca="false">IF('Raw Data'!BQ51="",0,'Raw Data'!BQ51)</f>
        <v>1108.33333333333</v>
      </c>
      <c r="BM38" s="12" t="n">
        <f aca="false">IF('Raw Data'!BR51="",0,'Raw Data'!BR51)</f>
        <v>1108.33333333333</v>
      </c>
      <c r="BN38" s="12" t="n">
        <f aca="false">IF('Raw Data'!BS51="",0,'Raw Data'!BS51)</f>
        <v>1108.33333333333</v>
      </c>
      <c r="BO38" s="21" t="b">
        <f aca="false">FALSE()</f>
        <v>0</v>
      </c>
    </row>
    <row r="39" customFormat="false" ht="15" hidden="false" customHeight="false" outlineLevel="0" collapsed="false">
      <c r="A39" s="20" t="str">
        <f aca="false">'Raw Data'!A53</f>
        <v>Local Account #43 from VA</v>
      </c>
      <c r="B39" s="12" t="n">
        <f aca="false">IF('Raw Data'!G53="",0,'Raw Data'!G53)</f>
        <v>0</v>
      </c>
      <c r="C39" s="12" t="n">
        <f aca="false">IF('Raw Data'!H53="",0,'Raw Data'!H53)</f>
        <v>0</v>
      </c>
      <c r="D39" s="12" t="n">
        <f aca="false">IF('Raw Data'!I53="",0,'Raw Data'!I53)</f>
        <v>0</v>
      </c>
      <c r="E39" s="12" t="n">
        <f aca="false">IF('Raw Data'!J53="",0,'Raw Data'!J53)</f>
        <v>0</v>
      </c>
      <c r="F39" s="12" t="n">
        <f aca="false">IF('Raw Data'!K53="",0,'Raw Data'!K53)</f>
        <v>0</v>
      </c>
      <c r="G39" s="12" t="n">
        <f aca="false">IF('Raw Data'!L53="",0,'Raw Data'!L53)</f>
        <v>0</v>
      </c>
      <c r="H39" s="12" t="n">
        <f aca="false">IF('Raw Data'!M53="",0,'Raw Data'!M53)</f>
        <v>0</v>
      </c>
      <c r="I39" s="12" t="n">
        <f aca="false">IF('Raw Data'!N53="",0,'Raw Data'!N53)</f>
        <v>0</v>
      </c>
      <c r="J39" s="12" t="n">
        <f aca="false">IF('Raw Data'!O53="",0,'Raw Data'!O53)</f>
        <v>0</v>
      </c>
      <c r="K39" s="12" t="n">
        <f aca="false">IF('Raw Data'!P53="",0,'Raw Data'!P53)</f>
        <v>0</v>
      </c>
      <c r="L39" s="12" t="n">
        <f aca="false">IF('Raw Data'!Q53="",0,'Raw Data'!Q53)</f>
        <v>0</v>
      </c>
      <c r="M39" s="12" t="n">
        <f aca="false">IF('Raw Data'!R53="",0,'Raw Data'!R53)</f>
        <v>0</v>
      </c>
      <c r="N39" s="12" t="n">
        <f aca="false">IF('Raw Data'!S53="",0,'Raw Data'!S53)</f>
        <v>0</v>
      </c>
      <c r="O39" s="12" t="n">
        <f aca="false">IF('Raw Data'!T53="",0,'Raw Data'!T53)</f>
        <v>0</v>
      </c>
      <c r="P39" s="12" t="n">
        <f aca="false">IF('Raw Data'!U53="",0,'Raw Data'!U53)</f>
        <v>0</v>
      </c>
      <c r="Q39" s="12" t="n">
        <f aca="false">IF('Raw Data'!V53="",0,'Raw Data'!V53)</f>
        <v>0</v>
      </c>
      <c r="R39" s="12" t="n">
        <f aca="false">IF('Raw Data'!W53="",0,'Raw Data'!W53)</f>
        <v>0</v>
      </c>
      <c r="S39" s="12" t="n">
        <f aca="false">IF('Raw Data'!X53="",0,'Raw Data'!X53)</f>
        <v>0</v>
      </c>
      <c r="T39" s="12" t="n">
        <f aca="false">IF('Raw Data'!Y53="",0,'Raw Data'!Y53)</f>
        <v>0</v>
      </c>
      <c r="U39" s="12" t="n">
        <f aca="false">IF('Raw Data'!Z53="",0,'Raw Data'!Z53)</f>
        <v>0</v>
      </c>
      <c r="V39" s="12" t="n">
        <f aca="false">IF('Raw Data'!AA53="",0,'Raw Data'!AA53)</f>
        <v>0</v>
      </c>
      <c r="W39" s="12" t="n">
        <f aca="false">IF('Raw Data'!AB53="",0,'Raw Data'!AB53)</f>
        <v>0</v>
      </c>
      <c r="X39" s="12" t="n">
        <f aca="false">IF('Raw Data'!AC53="",0,'Raw Data'!AC53)</f>
        <v>0</v>
      </c>
      <c r="Y39" s="12" t="n">
        <f aca="false">IF('Raw Data'!AD53="",0,'Raw Data'!AD53)</f>
        <v>0</v>
      </c>
      <c r="Z39" s="12" t="n">
        <f aca="false">IF('Raw Data'!AE53="",0,'Raw Data'!AE53)</f>
        <v>0</v>
      </c>
      <c r="AA39" s="12" t="n">
        <f aca="false">IF('Raw Data'!AF53="",0,'Raw Data'!AF53)</f>
        <v>1952.10333333333</v>
      </c>
      <c r="AB39" s="12" t="n">
        <f aca="false">IF('Raw Data'!AG53="",0,'Raw Data'!AG53)</f>
        <v>1952.10333333333</v>
      </c>
      <c r="AC39" s="12" t="n">
        <f aca="false">IF('Raw Data'!AH53="",0,'Raw Data'!AH53)</f>
        <v>1952.10333333333</v>
      </c>
      <c r="AD39" s="12" t="n">
        <f aca="false">IF('Raw Data'!AI53="",0,'Raw Data'!AI53)</f>
        <v>3877.12888888889</v>
      </c>
      <c r="AE39" s="12" t="n">
        <f aca="false">IF('Raw Data'!AJ53="",0,'Raw Data'!AJ53)</f>
        <v>3877.12888888889</v>
      </c>
      <c r="AF39" s="12" t="n">
        <f aca="false">IF('Raw Data'!AK53="",0,'Raw Data'!AK53)</f>
        <v>3877.12888888889</v>
      </c>
      <c r="AG39" s="12" t="n">
        <f aca="false">IF('Raw Data'!AL53="",0,'Raw Data'!AL53)</f>
        <v>3877.12888888889</v>
      </c>
      <c r="AH39" s="12" t="n">
        <f aca="false">IF('Raw Data'!AM53="",0,'Raw Data'!AM53)</f>
        <v>3877.12888888889</v>
      </c>
      <c r="AI39" s="12" t="n">
        <f aca="false">IF('Raw Data'!AN53="",0,'Raw Data'!AN53)</f>
        <v>3877.12888888889</v>
      </c>
      <c r="AJ39" s="12" t="n">
        <f aca="false">IF('Raw Data'!AO53="",0,'Raw Data'!AO53)</f>
        <v>3877.12888888889</v>
      </c>
      <c r="AK39" s="12" t="n">
        <f aca="false">IF('Raw Data'!AP53="",0,'Raw Data'!AP53)</f>
        <v>3877.12888888889</v>
      </c>
      <c r="AL39" s="12" t="n">
        <f aca="false">IF('Raw Data'!AQ53="",0,'Raw Data'!AQ53)</f>
        <v>3877.12888888889</v>
      </c>
      <c r="AM39" s="12" t="n">
        <f aca="false">IF('Raw Data'!AR53="",0,'Raw Data'!AR53)</f>
        <v>4650.33333333333</v>
      </c>
      <c r="AN39" s="12" t="n">
        <f aca="false">IF('Raw Data'!AS53="",0,'Raw Data'!AS53)</f>
        <v>4650.33333333333</v>
      </c>
      <c r="AO39" s="12" t="n">
        <f aca="false">IF('Raw Data'!AT53="",0,'Raw Data'!AT53)</f>
        <v>4650.33333333333</v>
      </c>
      <c r="AP39" s="12" t="n">
        <f aca="false">IF('Raw Data'!AU53="",0,'Raw Data'!AU53)</f>
        <v>4650.33333333333</v>
      </c>
      <c r="AQ39" s="12" t="n">
        <f aca="false">IF('Raw Data'!AV53="",0,'Raw Data'!AV53)</f>
        <v>4650.33333333333</v>
      </c>
      <c r="AR39" s="12" t="n">
        <f aca="false">IF('Raw Data'!AW53="",0,'Raw Data'!AW53)</f>
        <v>4731.83333333333</v>
      </c>
      <c r="AS39" s="12" t="n">
        <f aca="false">IF('Raw Data'!AX53="",0,'Raw Data'!AX53)</f>
        <v>4731.83333333333</v>
      </c>
      <c r="AT39" s="12" t="n">
        <f aca="false">IF('Raw Data'!AY53="",0,'Raw Data'!AY53)</f>
        <v>4731.83333333333</v>
      </c>
      <c r="AU39" s="12" t="n">
        <f aca="false">IF('Raw Data'!AZ53="",0,'Raw Data'!AZ53)</f>
        <v>4731.83333333333</v>
      </c>
      <c r="AV39" s="12" t="n">
        <f aca="false">IF('Raw Data'!BA53="",0,'Raw Data'!BA53)</f>
        <v>4731.83333333333</v>
      </c>
      <c r="AW39" s="12" t="n">
        <f aca="false">IF('Raw Data'!BB53="",0,'Raw Data'!BB53)</f>
        <v>4731.83333333333</v>
      </c>
      <c r="AX39" s="12" t="n">
        <f aca="false">IF('Raw Data'!BC53="",0,'Raw Data'!BC53)</f>
        <v>4731.83333333333</v>
      </c>
      <c r="AY39" s="12" t="n">
        <f aca="false">IF('Raw Data'!BD53="",0,'Raw Data'!BD53)</f>
        <v>81.5</v>
      </c>
      <c r="AZ39" s="12" t="n">
        <f aca="false">IF('Raw Data'!BE53="",0,'Raw Data'!BE53)</f>
        <v>81.5</v>
      </c>
      <c r="BA39" s="12" t="n">
        <f aca="false">IF('Raw Data'!BF53="",0,'Raw Data'!BF53)</f>
        <v>81.5</v>
      </c>
      <c r="BB39" s="12" t="n">
        <f aca="false">IF('Raw Data'!BG53="",0,'Raw Data'!BG53)</f>
        <v>81.5</v>
      </c>
      <c r="BC39" s="12" t="n">
        <f aca="false">IF('Raw Data'!BH53="",0,'Raw Data'!BH53)</f>
        <v>81.5</v>
      </c>
      <c r="BD39" s="12" t="n">
        <f aca="false">IF('Raw Data'!BI53="",0,'Raw Data'!BI53)</f>
        <v>81.5</v>
      </c>
      <c r="BE39" s="12" t="n">
        <f aca="false">IF('Raw Data'!BJ53="",0,'Raw Data'!BJ53)</f>
        <v>81.5</v>
      </c>
      <c r="BF39" s="12" t="n">
        <f aca="false">IF('Raw Data'!BK53="",0,'Raw Data'!BK53)</f>
        <v>81.5</v>
      </c>
      <c r="BG39" s="12" t="n">
        <f aca="false">IF('Raw Data'!BL53="",0,'Raw Data'!BL53)</f>
        <v>81.5</v>
      </c>
      <c r="BH39" s="12" t="n">
        <f aca="false">IF('Raw Data'!BM53="",0,'Raw Data'!BM53)</f>
        <v>81.5</v>
      </c>
      <c r="BI39" s="12" t="n">
        <f aca="false">IF('Raw Data'!BN53="",0,'Raw Data'!BN53)</f>
        <v>81.5</v>
      </c>
      <c r="BJ39" s="12" t="n">
        <f aca="false">IF('Raw Data'!BO53="",0,'Raw Data'!BO53)</f>
        <v>81.5</v>
      </c>
      <c r="BK39" s="12" t="n">
        <f aca="false">IF('Raw Data'!BP53="",0,'Raw Data'!BP53)</f>
        <v>0</v>
      </c>
      <c r="BL39" s="12" t="n">
        <f aca="false">IF('Raw Data'!BQ53="",0,'Raw Data'!BQ53)</f>
        <v>0</v>
      </c>
      <c r="BM39" s="12" t="n">
        <f aca="false">IF('Raw Data'!BR53="",0,'Raw Data'!BR53)</f>
        <v>0</v>
      </c>
      <c r="BN39" s="12" t="n">
        <f aca="false">IF('Raw Data'!BS53="",0,'Raw Data'!BS53)</f>
        <v>0</v>
      </c>
      <c r="BO39" s="21" t="b">
        <f aca="false">FALSE()</f>
        <v>0</v>
      </c>
    </row>
    <row r="40" customFormat="false" ht="15" hidden="false" customHeight="false" outlineLevel="0" collapsed="false">
      <c r="A40" s="20" t="str">
        <f aca="false">'Raw Data'!A54</f>
        <v>Local Account #44 from CA</v>
      </c>
      <c r="B40" s="12" t="n">
        <f aca="false">IF('Raw Data'!G54="",0,'Raw Data'!G54)</f>
        <v>0</v>
      </c>
      <c r="C40" s="12" t="n">
        <f aca="false">IF('Raw Data'!H54="",0,'Raw Data'!H54)</f>
        <v>0</v>
      </c>
      <c r="D40" s="12" t="n">
        <f aca="false">IF('Raw Data'!I54="",0,'Raw Data'!I54)</f>
        <v>0</v>
      </c>
      <c r="E40" s="12" t="n">
        <f aca="false">IF('Raw Data'!J54="",0,'Raw Data'!J54)</f>
        <v>0</v>
      </c>
      <c r="F40" s="12" t="n">
        <f aca="false">IF('Raw Data'!K54="",0,'Raw Data'!K54)</f>
        <v>0</v>
      </c>
      <c r="G40" s="12" t="n">
        <f aca="false">IF('Raw Data'!L54="",0,'Raw Data'!L54)</f>
        <v>0</v>
      </c>
      <c r="H40" s="12" t="n">
        <f aca="false">IF('Raw Data'!M54="",0,'Raw Data'!M54)</f>
        <v>0</v>
      </c>
      <c r="I40" s="12" t="n">
        <f aca="false">IF('Raw Data'!N54="",0,'Raw Data'!N54)</f>
        <v>0</v>
      </c>
      <c r="J40" s="12" t="n">
        <f aca="false">IF('Raw Data'!O54="",0,'Raw Data'!O54)</f>
        <v>0</v>
      </c>
      <c r="K40" s="12" t="n">
        <f aca="false">IF('Raw Data'!P54="",0,'Raw Data'!P54)</f>
        <v>0</v>
      </c>
      <c r="L40" s="12" t="n">
        <f aca="false">IF('Raw Data'!Q54="",0,'Raw Data'!Q54)</f>
        <v>0</v>
      </c>
      <c r="M40" s="12" t="n">
        <f aca="false">IF('Raw Data'!R54="",0,'Raw Data'!R54)</f>
        <v>0</v>
      </c>
      <c r="N40" s="12" t="n">
        <f aca="false">IF('Raw Data'!S54="",0,'Raw Data'!S54)</f>
        <v>0</v>
      </c>
      <c r="O40" s="12" t="n">
        <f aca="false">IF('Raw Data'!T54="",0,'Raw Data'!T54)</f>
        <v>0</v>
      </c>
      <c r="P40" s="12" t="n">
        <f aca="false">IF('Raw Data'!U54="",0,'Raw Data'!U54)</f>
        <v>0</v>
      </c>
      <c r="Q40" s="12" t="n">
        <f aca="false">IF('Raw Data'!V54="",0,'Raw Data'!V54)</f>
        <v>0</v>
      </c>
      <c r="R40" s="12" t="n">
        <f aca="false">IF('Raw Data'!W54="",0,'Raw Data'!W54)</f>
        <v>0</v>
      </c>
      <c r="S40" s="12" t="n">
        <f aca="false">IF('Raw Data'!X54="",0,'Raw Data'!X54)</f>
        <v>0</v>
      </c>
      <c r="T40" s="12" t="n">
        <f aca="false">IF('Raw Data'!Y54="",0,'Raw Data'!Y54)</f>
        <v>0</v>
      </c>
      <c r="U40" s="12" t="n">
        <f aca="false">IF('Raw Data'!Z54="",0,'Raw Data'!Z54)</f>
        <v>0</v>
      </c>
      <c r="V40" s="12" t="n">
        <f aca="false">IF('Raw Data'!AA54="",0,'Raw Data'!AA54)</f>
        <v>0</v>
      </c>
      <c r="W40" s="12" t="n">
        <f aca="false">IF('Raw Data'!AB54="",0,'Raw Data'!AB54)</f>
        <v>0</v>
      </c>
      <c r="X40" s="12" t="n">
        <f aca="false">IF('Raw Data'!AC54="",0,'Raw Data'!AC54)</f>
        <v>0</v>
      </c>
      <c r="Y40" s="12" t="n">
        <f aca="false">IF('Raw Data'!AD54="",0,'Raw Data'!AD54)</f>
        <v>0</v>
      </c>
      <c r="Z40" s="12" t="n">
        <f aca="false">IF('Raw Data'!AE54="",0,'Raw Data'!AE54)</f>
        <v>0</v>
      </c>
      <c r="AA40" s="12" t="n">
        <f aca="false">IF('Raw Data'!AF54="",0,'Raw Data'!AF54)</f>
        <v>0</v>
      </c>
      <c r="AB40" s="12" t="n">
        <f aca="false">IF('Raw Data'!AG54="",0,'Raw Data'!AG54)</f>
        <v>0</v>
      </c>
      <c r="AC40" s="12" t="n">
        <f aca="false">IF('Raw Data'!AH54="",0,'Raw Data'!AH54)</f>
        <v>0</v>
      </c>
      <c r="AD40" s="12" t="n">
        <f aca="false">IF('Raw Data'!AI54="",0,'Raw Data'!AI54)</f>
        <v>0</v>
      </c>
      <c r="AE40" s="12" t="n">
        <f aca="false">IF('Raw Data'!AJ54="",0,'Raw Data'!AJ54)</f>
        <v>0</v>
      </c>
      <c r="AF40" s="12" t="n">
        <f aca="false">IF('Raw Data'!AK54="",0,'Raw Data'!AK54)</f>
        <v>0</v>
      </c>
      <c r="AG40" s="12" t="n">
        <f aca="false">IF('Raw Data'!AL54="",0,'Raw Data'!AL54)</f>
        <v>0</v>
      </c>
      <c r="AH40" s="12" t="n">
        <f aca="false">IF('Raw Data'!AM54="",0,'Raw Data'!AM54)</f>
        <v>0</v>
      </c>
      <c r="AI40" s="12" t="n">
        <f aca="false">IF('Raw Data'!AN54="",0,'Raw Data'!AN54)</f>
        <v>0</v>
      </c>
      <c r="AJ40" s="12" t="n">
        <f aca="false">IF('Raw Data'!AO54="",0,'Raw Data'!AO54)</f>
        <v>0</v>
      </c>
      <c r="AK40" s="12" t="n">
        <f aca="false">IF('Raw Data'!AP54="",0,'Raw Data'!AP54)</f>
        <v>0</v>
      </c>
      <c r="AL40" s="12" t="n">
        <f aca="false">IF('Raw Data'!AQ54="",0,'Raw Data'!AQ54)</f>
        <v>0</v>
      </c>
      <c r="AM40" s="12" t="n">
        <f aca="false">IF('Raw Data'!AR54="",0,'Raw Data'!AR54)</f>
        <v>1500</v>
      </c>
      <c r="AN40" s="12" t="n">
        <f aca="false">IF('Raw Data'!AS54="",0,'Raw Data'!AS54)</f>
        <v>1500</v>
      </c>
      <c r="AO40" s="12" t="n">
        <f aca="false">IF('Raw Data'!AT54="",0,'Raw Data'!AT54)</f>
        <v>1500</v>
      </c>
      <c r="AP40" s="12" t="n">
        <f aca="false">IF('Raw Data'!AU54="",0,'Raw Data'!AU54)</f>
        <v>1500</v>
      </c>
      <c r="AQ40" s="12" t="n">
        <f aca="false">IF('Raw Data'!AV54="",0,'Raw Data'!AV54)</f>
        <v>1500</v>
      </c>
      <c r="AR40" s="12" t="n">
        <f aca="false">IF('Raw Data'!AW54="",0,'Raw Data'!AW54)</f>
        <v>1800</v>
      </c>
      <c r="AS40" s="12" t="n">
        <f aca="false">IF('Raw Data'!AX54="",0,'Raw Data'!AX54)</f>
        <v>1800</v>
      </c>
      <c r="AT40" s="12" t="n">
        <f aca="false">IF('Raw Data'!AY54="",0,'Raw Data'!AY54)</f>
        <v>1800</v>
      </c>
      <c r="AU40" s="12" t="n">
        <f aca="false">IF('Raw Data'!AZ54="",0,'Raw Data'!AZ54)</f>
        <v>1800</v>
      </c>
      <c r="AV40" s="12" t="n">
        <f aca="false">IF('Raw Data'!BA54="",0,'Raw Data'!BA54)</f>
        <v>1800</v>
      </c>
      <c r="AW40" s="12" t="n">
        <f aca="false">IF('Raw Data'!BB54="",0,'Raw Data'!BB54)</f>
        <v>1800</v>
      </c>
      <c r="AX40" s="12" t="n">
        <f aca="false">IF('Raw Data'!BC54="",0,'Raw Data'!BC54)</f>
        <v>2200</v>
      </c>
      <c r="AY40" s="12" t="n">
        <f aca="false">IF('Raw Data'!BD54="",0,'Raw Data'!BD54)</f>
        <v>2200</v>
      </c>
      <c r="AZ40" s="12" t="n">
        <f aca="false">IF('Raw Data'!BE54="",0,'Raw Data'!BE54)</f>
        <v>2200</v>
      </c>
      <c r="BA40" s="12" t="n">
        <f aca="false">IF('Raw Data'!BF54="",0,'Raw Data'!BF54)</f>
        <v>2200</v>
      </c>
      <c r="BB40" s="12" t="n">
        <f aca="false">IF('Raw Data'!BG54="",0,'Raw Data'!BG54)</f>
        <v>2200</v>
      </c>
      <c r="BC40" s="12" t="n">
        <f aca="false">IF('Raw Data'!BH54="",0,'Raw Data'!BH54)</f>
        <v>2200</v>
      </c>
      <c r="BD40" s="12" t="n">
        <f aca="false">IF('Raw Data'!BI54="",0,'Raw Data'!BI54)</f>
        <v>2200</v>
      </c>
      <c r="BE40" s="12" t="n">
        <f aca="false">IF('Raw Data'!BJ54="",0,'Raw Data'!BJ54)</f>
        <v>2200</v>
      </c>
      <c r="BF40" s="12" t="n">
        <f aca="false">IF('Raw Data'!BK54="",0,'Raw Data'!BK54)</f>
        <v>2200</v>
      </c>
      <c r="BG40" s="12" t="n">
        <f aca="false">IF('Raw Data'!BL54="",0,'Raw Data'!BL54)</f>
        <v>2200</v>
      </c>
      <c r="BH40" s="12" t="n">
        <f aca="false">IF('Raw Data'!BM54="",0,'Raw Data'!BM54)</f>
        <v>2200</v>
      </c>
      <c r="BI40" s="12" t="n">
        <f aca="false">IF('Raw Data'!BN54="",0,'Raw Data'!BN54)</f>
        <v>2200</v>
      </c>
      <c r="BJ40" s="12" t="n">
        <f aca="false">IF('Raw Data'!BO54="",0,'Raw Data'!BO54)</f>
        <v>2200</v>
      </c>
      <c r="BK40" s="12" t="n">
        <f aca="false">IF('Raw Data'!BP54="",0,'Raw Data'!BP54)</f>
        <v>2060</v>
      </c>
      <c r="BL40" s="12" t="n">
        <f aca="false">IF('Raw Data'!BQ54="",0,'Raw Data'!BQ54)</f>
        <v>2060</v>
      </c>
      <c r="BM40" s="12" t="n">
        <f aca="false">IF('Raw Data'!BR54="",0,'Raw Data'!BR54)</f>
        <v>2060</v>
      </c>
      <c r="BN40" s="12" t="n">
        <f aca="false">IF('Raw Data'!BS54="",0,'Raw Data'!BS54)</f>
        <v>2060</v>
      </c>
      <c r="BO40" s="21" t="b">
        <f aca="false">FALSE()</f>
        <v>0</v>
      </c>
    </row>
    <row r="41" customFormat="false" ht="15" hidden="false" customHeight="false" outlineLevel="0" collapsed="false">
      <c r="A41" s="20" t="str">
        <f aca="false">'Raw Data'!A55</f>
        <v>Local Account #45 from TX</v>
      </c>
      <c r="B41" s="12" t="n">
        <f aca="false">IF('Raw Data'!G55="",0,'Raw Data'!G55)</f>
        <v>0</v>
      </c>
      <c r="C41" s="12" t="n">
        <f aca="false">IF('Raw Data'!H55="",0,'Raw Data'!H55)</f>
        <v>0</v>
      </c>
      <c r="D41" s="12" t="n">
        <f aca="false">IF('Raw Data'!I55="",0,'Raw Data'!I55)</f>
        <v>0</v>
      </c>
      <c r="E41" s="12" t="n">
        <f aca="false">IF('Raw Data'!J55="",0,'Raw Data'!J55)</f>
        <v>0</v>
      </c>
      <c r="F41" s="12" t="n">
        <f aca="false">IF('Raw Data'!K55="",0,'Raw Data'!K55)</f>
        <v>0</v>
      </c>
      <c r="G41" s="12" t="n">
        <f aca="false">IF('Raw Data'!L55="",0,'Raw Data'!L55)</f>
        <v>0</v>
      </c>
      <c r="H41" s="12" t="n">
        <f aca="false">IF('Raw Data'!M55="",0,'Raw Data'!M55)</f>
        <v>0</v>
      </c>
      <c r="I41" s="12" t="n">
        <f aca="false">IF('Raw Data'!N55="",0,'Raw Data'!N55)</f>
        <v>0</v>
      </c>
      <c r="J41" s="12" t="n">
        <f aca="false">IF('Raw Data'!O55="",0,'Raw Data'!O55)</f>
        <v>0</v>
      </c>
      <c r="K41" s="12" t="n">
        <f aca="false">IF('Raw Data'!P55="",0,'Raw Data'!P55)</f>
        <v>0</v>
      </c>
      <c r="L41" s="12" t="n">
        <f aca="false">IF('Raw Data'!Q55="",0,'Raw Data'!Q55)</f>
        <v>0</v>
      </c>
      <c r="M41" s="12" t="n">
        <f aca="false">IF('Raw Data'!R55="",0,'Raw Data'!R55)</f>
        <v>0</v>
      </c>
      <c r="N41" s="12" t="n">
        <f aca="false">IF('Raw Data'!S55="",0,'Raw Data'!S55)</f>
        <v>0</v>
      </c>
      <c r="O41" s="12" t="n">
        <f aca="false">IF('Raw Data'!T55="",0,'Raw Data'!T55)</f>
        <v>0</v>
      </c>
      <c r="P41" s="12" t="n">
        <f aca="false">IF('Raw Data'!U55="",0,'Raw Data'!U55)</f>
        <v>0</v>
      </c>
      <c r="Q41" s="12" t="n">
        <f aca="false">IF('Raw Data'!V55="",0,'Raw Data'!V55)</f>
        <v>0</v>
      </c>
      <c r="R41" s="12" t="n">
        <f aca="false">IF('Raw Data'!W55="",0,'Raw Data'!W55)</f>
        <v>0</v>
      </c>
      <c r="S41" s="12" t="n">
        <f aca="false">IF('Raw Data'!X55="",0,'Raw Data'!X55)</f>
        <v>0</v>
      </c>
      <c r="T41" s="12" t="n">
        <f aca="false">IF('Raw Data'!Y55="",0,'Raw Data'!Y55)</f>
        <v>0</v>
      </c>
      <c r="U41" s="12" t="n">
        <f aca="false">IF('Raw Data'!Z55="",0,'Raw Data'!Z55)</f>
        <v>0</v>
      </c>
      <c r="V41" s="12" t="n">
        <f aca="false">IF('Raw Data'!AA55="",0,'Raw Data'!AA55)</f>
        <v>0</v>
      </c>
      <c r="W41" s="12" t="n">
        <f aca="false">IF('Raw Data'!AB55="",0,'Raw Data'!AB55)</f>
        <v>0</v>
      </c>
      <c r="X41" s="12" t="n">
        <f aca="false">IF('Raw Data'!AC55="",0,'Raw Data'!AC55)</f>
        <v>0</v>
      </c>
      <c r="Y41" s="12" t="n">
        <f aca="false">IF('Raw Data'!AD55="",0,'Raw Data'!AD55)</f>
        <v>0</v>
      </c>
      <c r="Z41" s="12" t="n">
        <f aca="false">IF('Raw Data'!AE55="",0,'Raw Data'!AE55)</f>
        <v>0</v>
      </c>
      <c r="AA41" s="12" t="n">
        <f aca="false">IF('Raw Data'!AF55="",0,'Raw Data'!AF55)</f>
        <v>0</v>
      </c>
      <c r="AB41" s="12" t="n">
        <f aca="false">IF('Raw Data'!AG55="",0,'Raw Data'!AG55)</f>
        <v>0</v>
      </c>
      <c r="AC41" s="12" t="n">
        <f aca="false">IF('Raw Data'!AH55="",0,'Raw Data'!AH55)</f>
        <v>0</v>
      </c>
      <c r="AD41" s="12" t="n">
        <f aca="false">IF('Raw Data'!AI55="",0,'Raw Data'!AI55)</f>
        <v>0</v>
      </c>
      <c r="AE41" s="12" t="n">
        <f aca="false">IF('Raw Data'!AJ55="",0,'Raw Data'!AJ55)</f>
        <v>0</v>
      </c>
      <c r="AF41" s="12" t="n">
        <f aca="false">IF('Raw Data'!AK55="",0,'Raw Data'!AK55)</f>
        <v>0</v>
      </c>
      <c r="AG41" s="12" t="n">
        <f aca="false">IF('Raw Data'!AL55="",0,'Raw Data'!AL55)</f>
        <v>0</v>
      </c>
      <c r="AH41" s="12" t="n">
        <f aca="false">IF('Raw Data'!AM55="",0,'Raw Data'!AM55)</f>
        <v>3833.33333333333</v>
      </c>
      <c r="AI41" s="12" t="n">
        <f aca="false">IF('Raw Data'!AN55="",0,'Raw Data'!AN55)</f>
        <v>3833.33333333333</v>
      </c>
      <c r="AJ41" s="12" t="n">
        <f aca="false">IF('Raw Data'!AO55="",0,'Raw Data'!AO55)</f>
        <v>3833.33333333333</v>
      </c>
      <c r="AK41" s="12" t="n">
        <f aca="false">IF('Raw Data'!AP55="",0,'Raw Data'!AP55)</f>
        <v>3833.33333333333</v>
      </c>
      <c r="AL41" s="12" t="n">
        <f aca="false">IF('Raw Data'!AQ55="",0,'Raw Data'!AQ55)</f>
        <v>3833.33333333333</v>
      </c>
      <c r="AM41" s="12" t="n">
        <f aca="false">IF('Raw Data'!AR55="",0,'Raw Data'!AR55)</f>
        <v>3833.33333333333</v>
      </c>
      <c r="AN41" s="12" t="n">
        <f aca="false">IF('Raw Data'!AS55="",0,'Raw Data'!AS55)</f>
        <v>3833.33333333333</v>
      </c>
      <c r="AO41" s="12" t="n">
        <f aca="false">IF('Raw Data'!AT55="",0,'Raw Data'!AT55)</f>
        <v>3833.33333333333</v>
      </c>
      <c r="AP41" s="12" t="n">
        <f aca="false">IF('Raw Data'!AU55="",0,'Raw Data'!AU55)</f>
        <v>3833.33333333333</v>
      </c>
      <c r="AQ41" s="12" t="n">
        <f aca="false">IF('Raw Data'!AV55="",0,'Raw Data'!AV55)</f>
        <v>3833.33333333333</v>
      </c>
      <c r="AR41" s="12" t="n">
        <f aca="false">IF('Raw Data'!AW55="",0,'Raw Data'!AW55)</f>
        <v>3833.33333333333</v>
      </c>
      <c r="AS41" s="12" t="n">
        <f aca="false">IF('Raw Data'!AX55="",0,'Raw Data'!AX55)</f>
        <v>3833.33333333333</v>
      </c>
      <c r="AT41" s="12" t="n">
        <f aca="false">IF('Raw Data'!AY55="",0,'Raw Data'!AY55)</f>
        <v>2833.33333333333</v>
      </c>
      <c r="AU41" s="12" t="n">
        <f aca="false">IF('Raw Data'!AZ55="",0,'Raw Data'!AZ55)</f>
        <v>2833.33333333333</v>
      </c>
      <c r="AV41" s="12" t="n">
        <f aca="false">IF('Raw Data'!BA55="",0,'Raw Data'!BA55)</f>
        <v>2833.33333333333</v>
      </c>
      <c r="AW41" s="12" t="n">
        <f aca="false">IF('Raw Data'!BB55="",0,'Raw Data'!BB55)</f>
        <v>2833.33333333333</v>
      </c>
      <c r="AX41" s="12" t="n">
        <f aca="false">IF('Raw Data'!BC55="",0,'Raw Data'!BC55)</f>
        <v>2833.33333333333</v>
      </c>
      <c r="AY41" s="12" t="n">
        <f aca="false">IF('Raw Data'!BD55="",0,'Raw Data'!BD55)</f>
        <v>2833.33333333333</v>
      </c>
      <c r="AZ41" s="12" t="n">
        <f aca="false">IF('Raw Data'!BE55="",0,'Raw Data'!BE55)</f>
        <v>2833.33333333333</v>
      </c>
      <c r="BA41" s="12" t="n">
        <f aca="false">IF('Raw Data'!BF55="",0,'Raw Data'!BF55)</f>
        <v>2833.33333333333</v>
      </c>
      <c r="BB41" s="12" t="n">
        <f aca="false">IF('Raw Data'!BG55="",0,'Raw Data'!BG55)</f>
        <v>2833.33333333333</v>
      </c>
      <c r="BC41" s="12" t="n">
        <f aca="false">IF('Raw Data'!BH55="",0,'Raw Data'!BH55)</f>
        <v>2833.33333333333</v>
      </c>
      <c r="BD41" s="12" t="n">
        <f aca="false">IF('Raw Data'!BI55="",0,'Raw Data'!BI55)</f>
        <v>2833.33333333333</v>
      </c>
      <c r="BE41" s="12" t="n">
        <f aca="false">IF('Raw Data'!BJ55="",0,'Raw Data'!BJ55)</f>
        <v>2833.33333333333</v>
      </c>
      <c r="BF41" s="12" t="n">
        <f aca="false">IF('Raw Data'!BK55="",0,'Raw Data'!BK55)</f>
        <v>0</v>
      </c>
      <c r="BG41" s="12" t="n">
        <f aca="false">IF('Raw Data'!BL55="",0,'Raw Data'!BL55)</f>
        <v>0</v>
      </c>
      <c r="BH41" s="12" t="n">
        <f aca="false">IF('Raw Data'!BM55="",0,'Raw Data'!BM55)</f>
        <v>0</v>
      </c>
      <c r="BI41" s="12" t="n">
        <f aca="false">IF('Raw Data'!BN55="",0,'Raw Data'!BN55)</f>
        <v>0</v>
      </c>
      <c r="BJ41" s="12" t="n">
        <f aca="false">IF('Raw Data'!BO55="",0,'Raw Data'!BO55)</f>
        <v>0</v>
      </c>
      <c r="BK41" s="12" t="n">
        <f aca="false">IF('Raw Data'!BP55="",0,'Raw Data'!BP55)</f>
        <v>0</v>
      </c>
      <c r="BL41" s="12" t="n">
        <f aca="false">IF('Raw Data'!BQ55="",0,'Raw Data'!BQ55)</f>
        <v>0</v>
      </c>
      <c r="BM41" s="12" t="n">
        <f aca="false">IF('Raw Data'!BR55="",0,'Raw Data'!BR55)</f>
        <v>0</v>
      </c>
      <c r="BN41" s="12" t="n">
        <f aca="false">IF('Raw Data'!BS55="",0,'Raw Data'!BS55)</f>
        <v>0</v>
      </c>
      <c r="BO41" s="21" t="b">
        <f aca="false">FALSE()</f>
        <v>0</v>
      </c>
    </row>
    <row r="42" customFormat="false" ht="15" hidden="false" customHeight="false" outlineLevel="0" collapsed="false">
      <c r="A42" s="20" t="str">
        <f aca="false">'Raw Data'!A56</f>
        <v>Local Account #46 from CA</v>
      </c>
      <c r="B42" s="12" t="n">
        <f aca="false">IF('Raw Data'!G56="",0,'Raw Data'!G56)</f>
        <v>800</v>
      </c>
      <c r="C42" s="12" t="n">
        <f aca="false">IF('Raw Data'!H56="",0,'Raw Data'!H56)</f>
        <v>800</v>
      </c>
      <c r="D42" s="12" t="n">
        <f aca="false">IF('Raw Data'!I56="",0,'Raw Data'!I56)</f>
        <v>800</v>
      </c>
      <c r="E42" s="12" t="n">
        <f aca="false">IF('Raw Data'!J56="",0,'Raw Data'!J56)</f>
        <v>1000</v>
      </c>
      <c r="F42" s="12" t="n">
        <f aca="false">IF('Raw Data'!K56="",0,'Raw Data'!K56)</f>
        <v>1000</v>
      </c>
      <c r="G42" s="12" t="n">
        <f aca="false">IF('Raw Data'!L56="",0,'Raw Data'!L56)</f>
        <v>1000</v>
      </c>
      <c r="H42" s="12" t="n">
        <f aca="false">IF('Raw Data'!M56="",0,'Raw Data'!M56)</f>
        <v>1000</v>
      </c>
      <c r="I42" s="12" t="n">
        <f aca="false">IF('Raw Data'!N56="",0,'Raw Data'!N56)</f>
        <v>1000</v>
      </c>
      <c r="J42" s="12" t="n">
        <f aca="false">IF('Raw Data'!O56="",0,'Raw Data'!O56)</f>
        <v>1000</v>
      </c>
      <c r="K42" s="12" t="n">
        <f aca="false">IF('Raw Data'!P56="",0,'Raw Data'!P56)</f>
        <v>1000</v>
      </c>
      <c r="L42" s="12" t="n">
        <f aca="false">IF('Raw Data'!Q56="",0,'Raw Data'!Q56)</f>
        <v>1000</v>
      </c>
      <c r="M42" s="12" t="n">
        <f aca="false">IF('Raw Data'!R56="",0,'Raw Data'!R56)</f>
        <v>1000</v>
      </c>
      <c r="N42" s="12" t="n">
        <f aca="false">IF('Raw Data'!S56="",0,'Raw Data'!S56)</f>
        <v>1000</v>
      </c>
      <c r="O42" s="12" t="n">
        <f aca="false">IF('Raw Data'!T56="",0,'Raw Data'!T56)</f>
        <v>1000</v>
      </c>
      <c r="P42" s="12" t="n">
        <f aca="false">IF('Raw Data'!U56="",0,'Raw Data'!U56)</f>
        <v>1000</v>
      </c>
      <c r="Q42" s="12" t="n">
        <f aca="false">IF('Raw Data'!V56="",0,'Raw Data'!V56)</f>
        <v>1000</v>
      </c>
      <c r="R42" s="12" t="n">
        <f aca="false">IF('Raw Data'!W56="",0,'Raw Data'!W56)</f>
        <v>1000</v>
      </c>
      <c r="S42" s="12" t="n">
        <f aca="false">IF('Raw Data'!X56="",0,'Raw Data'!X56)</f>
        <v>1000</v>
      </c>
      <c r="T42" s="12" t="n">
        <f aca="false">IF('Raw Data'!Y56="",0,'Raw Data'!Y56)</f>
        <v>700</v>
      </c>
      <c r="U42" s="12" t="n">
        <f aca="false">IF('Raw Data'!Z56="",0,'Raw Data'!Z56)</f>
        <v>700</v>
      </c>
      <c r="V42" s="12" t="n">
        <f aca="false">IF('Raw Data'!AA56="",0,'Raw Data'!AA56)</f>
        <v>700</v>
      </c>
      <c r="W42" s="12" t="n">
        <f aca="false">IF('Raw Data'!AB56="",0,'Raw Data'!AB56)</f>
        <v>700</v>
      </c>
      <c r="X42" s="12" t="n">
        <f aca="false">IF('Raw Data'!AC56="",0,'Raw Data'!AC56)</f>
        <v>700</v>
      </c>
      <c r="Y42" s="12" t="n">
        <f aca="false">IF('Raw Data'!AD56="",0,'Raw Data'!AD56)</f>
        <v>700</v>
      </c>
      <c r="Z42" s="12" t="n">
        <f aca="false">IF('Raw Data'!AE56="",0,'Raw Data'!AE56)</f>
        <v>700</v>
      </c>
      <c r="AA42" s="12" t="n">
        <f aca="false">IF('Raw Data'!AF56="",0,'Raw Data'!AF56)</f>
        <v>700</v>
      </c>
      <c r="AB42" s="12" t="n">
        <f aca="false">IF('Raw Data'!AG56="",0,'Raw Data'!AG56)</f>
        <v>700</v>
      </c>
      <c r="AC42" s="12" t="n">
        <f aca="false">IF('Raw Data'!AH56="",0,'Raw Data'!AH56)</f>
        <v>700</v>
      </c>
      <c r="AD42" s="12" t="n">
        <f aca="false">IF('Raw Data'!AI56="",0,'Raw Data'!AI56)</f>
        <v>700</v>
      </c>
      <c r="AE42" s="12" t="n">
        <f aca="false">IF('Raw Data'!AJ56="",0,'Raw Data'!AJ56)</f>
        <v>700</v>
      </c>
      <c r="AF42" s="12" t="n">
        <f aca="false">IF('Raw Data'!AK56="",0,'Raw Data'!AK56)</f>
        <v>700</v>
      </c>
      <c r="AG42" s="12" t="n">
        <f aca="false">IF('Raw Data'!AL56="",0,'Raw Data'!AL56)</f>
        <v>700</v>
      </c>
      <c r="AH42" s="12" t="n">
        <f aca="false">IF('Raw Data'!AM56="",0,'Raw Data'!AM56)</f>
        <v>700</v>
      </c>
      <c r="AI42" s="12" t="n">
        <f aca="false">IF('Raw Data'!AN56="",0,'Raw Data'!AN56)</f>
        <v>700</v>
      </c>
      <c r="AJ42" s="12" t="n">
        <f aca="false">IF('Raw Data'!AO56="",0,'Raw Data'!AO56)</f>
        <v>700</v>
      </c>
      <c r="AK42" s="12" t="n">
        <f aca="false">IF('Raw Data'!AP56="",0,'Raw Data'!AP56)</f>
        <v>700</v>
      </c>
      <c r="AL42" s="12" t="n">
        <f aca="false">IF('Raw Data'!AQ56="",0,'Raw Data'!AQ56)</f>
        <v>700</v>
      </c>
      <c r="AM42" s="12" t="n">
        <f aca="false">IF('Raw Data'!AR56="",0,'Raw Data'!AR56)</f>
        <v>700</v>
      </c>
      <c r="AN42" s="12" t="n">
        <f aca="false">IF('Raw Data'!AS56="",0,'Raw Data'!AS56)</f>
        <v>700</v>
      </c>
      <c r="AO42" s="12" t="n">
        <f aca="false">IF('Raw Data'!AT56="",0,'Raw Data'!AT56)</f>
        <v>700</v>
      </c>
      <c r="AP42" s="12" t="n">
        <f aca="false">IF('Raw Data'!AU56="",0,'Raw Data'!AU56)</f>
        <v>700</v>
      </c>
      <c r="AQ42" s="12" t="n">
        <f aca="false">IF('Raw Data'!AV56="",0,'Raw Data'!AV56)</f>
        <v>700</v>
      </c>
      <c r="AR42" s="12" t="n">
        <f aca="false">IF('Raw Data'!AW56="",0,'Raw Data'!AW56)</f>
        <v>900</v>
      </c>
      <c r="AS42" s="12" t="n">
        <f aca="false">IF('Raw Data'!AX56="",0,'Raw Data'!AX56)</f>
        <v>900</v>
      </c>
      <c r="AT42" s="12" t="n">
        <f aca="false">IF('Raw Data'!AY56="",0,'Raw Data'!AY56)</f>
        <v>900</v>
      </c>
      <c r="AU42" s="12" t="n">
        <f aca="false">IF('Raw Data'!AZ56="",0,'Raw Data'!AZ56)</f>
        <v>900</v>
      </c>
      <c r="AV42" s="12" t="n">
        <f aca="false">IF('Raw Data'!BA56="",0,'Raw Data'!BA56)</f>
        <v>900</v>
      </c>
      <c r="AW42" s="12" t="n">
        <f aca="false">IF('Raw Data'!BB56="",0,'Raw Data'!BB56)</f>
        <v>900</v>
      </c>
      <c r="AX42" s="12" t="n">
        <f aca="false">IF('Raw Data'!BC56="",0,'Raw Data'!BC56)</f>
        <v>900</v>
      </c>
      <c r="AY42" s="12" t="n">
        <f aca="false">IF('Raw Data'!BD56="",0,'Raw Data'!BD56)</f>
        <v>900</v>
      </c>
      <c r="AZ42" s="12" t="n">
        <f aca="false">IF('Raw Data'!BE56="",0,'Raw Data'!BE56)</f>
        <v>900</v>
      </c>
      <c r="BA42" s="12" t="n">
        <f aca="false">IF('Raw Data'!BF56="",0,'Raw Data'!BF56)</f>
        <v>900</v>
      </c>
      <c r="BB42" s="12" t="n">
        <f aca="false">IF('Raw Data'!BG56="",0,'Raw Data'!BG56)</f>
        <v>900</v>
      </c>
      <c r="BC42" s="12" t="n">
        <f aca="false">IF('Raw Data'!BH56="",0,'Raw Data'!BH56)</f>
        <v>900</v>
      </c>
      <c r="BD42" s="12" t="n">
        <f aca="false">IF('Raw Data'!BI56="",0,'Raw Data'!BI56)</f>
        <v>900</v>
      </c>
      <c r="BE42" s="12" t="n">
        <f aca="false">IF('Raw Data'!BJ56="",0,'Raw Data'!BJ56)</f>
        <v>900</v>
      </c>
      <c r="BF42" s="12" t="n">
        <f aca="false">IF('Raw Data'!BK56="",0,'Raw Data'!BK56)</f>
        <v>900</v>
      </c>
      <c r="BG42" s="12" t="n">
        <f aca="false">IF('Raw Data'!BL56="",0,'Raw Data'!BL56)</f>
        <v>900</v>
      </c>
      <c r="BH42" s="12" t="n">
        <f aca="false">IF('Raw Data'!BM56="",0,'Raw Data'!BM56)</f>
        <v>900</v>
      </c>
      <c r="BI42" s="12" t="n">
        <f aca="false">IF('Raw Data'!BN56="",0,'Raw Data'!BN56)</f>
        <v>900</v>
      </c>
      <c r="BJ42" s="12" t="n">
        <f aca="false">IF('Raw Data'!BO56="",0,'Raw Data'!BO56)</f>
        <v>900</v>
      </c>
      <c r="BK42" s="12" t="n">
        <f aca="false">IF('Raw Data'!BP56="",0,'Raw Data'!BP56)</f>
        <v>900</v>
      </c>
      <c r="BL42" s="12" t="n">
        <f aca="false">IF('Raw Data'!BQ56="",0,'Raw Data'!BQ56)</f>
        <v>900</v>
      </c>
      <c r="BM42" s="12" t="n">
        <f aca="false">IF('Raw Data'!BR56="",0,'Raw Data'!BR56)</f>
        <v>900</v>
      </c>
      <c r="BN42" s="12" t="n">
        <f aca="false">IF('Raw Data'!BS56="",0,'Raw Data'!BS56)</f>
        <v>900</v>
      </c>
      <c r="BO42" s="21" t="b">
        <f aca="false">FALSE()</f>
        <v>0</v>
      </c>
    </row>
    <row r="43" customFormat="false" ht="15" hidden="false" customHeight="false" outlineLevel="0" collapsed="false">
      <c r="A43" s="20" t="str">
        <f aca="false">'Raw Data'!A57</f>
        <v>Local Account #47 from NY</v>
      </c>
      <c r="B43" s="12" t="n">
        <f aca="false">IF('Raw Data'!G57="",0,'Raw Data'!G57)</f>
        <v>291.666666666667</v>
      </c>
      <c r="C43" s="12" t="n">
        <f aca="false">IF('Raw Data'!H57="",0,'Raw Data'!H57)</f>
        <v>291.666666666667</v>
      </c>
      <c r="D43" s="12" t="n">
        <f aca="false">IF('Raw Data'!I57="",0,'Raw Data'!I57)</f>
        <v>291.666666666667</v>
      </c>
      <c r="E43" s="12" t="n">
        <f aca="false">IF('Raw Data'!J57="",0,'Raw Data'!J57)</f>
        <v>291.666666666667</v>
      </c>
      <c r="F43" s="12" t="n">
        <f aca="false">IF('Raw Data'!K57="",0,'Raw Data'!K57)</f>
        <v>291.666666666667</v>
      </c>
      <c r="G43" s="12" t="n">
        <f aca="false">IF('Raw Data'!L57="",0,'Raw Data'!L57)</f>
        <v>291.666666666667</v>
      </c>
      <c r="H43" s="12" t="n">
        <f aca="false">IF('Raw Data'!M57="",0,'Raw Data'!M57)</f>
        <v>291.666666666667</v>
      </c>
      <c r="I43" s="12" t="n">
        <f aca="false">IF('Raw Data'!N57="",0,'Raw Data'!N57)</f>
        <v>291.666666666667</v>
      </c>
      <c r="J43" s="12" t="n">
        <f aca="false">IF('Raw Data'!O57="",0,'Raw Data'!O57)</f>
        <v>291.666666666667</v>
      </c>
      <c r="K43" s="12" t="n">
        <f aca="false">IF('Raw Data'!P57="",0,'Raw Data'!P57)</f>
        <v>291.666666666667</v>
      </c>
      <c r="L43" s="12" t="n">
        <f aca="false">IF('Raw Data'!Q57="",0,'Raw Data'!Q57)</f>
        <v>291.666666666667</v>
      </c>
      <c r="M43" s="12" t="n">
        <f aca="false">IF('Raw Data'!R57="",0,'Raw Data'!R57)</f>
        <v>291.666666666667</v>
      </c>
      <c r="N43" s="12" t="n">
        <f aca="false">IF('Raw Data'!S57="",0,'Raw Data'!S57)</f>
        <v>291.666666666667</v>
      </c>
      <c r="O43" s="12" t="n">
        <f aca="false">IF('Raw Data'!T57="",0,'Raw Data'!T57)</f>
        <v>291.666666666667</v>
      </c>
      <c r="P43" s="12" t="n">
        <f aca="false">IF('Raw Data'!U57="",0,'Raw Data'!U57)</f>
        <v>291.666666666667</v>
      </c>
      <c r="Q43" s="12" t="n">
        <f aca="false">IF('Raw Data'!V57="",0,'Raw Data'!V57)</f>
        <v>291.666666666667</v>
      </c>
      <c r="R43" s="12" t="n">
        <f aca="false">IF('Raw Data'!W57="",0,'Raw Data'!W57)</f>
        <v>291.666666666667</v>
      </c>
      <c r="S43" s="12" t="n">
        <f aca="false">IF('Raw Data'!X57="",0,'Raw Data'!X57)</f>
        <v>291.666666666667</v>
      </c>
      <c r="T43" s="12" t="n">
        <f aca="false">IF('Raw Data'!Y57="",0,'Raw Data'!Y57)</f>
        <v>291.666666666667</v>
      </c>
      <c r="U43" s="12" t="n">
        <f aca="false">IF('Raw Data'!Z57="",0,'Raw Data'!Z57)</f>
        <v>291.666666666667</v>
      </c>
      <c r="V43" s="12" t="n">
        <f aca="false">IF('Raw Data'!AA57="",0,'Raw Data'!AA57)</f>
        <v>291.666666666667</v>
      </c>
      <c r="W43" s="12" t="n">
        <f aca="false">IF('Raw Data'!AB57="",0,'Raw Data'!AB57)</f>
        <v>291.666666666667</v>
      </c>
      <c r="X43" s="12" t="n">
        <f aca="false">IF('Raw Data'!AC57="",0,'Raw Data'!AC57)</f>
        <v>291.666666666667</v>
      </c>
      <c r="Y43" s="12" t="n">
        <f aca="false">IF('Raw Data'!AD57="",0,'Raw Data'!AD57)</f>
        <v>291.666666666667</v>
      </c>
      <c r="Z43" s="12" t="n">
        <f aca="false">IF('Raw Data'!AE57="",0,'Raw Data'!AE57)</f>
        <v>333.333333333333</v>
      </c>
      <c r="AA43" s="12" t="n">
        <f aca="false">IF('Raw Data'!AF57="",0,'Raw Data'!AF57)</f>
        <v>333.333333333333</v>
      </c>
      <c r="AB43" s="12" t="n">
        <f aca="false">IF('Raw Data'!AG57="",0,'Raw Data'!AG57)</f>
        <v>333.333333333333</v>
      </c>
      <c r="AC43" s="12" t="n">
        <f aca="false">IF('Raw Data'!AH57="",0,'Raw Data'!AH57)</f>
        <v>333.333333333333</v>
      </c>
      <c r="AD43" s="12" t="n">
        <f aca="false">IF('Raw Data'!AI57="",0,'Raw Data'!AI57)</f>
        <v>333.333333333333</v>
      </c>
      <c r="AE43" s="12" t="n">
        <f aca="false">IF('Raw Data'!AJ57="",0,'Raw Data'!AJ57)</f>
        <v>333.333333333333</v>
      </c>
      <c r="AF43" s="12" t="n">
        <f aca="false">IF('Raw Data'!AK57="",0,'Raw Data'!AK57)</f>
        <v>333.333333333333</v>
      </c>
      <c r="AG43" s="12" t="n">
        <f aca="false">IF('Raw Data'!AL57="",0,'Raw Data'!AL57)</f>
        <v>333.333333333333</v>
      </c>
      <c r="AH43" s="12" t="n">
        <f aca="false">IF('Raw Data'!AM57="",0,'Raw Data'!AM57)</f>
        <v>333.333333333333</v>
      </c>
      <c r="AI43" s="12" t="n">
        <f aca="false">IF('Raw Data'!AN57="",0,'Raw Data'!AN57)</f>
        <v>333.333333333333</v>
      </c>
      <c r="AJ43" s="12" t="n">
        <f aca="false">IF('Raw Data'!AO57="",0,'Raw Data'!AO57)</f>
        <v>333.333333333333</v>
      </c>
      <c r="AK43" s="12" t="n">
        <f aca="false">IF('Raw Data'!AP57="",0,'Raw Data'!AP57)</f>
        <v>333.333333333333</v>
      </c>
      <c r="AL43" s="12" t="n">
        <f aca="false">IF('Raw Data'!AQ57="",0,'Raw Data'!AQ57)</f>
        <v>333.333333333333</v>
      </c>
      <c r="AM43" s="12" t="n">
        <f aca="false">IF('Raw Data'!AR57="",0,'Raw Data'!AR57)</f>
        <v>333.333333333333</v>
      </c>
      <c r="AN43" s="12" t="n">
        <f aca="false">IF('Raw Data'!AS57="",0,'Raw Data'!AS57)</f>
        <v>333.333333333333</v>
      </c>
      <c r="AO43" s="12" t="n">
        <f aca="false">IF('Raw Data'!AT57="",0,'Raw Data'!AT57)</f>
        <v>333.333333333333</v>
      </c>
      <c r="AP43" s="12" t="n">
        <f aca="false">IF('Raw Data'!AU57="",0,'Raw Data'!AU57)</f>
        <v>333.333333333333</v>
      </c>
      <c r="AQ43" s="12" t="n">
        <f aca="false">IF('Raw Data'!AV57="",0,'Raw Data'!AV57)</f>
        <v>333.333333333333</v>
      </c>
      <c r="AR43" s="12" t="n">
        <f aca="false">IF('Raw Data'!AW57="",0,'Raw Data'!AW57)</f>
        <v>333.333333333333</v>
      </c>
      <c r="AS43" s="12" t="n">
        <f aca="false">IF('Raw Data'!AX57="",0,'Raw Data'!AX57)</f>
        <v>333.333333333333</v>
      </c>
      <c r="AT43" s="12" t="n">
        <f aca="false">IF('Raw Data'!AY57="",0,'Raw Data'!AY57)</f>
        <v>333.333333333333</v>
      </c>
      <c r="AU43" s="12" t="n">
        <f aca="false">IF('Raw Data'!AZ57="",0,'Raw Data'!AZ57)</f>
        <v>333.333333333333</v>
      </c>
      <c r="AV43" s="12" t="n">
        <f aca="false">IF('Raw Data'!BA57="",0,'Raw Data'!BA57)</f>
        <v>333.333333333333</v>
      </c>
      <c r="AW43" s="12" t="n">
        <f aca="false">IF('Raw Data'!BB57="",0,'Raw Data'!BB57)</f>
        <v>333.333333333333</v>
      </c>
      <c r="AX43" s="12" t="n">
        <f aca="false">IF('Raw Data'!BC57="",0,'Raw Data'!BC57)</f>
        <v>333.333333333333</v>
      </c>
      <c r="AY43" s="12" t="n">
        <f aca="false">IF('Raw Data'!BD57="",0,'Raw Data'!BD57)</f>
        <v>333.333333333333</v>
      </c>
      <c r="AZ43" s="12" t="n">
        <f aca="false">IF('Raw Data'!BE57="",0,'Raw Data'!BE57)</f>
        <v>333.333333333333</v>
      </c>
      <c r="BA43" s="12" t="n">
        <f aca="false">IF('Raw Data'!BF57="",0,'Raw Data'!BF57)</f>
        <v>333.333333333333</v>
      </c>
      <c r="BB43" s="12" t="n">
        <f aca="false">IF('Raw Data'!BG57="",0,'Raw Data'!BG57)</f>
        <v>333.333333333333</v>
      </c>
      <c r="BC43" s="12" t="n">
        <f aca="false">IF('Raw Data'!BH57="",0,'Raw Data'!BH57)</f>
        <v>333.333333333333</v>
      </c>
      <c r="BD43" s="12" t="n">
        <f aca="false">IF('Raw Data'!BI57="",0,'Raw Data'!BI57)</f>
        <v>350</v>
      </c>
      <c r="BE43" s="12" t="n">
        <f aca="false">IF('Raw Data'!BJ57="",0,'Raw Data'!BJ57)</f>
        <v>350</v>
      </c>
      <c r="BF43" s="12" t="n">
        <f aca="false">IF('Raw Data'!BK57="",0,'Raw Data'!BK57)</f>
        <v>350</v>
      </c>
      <c r="BG43" s="12" t="n">
        <f aca="false">IF('Raw Data'!BL57="",0,'Raw Data'!BL57)</f>
        <v>350</v>
      </c>
      <c r="BH43" s="12" t="n">
        <f aca="false">IF('Raw Data'!BM57="",0,'Raw Data'!BM57)</f>
        <v>350</v>
      </c>
      <c r="BI43" s="12" t="n">
        <f aca="false">IF('Raw Data'!BN57="",0,'Raw Data'!BN57)</f>
        <v>350</v>
      </c>
      <c r="BJ43" s="12" t="n">
        <f aca="false">IF('Raw Data'!BO57="",0,'Raw Data'!BO57)</f>
        <v>350</v>
      </c>
      <c r="BK43" s="12" t="n">
        <f aca="false">IF('Raw Data'!BP57="",0,'Raw Data'!BP57)</f>
        <v>350</v>
      </c>
      <c r="BL43" s="12" t="n">
        <f aca="false">IF('Raw Data'!BQ57="",0,'Raw Data'!BQ57)</f>
        <v>350</v>
      </c>
      <c r="BM43" s="12" t="n">
        <f aca="false">IF('Raw Data'!BR57="",0,'Raw Data'!BR57)</f>
        <v>350</v>
      </c>
      <c r="BN43" s="12" t="n">
        <f aca="false">IF('Raw Data'!BS57="",0,'Raw Data'!BS57)</f>
        <v>350</v>
      </c>
      <c r="BO43" s="21" t="b">
        <f aca="false">FALSE()</f>
        <v>0</v>
      </c>
    </row>
    <row r="44" customFormat="false" ht="15" hidden="false" customHeight="false" outlineLevel="0" collapsed="false">
      <c r="A44" s="20" t="str">
        <f aca="false">'Raw Data'!A58</f>
        <v>Local Account #48 from IL</v>
      </c>
      <c r="B44" s="12" t="n">
        <f aca="false">IF('Raw Data'!G58="",0,'Raw Data'!G58)</f>
        <v>0</v>
      </c>
      <c r="C44" s="12" t="n">
        <f aca="false">IF('Raw Data'!H58="",0,'Raw Data'!H58)</f>
        <v>0</v>
      </c>
      <c r="D44" s="12" t="n">
        <f aca="false">IF('Raw Data'!I58="",0,'Raw Data'!I58)</f>
        <v>0</v>
      </c>
      <c r="E44" s="12" t="n">
        <f aca="false">IF('Raw Data'!J58="",0,'Raw Data'!J58)</f>
        <v>0</v>
      </c>
      <c r="F44" s="12" t="n">
        <f aca="false">IF('Raw Data'!K58="",0,'Raw Data'!K58)</f>
        <v>0</v>
      </c>
      <c r="G44" s="12" t="n">
        <f aca="false">IF('Raw Data'!L58="",0,'Raw Data'!L58)</f>
        <v>0</v>
      </c>
      <c r="H44" s="12" t="n">
        <f aca="false">IF('Raw Data'!M58="",0,'Raw Data'!M58)</f>
        <v>5100</v>
      </c>
      <c r="I44" s="12" t="n">
        <f aca="false">IF('Raw Data'!N58="",0,'Raw Data'!N58)</f>
        <v>5100</v>
      </c>
      <c r="J44" s="12" t="n">
        <f aca="false">IF('Raw Data'!O58="",0,'Raw Data'!O58)</f>
        <v>5100</v>
      </c>
      <c r="K44" s="12" t="n">
        <f aca="false">IF('Raw Data'!P58="",0,'Raw Data'!P58)</f>
        <v>5100</v>
      </c>
      <c r="L44" s="12" t="n">
        <f aca="false">IF('Raw Data'!Q58="",0,'Raw Data'!Q58)</f>
        <v>5100</v>
      </c>
      <c r="M44" s="12" t="n">
        <f aca="false">IF('Raw Data'!R58="",0,'Raw Data'!R58)</f>
        <v>5100</v>
      </c>
      <c r="N44" s="12" t="n">
        <f aca="false">IF('Raw Data'!S58="",0,'Raw Data'!S58)</f>
        <v>5100</v>
      </c>
      <c r="O44" s="12" t="n">
        <f aca="false">IF('Raw Data'!T58="",0,'Raw Data'!T58)</f>
        <v>5100</v>
      </c>
      <c r="P44" s="12" t="n">
        <f aca="false">IF('Raw Data'!U58="",0,'Raw Data'!U58)</f>
        <v>5100</v>
      </c>
      <c r="Q44" s="12" t="n">
        <f aca="false">IF('Raw Data'!V58="",0,'Raw Data'!V58)</f>
        <v>5100</v>
      </c>
      <c r="R44" s="12" t="n">
        <f aca="false">IF('Raw Data'!W58="",0,'Raw Data'!W58)</f>
        <v>5100</v>
      </c>
      <c r="S44" s="12" t="n">
        <f aca="false">IF('Raw Data'!X58="",0,'Raw Data'!X58)</f>
        <v>5100</v>
      </c>
      <c r="T44" s="12" t="n">
        <f aca="false">IF('Raw Data'!Y58="",0,'Raw Data'!Y58)</f>
        <v>5140</v>
      </c>
      <c r="U44" s="12" t="n">
        <f aca="false">IF('Raw Data'!Z58="",0,'Raw Data'!Z58)</f>
        <v>5140</v>
      </c>
      <c r="V44" s="12" t="n">
        <f aca="false">IF('Raw Data'!AA58="",0,'Raw Data'!AA58)</f>
        <v>5140</v>
      </c>
      <c r="W44" s="12" t="n">
        <f aca="false">IF('Raw Data'!AB58="",0,'Raw Data'!AB58)</f>
        <v>5140</v>
      </c>
      <c r="X44" s="12" t="n">
        <f aca="false">IF('Raw Data'!AC58="",0,'Raw Data'!AC58)</f>
        <v>5140</v>
      </c>
      <c r="Y44" s="12" t="n">
        <f aca="false">IF('Raw Data'!AD58="",0,'Raw Data'!AD58)</f>
        <v>5140</v>
      </c>
      <c r="Z44" s="12" t="n">
        <f aca="false">IF('Raw Data'!AE58="",0,'Raw Data'!AE58)</f>
        <v>5140</v>
      </c>
      <c r="AA44" s="12" t="n">
        <f aca="false">IF('Raw Data'!AF58="",0,'Raw Data'!AF58)</f>
        <v>5140</v>
      </c>
      <c r="AB44" s="12" t="n">
        <f aca="false">IF('Raw Data'!AG58="",0,'Raw Data'!AG58)</f>
        <v>5140</v>
      </c>
      <c r="AC44" s="12" t="n">
        <f aca="false">IF('Raw Data'!AH58="",0,'Raw Data'!AH58)</f>
        <v>5140</v>
      </c>
      <c r="AD44" s="12" t="n">
        <f aca="false">IF('Raw Data'!AI58="",0,'Raw Data'!AI58)</f>
        <v>5140</v>
      </c>
      <c r="AE44" s="12" t="n">
        <f aca="false">IF('Raw Data'!AJ58="",0,'Raw Data'!AJ58)</f>
        <v>5140</v>
      </c>
      <c r="AF44" s="12" t="n">
        <f aca="false">IF('Raw Data'!AK58="",0,'Raw Data'!AK58)</f>
        <v>5397</v>
      </c>
      <c r="AG44" s="12" t="n">
        <f aca="false">IF('Raw Data'!AL58="",0,'Raw Data'!AL58)</f>
        <v>5397</v>
      </c>
      <c r="AH44" s="12" t="n">
        <f aca="false">IF('Raw Data'!AM58="",0,'Raw Data'!AM58)</f>
        <v>5397</v>
      </c>
      <c r="AI44" s="12" t="n">
        <f aca="false">IF('Raw Data'!AN58="",0,'Raw Data'!AN58)</f>
        <v>5397</v>
      </c>
      <c r="AJ44" s="12" t="n">
        <f aca="false">IF('Raw Data'!AO58="",0,'Raw Data'!AO58)</f>
        <v>5397</v>
      </c>
      <c r="AK44" s="12" t="n">
        <f aca="false">IF('Raw Data'!AP58="",0,'Raw Data'!AP58)</f>
        <v>5397</v>
      </c>
      <c r="AL44" s="12" t="n">
        <f aca="false">IF('Raw Data'!AQ58="",0,'Raw Data'!AQ58)</f>
        <v>5397</v>
      </c>
      <c r="AM44" s="12" t="n">
        <f aca="false">IF('Raw Data'!AR58="",0,'Raw Data'!AR58)</f>
        <v>5397</v>
      </c>
      <c r="AN44" s="12" t="n">
        <f aca="false">IF('Raw Data'!AS58="",0,'Raw Data'!AS58)</f>
        <v>5397</v>
      </c>
      <c r="AO44" s="12" t="n">
        <f aca="false">IF('Raw Data'!AT58="",0,'Raw Data'!AT58)</f>
        <v>5397</v>
      </c>
      <c r="AP44" s="12" t="n">
        <f aca="false">IF('Raw Data'!AU58="",0,'Raw Data'!AU58)</f>
        <v>5397</v>
      </c>
      <c r="AQ44" s="12" t="n">
        <f aca="false">IF('Raw Data'!AV58="",0,'Raw Data'!AV58)</f>
        <v>5397</v>
      </c>
      <c r="AR44" s="12" t="n">
        <f aca="false">IF('Raw Data'!AW58="",0,'Raw Data'!AW58)</f>
        <v>4609.5</v>
      </c>
      <c r="AS44" s="12" t="n">
        <f aca="false">IF('Raw Data'!AX58="",0,'Raw Data'!AX58)</f>
        <v>4609.5</v>
      </c>
      <c r="AT44" s="12" t="n">
        <f aca="false">IF('Raw Data'!AY58="",0,'Raw Data'!AY58)</f>
        <v>4609.5</v>
      </c>
      <c r="AU44" s="12" t="n">
        <f aca="false">IF('Raw Data'!AZ58="",0,'Raw Data'!AZ58)</f>
        <v>4609.5</v>
      </c>
      <c r="AV44" s="12" t="n">
        <f aca="false">IF('Raw Data'!BA58="",0,'Raw Data'!BA58)</f>
        <v>4609.5</v>
      </c>
      <c r="AW44" s="12" t="n">
        <f aca="false">IF('Raw Data'!BB58="",0,'Raw Data'!BB58)</f>
        <v>4609.5</v>
      </c>
      <c r="AX44" s="12" t="n">
        <f aca="false">IF('Raw Data'!BC58="",0,'Raw Data'!BC58)</f>
        <v>4609.5</v>
      </c>
      <c r="AY44" s="12" t="n">
        <f aca="false">IF('Raw Data'!BD58="",0,'Raw Data'!BD58)</f>
        <v>4609.5</v>
      </c>
      <c r="AZ44" s="12" t="n">
        <f aca="false">IF('Raw Data'!BE58="",0,'Raw Data'!BE58)</f>
        <v>4609.5</v>
      </c>
      <c r="BA44" s="12" t="n">
        <f aca="false">IF('Raw Data'!BF58="",0,'Raw Data'!BF58)</f>
        <v>4609.5</v>
      </c>
      <c r="BB44" s="12" t="n">
        <f aca="false">IF('Raw Data'!BG58="",0,'Raw Data'!BG58)</f>
        <v>4609.5</v>
      </c>
      <c r="BC44" s="12" t="n">
        <f aca="false">IF('Raw Data'!BH58="",0,'Raw Data'!BH58)</f>
        <v>4609.5</v>
      </c>
      <c r="BD44" s="12" t="n">
        <f aca="false">IF('Raw Data'!BI58="",0,'Raw Data'!BI58)</f>
        <v>1700</v>
      </c>
      <c r="BE44" s="12" t="n">
        <f aca="false">IF('Raw Data'!BJ58="",0,'Raw Data'!BJ58)</f>
        <v>1700</v>
      </c>
      <c r="BF44" s="12" t="n">
        <f aca="false">IF('Raw Data'!BK58="",0,'Raw Data'!BK58)</f>
        <v>1700</v>
      </c>
      <c r="BG44" s="12" t="n">
        <f aca="false">IF('Raw Data'!BL58="",0,'Raw Data'!BL58)</f>
        <v>1700</v>
      </c>
      <c r="BH44" s="12" t="n">
        <f aca="false">IF('Raw Data'!BM58="",0,'Raw Data'!BM58)</f>
        <v>1700</v>
      </c>
      <c r="BI44" s="12" t="n">
        <f aca="false">IF('Raw Data'!BN58="",0,'Raw Data'!BN58)</f>
        <v>1700</v>
      </c>
      <c r="BJ44" s="12" t="n">
        <f aca="false">IF('Raw Data'!BO58="",0,'Raw Data'!BO58)</f>
        <v>1700</v>
      </c>
      <c r="BK44" s="12" t="n">
        <f aca="false">IF('Raw Data'!BP58="",0,'Raw Data'!BP58)</f>
        <v>1700</v>
      </c>
      <c r="BL44" s="12" t="n">
        <f aca="false">IF('Raw Data'!BQ58="",0,'Raw Data'!BQ58)</f>
        <v>1700</v>
      </c>
      <c r="BM44" s="12" t="n">
        <f aca="false">IF('Raw Data'!BR58="",0,'Raw Data'!BR58)</f>
        <v>1700</v>
      </c>
      <c r="BN44" s="12" t="n">
        <f aca="false">IF('Raw Data'!BS58="",0,'Raw Data'!BS58)</f>
        <v>1700</v>
      </c>
      <c r="BO44" s="21" t="b">
        <f aca="false">FALSE()</f>
        <v>0</v>
      </c>
    </row>
    <row r="45" customFormat="false" ht="15" hidden="false" customHeight="false" outlineLevel="0" collapsed="false">
      <c r="A45" s="20" t="str">
        <f aca="false">'Raw Data'!A59</f>
        <v>Local Account #49 from KY</v>
      </c>
      <c r="B45" s="12" t="n">
        <f aca="false">IF('Raw Data'!G59="",0,'Raw Data'!G59)</f>
        <v>0</v>
      </c>
      <c r="C45" s="12" t="n">
        <f aca="false">IF('Raw Data'!H59="",0,'Raw Data'!H59)</f>
        <v>0</v>
      </c>
      <c r="D45" s="12" t="n">
        <f aca="false">IF('Raw Data'!I59="",0,'Raw Data'!I59)</f>
        <v>0</v>
      </c>
      <c r="E45" s="12" t="n">
        <f aca="false">IF('Raw Data'!J59="",0,'Raw Data'!J59)</f>
        <v>0</v>
      </c>
      <c r="F45" s="12" t="n">
        <f aca="false">IF('Raw Data'!K59="",0,'Raw Data'!K59)</f>
        <v>0</v>
      </c>
      <c r="G45" s="12" t="n">
        <f aca="false">IF('Raw Data'!L59="",0,'Raw Data'!L59)</f>
        <v>0</v>
      </c>
      <c r="H45" s="12" t="n">
        <f aca="false">IF('Raw Data'!M59="",0,'Raw Data'!M59)</f>
        <v>0</v>
      </c>
      <c r="I45" s="12" t="n">
        <f aca="false">IF('Raw Data'!N59="",0,'Raw Data'!N59)</f>
        <v>0</v>
      </c>
      <c r="J45" s="12" t="n">
        <f aca="false">IF('Raw Data'!O59="",0,'Raw Data'!O59)</f>
        <v>0</v>
      </c>
      <c r="K45" s="12" t="n">
        <f aca="false">IF('Raw Data'!P59="",0,'Raw Data'!P59)</f>
        <v>4666.66666666667</v>
      </c>
      <c r="L45" s="12" t="n">
        <f aca="false">IF('Raw Data'!Q59="",0,'Raw Data'!Q59)</f>
        <v>4666.66666666667</v>
      </c>
      <c r="M45" s="12" t="n">
        <f aca="false">IF('Raw Data'!R59="",0,'Raw Data'!R59)</f>
        <v>4666.66666666667</v>
      </c>
      <c r="N45" s="12" t="n">
        <f aca="false">IF('Raw Data'!S59="",0,'Raw Data'!S59)</f>
        <v>4666.66666666667</v>
      </c>
      <c r="O45" s="12" t="n">
        <f aca="false">IF('Raw Data'!T59="",0,'Raw Data'!T59)</f>
        <v>4666.66666666667</v>
      </c>
      <c r="P45" s="12" t="n">
        <f aca="false">IF('Raw Data'!U59="",0,'Raw Data'!U59)</f>
        <v>4666.66666666667</v>
      </c>
      <c r="Q45" s="12" t="n">
        <f aca="false">IF('Raw Data'!V59="",0,'Raw Data'!V59)</f>
        <v>4666.66666666667</v>
      </c>
      <c r="R45" s="12" t="n">
        <f aca="false">IF('Raw Data'!W59="",0,'Raw Data'!W59)</f>
        <v>4666.66666666667</v>
      </c>
      <c r="S45" s="12" t="n">
        <f aca="false">IF('Raw Data'!X59="",0,'Raw Data'!X59)</f>
        <v>4666.66666666667</v>
      </c>
      <c r="T45" s="12" t="n">
        <f aca="false">IF('Raw Data'!Y59="",0,'Raw Data'!Y59)</f>
        <v>5000</v>
      </c>
      <c r="U45" s="12" t="n">
        <f aca="false">IF('Raw Data'!Z59="",0,'Raw Data'!Z59)</f>
        <v>5000</v>
      </c>
      <c r="V45" s="12" t="n">
        <f aca="false">IF('Raw Data'!AA59="",0,'Raw Data'!AA59)</f>
        <v>5000</v>
      </c>
      <c r="W45" s="12" t="n">
        <f aca="false">IF('Raw Data'!AB59="",0,'Raw Data'!AB59)</f>
        <v>5166.66666666667</v>
      </c>
      <c r="X45" s="12" t="n">
        <f aca="false">IF('Raw Data'!AC59="",0,'Raw Data'!AC59)</f>
        <v>5166.66666666667</v>
      </c>
      <c r="Y45" s="12" t="n">
        <f aca="false">IF('Raw Data'!AD59="",0,'Raw Data'!AD59)</f>
        <v>5166.66666666667</v>
      </c>
      <c r="Z45" s="12" t="n">
        <f aca="false">IF('Raw Data'!AE59="",0,'Raw Data'!AE59)</f>
        <v>5833.34666666667</v>
      </c>
      <c r="AA45" s="12" t="n">
        <f aca="false">IF('Raw Data'!AF59="",0,'Raw Data'!AF59)</f>
        <v>5833.34666666667</v>
      </c>
      <c r="AB45" s="12" t="n">
        <f aca="false">IF('Raw Data'!AG59="",0,'Raw Data'!AG59)</f>
        <v>5833.34666666667</v>
      </c>
      <c r="AC45" s="12" t="n">
        <f aca="false">IF('Raw Data'!AH59="",0,'Raw Data'!AH59)</f>
        <v>5833.34666666667</v>
      </c>
      <c r="AD45" s="12" t="n">
        <f aca="false">IF('Raw Data'!AI59="",0,'Raw Data'!AI59)</f>
        <v>5833.34666666667</v>
      </c>
      <c r="AE45" s="12" t="n">
        <f aca="false">IF('Raw Data'!AJ59="",0,'Raw Data'!AJ59)</f>
        <v>6166.68666666667</v>
      </c>
      <c r="AF45" s="12" t="n">
        <f aca="false">IF('Raw Data'!AK59="",0,'Raw Data'!AK59)</f>
        <v>6166.68666666667</v>
      </c>
      <c r="AG45" s="12" t="n">
        <f aca="false">IF('Raw Data'!AL59="",0,'Raw Data'!AL59)</f>
        <v>6166.68666666667</v>
      </c>
      <c r="AH45" s="12" t="n">
        <f aca="false">IF('Raw Data'!AM59="",0,'Raw Data'!AM59)</f>
        <v>6166.68666666667</v>
      </c>
      <c r="AI45" s="12" t="n">
        <f aca="false">IF('Raw Data'!AN59="",0,'Raw Data'!AN59)</f>
        <v>6833.33333333333</v>
      </c>
      <c r="AJ45" s="12" t="n">
        <f aca="false">IF('Raw Data'!AO59="",0,'Raw Data'!AO59)</f>
        <v>6833.33333333333</v>
      </c>
      <c r="AK45" s="12" t="n">
        <f aca="false">IF('Raw Data'!AP59="",0,'Raw Data'!AP59)</f>
        <v>6833.33333333333</v>
      </c>
      <c r="AL45" s="12" t="n">
        <f aca="false">IF('Raw Data'!AQ59="",0,'Raw Data'!AQ59)</f>
        <v>6833.33333333333</v>
      </c>
      <c r="AM45" s="12" t="n">
        <f aca="false">IF('Raw Data'!AR59="",0,'Raw Data'!AR59)</f>
        <v>6833.33333333333</v>
      </c>
      <c r="AN45" s="12" t="n">
        <f aca="false">IF('Raw Data'!AS59="",0,'Raw Data'!AS59)</f>
        <v>6833.33333333333</v>
      </c>
      <c r="AO45" s="12" t="n">
        <f aca="false">IF('Raw Data'!AT59="",0,'Raw Data'!AT59)</f>
        <v>6833.33333333333</v>
      </c>
      <c r="AP45" s="12" t="n">
        <f aca="false">IF('Raw Data'!AU59="",0,'Raw Data'!AU59)</f>
        <v>6833.33333333333</v>
      </c>
      <c r="AQ45" s="12" t="n">
        <f aca="false">IF('Raw Data'!AV59="",0,'Raw Data'!AV59)</f>
        <v>6833.33333333333</v>
      </c>
      <c r="AR45" s="12" t="n">
        <f aca="false">IF('Raw Data'!AW59="",0,'Raw Data'!AW59)</f>
        <v>16833.3333333333</v>
      </c>
      <c r="AS45" s="12" t="n">
        <f aca="false">IF('Raw Data'!AX59="",0,'Raw Data'!AX59)</f>
        <v>16833.3333333333</v>
      </c>
      <c r="AT45" s="12" t="n">
        <f aca="false">IF('Raw Data'!AY59="",0,'Raw Data'!AY59)</f>
        <v>16833.3333333333</v>
      </c>
      <c r="AU45" s="12" t="n">
        <f aca="false">IF('Raw Data'!AZ59="",0,'Raw Data'!AZ59)</f>
        <v>13902.5</v>
      </c>
      <c r="AV45" s="12" t="n">
        <f aca="false">IF('Raw Data'!BA59="",0,'Raw Data'!BA59)</f>
        <v>13902.5</v>
      </c>
      <c r="AW45" s="12" t="n">
        <f aca="false">IF('Raw Data'!BB59="",0,'Raw Data'!BB59)</f>
        <v>13902.5</v>
      </c>
      <c r="AX45" s="12" t="n">
        <f aca="false">IF('Raw Data'!BC59="",0,'Raw Data'!BC59)</f>
        <v>13902.5</v>
      </c>
      <c r="AY45" s="12" t="n">
        <f aca="false">IF('Raw Data'!BD59="",0,'Raw Data'!BD59)</f>
        <v>13902.5</v>
      </c>
      <c r="AZ45" s="12" t="n">
        <f aca="false">IF('Raw Data'!BE59="",0,'Raw Data'!BE59)</f>
        <v>13902.5</v>
      </c>
      <c r="BA45" s="12" t="n">
        <f aca="false">IF('Raw Data'!BF59="",0,'Raw Data'!BF59)</f>
        <v>13902.5</v>
      </c>
      <c r="BB45" s="12" t="n">
        <f aca="false">IF('Raw Data'!BG59="",0,'Raw Data'!BG59)</f>
        <v>13902.5</v>
      </c>
      <c r="BC45" s="12" t="n">
        <f aca="false">IF('Raw Data'!BH59="",0,'Raw Data'!BH59)</f>
        <v>13902.5</v>
      </c>
      <c r="BD45" s="12" t="n">
        <f aca="false">IF('Raw Data'!BI59="",0,'Raw Data'!BI59)</f>
        <v>13902.5</v>
      </c>
      <c r="BE45" s="12" t="n">
        <f aca="false">IF('Raw Data'!BJ59="",0,'Raw Data'!BJ59)</f>
        <v>13977.5</v>
      </c>
      <c r="BF45" s="12" t="n">
        <f aca="false">IF('Raw Data'!BK59="",0,'Raw Data'!BK59)</f>
        <v>13977.5</v>
      </c>
      <c r="BG45" s="12" t="n">
        <f aca="false">IF('Raw Data'!BL59="",0,'Raw Data'!BL59)</f>
        <v>16970</v>
      </c>
      <c r="BH45" s="12" t="n">
        <f aca="false">IF('Raw Data'!BM59="",0,'Raw Data'!BM59)</f>
        <v>16970</v>
      </c>
      <c r="BI45" s="12" t="n">
        <f aca="false">IF('Raw Data'!BN59="",0,'Raw Data'!BN59)</f>
        <v>16970</v>
      </c>
      <c r="BJ45" s="12" t="n">
        <f aca="false">IF('Raw Data'!BO59="",0,'Raw Data'!BO59)</f>
        <v>16970</v>
      </c>
      <c r="BK45" s="12" t="n">
        <f aca="false">IF('Raw Data'!BP59="",0,'Raw Data'!BP59)</f>
        <v>16970</v>
      </c>
      <c r="BL45" s="12" t="n">
        <f aca="false">IF('Raw Data'!BQ59="",0,'Raw Data'!BQ59)</f>
        <v>16970</v>
      </c>
      <c r="BM45" s="12" t="n">
        <f aca="false">IF('Raw Data'!BR59="",0,'Raw Data'!BR59)</f>
        <v>16970</v>
      </c>
      <c r="BN45" s="12" t="n">
        <f aca="false">IF('Raw Data'!BS59="",0,'Raw Data'!BS59)</f>
        <v>16970</v>
      </c>
      <c r="BO45" s="21" t="b">
        <f aca="false">FALSE()</f>
        <v>0</v>
      </c>
    </row>
    <row r="46" customFormat="false" ht="15" hidden="false" customHeight="false" outlineLevel="0" collapsed="false">
      <c r="A46" s="20" t="str">
        <f aca="false">'Raw Data'!A16</f>
        <v>Local Account #5 from OH</v>
      </c>
      <c r="B46" s="12" t="n">
        <f aca="false">IF('Raw Data'!G16="",0,'Raw Data'!G16)</f>
        <v>0</v>
      </c>
      <c r="C46" s="12" t="n">
        <f aca="false">IF('Raw Data'!H16="",0,'Raw Data'!H16)</f>
        <v>0</v>
      </c>
      <c r="D46" s="12" t="n">
        <f aca="false">IF('Raw Data'!I16="",0,'Raw Data'!I16)</f>
        <v>0</v>
      </c>
      <c r="E46" s="12" t="n">
        <f aca="false">IF('Raw Data'!J16="",0,'Raw Data'!J16)</f>
        <v>0</v>
      </c>
      <c r="F46" s="12" t="n">
        <f aca="false">IF('Raw Data'!K16="",0,'Raw Data'!K16)</f>
        <v>0</v>
      </c>
      <c r="G46" s="12" t="n">
        <f aca="false">IF('Raw Data'!L16="",0,'Raw Data'!L16)</f>
        <v>0</v>
      </c>
      <c r="H46" s="12" t="n">
        <f aca="false">IF('Raw Data'!M16="",0,'Raw Data'!M16)</f>
        <v>0</v>
      </c>
      <c r="I46" s="12" t="n">
        <f aca="false">IF('Raw Data'!N16="",0,'Raw Data'!N16)</f>
        <v>0</v>
      </c>
      <c r="J46" s="12" t="n">
        <f aca="false">IF('Raw Data'!O16="",0,'Raw Data'!O16)</f>
        <v>0</v>
      </c>
      <c r="K46" s="12" t="n">
        <f aca="false">IF('Raw Data'!P16="",0,'Raw Data'!P16)</f>
        <v>0</v>
      </c>
      <c r="L46" s="12" t="n">
        <f aca="false">IF('Raw Data'!Q16="",0,'Raw Data'!Q16)</f>
        <v>0</v>
      </c>
      <c r="M46" s="12" t="n">
        <f aca="false">IF('Raw Data'!R16="",0,'Raw Data'!R16)</f>
        <v>0</v>
      </c>
      <c r="N46" s="12" t="n">
        <f aca="false">IF('Raw Data'!S16="",0,'Raw Data'!S16)</f>
        <v>0</v>
      </c>
      <c r="O46" s="12" t="n">
        <f aca="false">IF('Raw Data'!T16="",0,'Raw Data'!T16)</f>
        <v>0</v>
      </c>
      <c r="P46" s="12" t="n">
        <f aca="false">IF('Raw Data'!U16="",0,'Raw Data'!U16)</f>
        <v>0</v>
      </c>
      <c r="Q46" s="12" t="n">
        <f aca="false">IF('Raw Data'!V16="",0,'Raw Data'!V16)</f>
        <v>0</v>
      </c>
      <c r="R46" s="12" t="n">
        <f aca="false">IF('Raw Data'!W16="",0,'Raw Data'!W16)</f>
        <v>0</v>
      </c>
      <c r="S46" s="12" t="n">
        <f aca="false">IF('Raw Data'!X16="",0,'Raw Data'!X16)</f>
        <v>0</v>
      </c>
      <c r="T46" s="12" t="n">
        <f aca="false">IF('Raw Data'!Y16="",0,'Raw Data'!Y16)</f>
        <v>0</v>
      </c>
      <c r="U46" s="12" t="n">
        <f aca="false">IF('Raw Data'!Z16="",0,'Raw Data'!Z16)</f>
        <v>0</v>
      </c>
      <c r="V46" s="12" t="n">
        <f aca="false">IF('Raw Data'!AA16="",0,'Raw Data'!AA16)</f>
        <v>525</v>
      </c>
      <c r="W46" s="12" t="n">
        <f aca="false">IF('Raw Data'!AB16="",0,'Raw Data'!AB16)</f>
        <v>525</v>
      </c>
      <c r="X46" s="12" t="n">
        <f aca="false">IF('Raw Data'!AC16="",0,'Raw Data'!AC16)</f>
        <v>525</v>
      </c>
      <c r="Y46" s="12" t="n">
        <f aca="false">IF('Raw Data'!AD16="",0,'Raw Data'!AD16)</f>
        <v>525</v>
      </c>
      <c r="Z46" s="12" t="n">
        <f aca="false">IF('Raw Data'!AE16="",0,'Raw Data'!AE16)</f>
        <v>525</v>
      </c>
      <c r="AA46" s="12" t="n">
        <f aca="false">IF('Raw Data'!AF16="",0,'Raw Data'!AF16)</f>
        <v>525</v>
      </c>
      <c r="AB46" s="12" t="n">
        <f aca="false">IF('Raw Data'!AG16="",0,'Raw Data'!AG16)</f>
        <v>525</v>
      </c>
      <c r="AC46" s="12" t="n">
        <f aca="false">IF('Raw Data'!AH16="",0,'Raw Data'!AH16)</f>
        <v>525</v>
      </c>
      <c r="AD46" s="12" t="n">
        <f aca="false">IF('Raw Data'!AI16="",0,'Raw Data'!AI16)</f>
        <v>525</v>
      </c>
      <c r="AE46" s="12" t="n">
        <f aca="false">IF('Raw Data'!AJ16="",0,'Raw Data'!AJ16)</f>
        <v>525</v>
      </c>
      <c r="AF46" s="12" t="n">
        <f aca="false">IF('Raw Data'!AK16="",0,'Raw Data'!AK16)</f>
        <v>525</v>
      </c>
      <c r="AG46" s="12" t="n">
        <f aca="false">IF('Raw Data'!AL16="",0,'Raw Data'!AL16)</f>
        <v>525</v>
      </c>
      <c r="AH46" s="12" t="n">
        <f aca="false">IF('Raw Data'!AM16="",0,'Raw Data'!AM16)</f>
        <v>1215.8175</v>
      </c>
      <c r="AI46" s="12" t="n">
        <f aca="false">IF('Raw Data'!AN16="",0,'Raw Data'!AN16)</f>
        <v>1215.8175</v>
      </c>
      <c r="AJ46" s="12" t="n">
        <f aca="false">IF('Raw Data'!AO16="",0,'Raw Data'!AO16)</f>
        <v>1215.8175</v>
      </c>
      <c r="AK46" s="12" t="n">
        <f aca="false">IF('Raw Data'!AP16="",0,'Raw Data'!AP16)</f>
        <v>1215.8175</v>
      </c>
      <c r="AL46" s="12" t="n">
        <f aca="false">IF('Raw Data'!AQ16="",0,'Raw Data'!AQ16)</f>
        <v>1215.8175</v>
      </c>
      <c r="AM46" s="12" t="n">
        <f aca="false">IF('Raw Data'!AR16="",0,'Raw Data'!AR16)</f>
        <v>1215.8175</v>
      </c>
      <c r="AN46" s="12" t="n">
        <f aca="false">IF('Raw Data'!AS16="",0,'Raw Data'!AS16)</f>
        <v>1215.8175</v>
      </c>
      <c r="AO46" s="12" t="n">
        <f aca="false">IF('Raw Data'!AT16="",0,'Raw Data'!AT16)</f>
        <v>1215.8175</v>
      </c>
      <c r="AP46" s="12" t="n">
        <f aca="false">IF('Raw Data'!AU16="",0,'Raw Data'!AU16)</f>
        <v>1215.8175</v>
      </c>
      <c r="AQ46" s="12" t="n">
        <f aca="false">IF('Raw Data'!AV16="",0,'Raw Data'!AV16)</f>
        <v>1215.8175</v>
      </c>
      <c r="AR46" s="12" t="n">
        <f aca="false">IF('Raw Data'!AW16="",0,'Raw Data'!AW16)</f>
        <v>1215.8175</v>
      </c>
      <c r="AS46" s="12" t="n">
        <f aca="false">IF('Raw Data'!AX16="",0,'Raw Data'!AX16)</f>
        <v>1215.8175</v>
      </c>
      <c r="AT46" s="12" t="n">
        <f aca="false">IF('Raw Data'!AY16="",0,'Raw Data'!AY16)</f>
        <v>750</v>
      </c>
      <c r="AU46" s="12" t="n">
        <f aca="false">IF('Raw Data'!AZ16="",0,'Raw Data'!AZ16)</f>
        <v>750</v>
      </c>
      <c r="AV46" s="12" t="n">
        <f aca="false">IF('Raw Data'!BA16="",0,'Raw Data'!BA16)</f>
        <v>900</v>
      </c>
      <c r="AW46" s="12" t="n">
        <f aca="false">IF('Raw Data'!BB16="",0,'Raw Data'!BB16)</f>
        <v>900</v>
      </c>
      <c r="AX46" s="12" t="n">
        <f aca="false">IF('Raw Data'!BC16="",0,'Raw Data'!BC16)</f>
        <v>900</v>
      </c>
      <c r="AY46" s="12" t="n">
        <f aca="false">IF('Raw Data'!BD16="",0,'Raw Data'!BD16)</f>
        <v>900</v>
      </c>
      <c r="AZ46" s="12" t="n">
        <f aca="false">IF('Raw Data'!BE16="",0,'Raw Data'!BE16)</f>
        <v>900</v>
      </c>
      <c r="BA46" s="12" t="n">
        <f aca="false">IF('Raw Data'!BF16="",0,'Raw Data'!BF16)</f>
        <v>900</v>
      </c>
      <c r="BB46" s="12" t="n">
        <f aca="false">IF('Raw Data'!BG16="",0,'Raw Data'!BG16)</f>
        <v>900</v>
      </c>
      <c r="BC46" s="12" t="n">
        <f aca="false">IF('Raw Data'!BH16="",0,'Raw Data'!BH16)</f>
        <v>900</v>
      </c>
      <c r="BD46" s="12" t="n">
        <f aca="false">IF('Raw Data'!BI16="",0,'Raw Data'!BI16)</f>
        <v>900</v>
      </c>
      <c r="BE46" s="12" t="n">
        <f aca="false">IF('Raw Data'!BJ16="",0,'Raw Data'!BJ16)</f>
        <v>900</v>
      </c>
      <c r="BF46" s="12" t="n">
        <f aca="false">IF('Raw Data'!BK16="",0,'Raw Data'!BK16)</f>
        <v>825</v>
      </c>
      <c r="BG46" s="12" t="n">
        <f aca="false">IF('Raw Data'!BL16="",0,'Raw Data'!BL16)</f>
        <v>825</v>
      </c>
      <c r="BH46" s="12" t="n">
        <f aca="false">IF('Raw Data'!BM16="",0,'Raw Data'!BM16)</f>
        <v>825</v>
      </c>
      <c r="BI46" s="12" t="n">
        <f aca="false">IF('Raw Data'!BN16="",0,'Raw Data'!BN16)</f>
        <v>825</v>
      </c>
      <c r="BJ46" s="12" t="n">
        <f aca="false">IF('Raw Data'!BO16="",0,'Raw Data'!BO16)</f>
        <v>825</v>
      </c>
      <c r="BK46" s="12" t="n">
        <f aca="false">IF('Raw Data'!BP16="",0,'Raw Data'!BP16)</f>
        <v>825</v>
      </c>
      <c r="BL46" s="12" t="n">
        <f aca="false">IF('Raw Data'!BQ16="",0,'Raw Data'!BQ16)</f>
        <v>825</v>
      </c>
      <c r="BM46" s="12" t="n">
        <f aca="false">IF('Raw Data'!BR16="",0,'Raw Data'!BR16)</f>
        <v>825</v>
      </c>
      <c r="BN46" s="12" t="n">
        <f aca="false">IF('Raw Data'!BS16="",0,'Raw Data'!BS16)</f>
        <v>825</v>
      </c>
      <c r="BO46" s="21" t="b">
        <f aca="false">FALSE()</f>
        <v>0</v>
      </c>
    </row>
    <row r="47" customFormat="false" ht="15" hidden="false" customHeight="false" outlineLevel="0" collapsed="false">
      <c r="A47" s="20" t="str">
        <f aca="false">'Raw Data'!A60</f>
        <v>Local Account #50 from MI</v>
      </c>
      <c r="B47" s="12" t="n">
        <f aca="false">IF('Raw Data'!G60="",0,'Raw Data'!G60)</f>
        <v>5295.83333333333</v>
      </c>
      <c r="C47" s="12" t="n">
        <f aca="false">IF('Raw Data'!H60="",0,'Raw Data'!H60)</f>
        <v>5618.73333333333</v>
      </c>
      <c r="D47" s="12" t="n">
        <f aca="false">IF('Raw Data'!I60="",0,'Raw Data'!I60)</f>
        <v>5618.73333333333</v>
      </c>
      <c r="E47" s="12" t="n">
        <f aca="false">IF('Raw Data'!J60="",0,'Raw Data'!J60)</f>
        <v>5618.73333333333</v>
      </c>
      <c r="F47" s="12" t="n">
        <f aca="false">IF('Raw Data'!K60="",0,'Raw Data'!K60)</f>
        <v>5618.73333333333</v>
      </c>
      <c r="G47" s="12" t="n">
        <f aca="false">IF('Raw Data'!L60="",0,'Raw Data'!L60)</f>
        <v>5618.73333333333</v>
      </c>
      <c r="H47" s="12" t="n">
        <f aca="false">IF('Raw Data'!M60="",0,'Raw Data'!M60)</f>
        <v>5618.73333333333</v>
      </c>
      <c r="I47" s="12" t="n">
        <f aca="false">IF('Raw Data'!N60="",0,'Raw Data'!N60)</f>
        <v>5618.73333333333</v>
      </c>
      <c r="J47" s="12" t="n">
        <f aca="false">IF('Raw Data'!O60="",0,'Raw Data'!O60)</f>
        <v>5941.66666666667</v>
      </c>
      <c r="K47" s="12" t="n">
        <f aca="false">IF('Raw Data'!P60="",0,'Raw Data'!P60)</f>
        <v>5941.66666666667</v>
      </c>
      <c r="L47" s="12" t="n">
        <f aca="false">IF('Raw Data'!Q60="",0,'Raw Data'!Q60)</f>
        <v>5941.66666666667</v>
      </c>
      <c r="M47" s="12" t="n">
        <f aca="false">IF('Raw Data'!R60="",0,'Raw Data'!R60)</f>
        <v>5941.66666666667</v>
      </c>
      <c r="N47" s="12" t="n">
        <f aca="false">IF('Raw Data'!S60="",0,'Raw Data'!S60)</f>
        <v>5941.66666666667</v>
      </c>
      <c r="O47" s="12" t="n">
        <f aca="false">IF('Raw Data'!T60="",0,'Raw Data'!T60)</f>
        <v>5941.66666666667</v>
      </c>
      <c r="P47" s="12" t="n">
        <f aca="false">IF('Raw Data'!U60="",0,'Raw Data'!U60)</f>
        <v>5941.66666666667</v>
      </c>
      <c r="Q47" s="12" t="n">
        <f aca="false">IF('Raw Data'!V60="",0,'Raw Data'!V60)</f>
        <v>5941.66666666667</v>
      </c>
      <c r="R47" s="12" t="n">
        <f aca="false">IF('Raw Data'!W60="",0,'Raw Data'!W60)</f>
        <v>5941.66666666667</v>
      </c>
      <c r="S47" s="12" t="n">
        <f aca="false">IF('Raw Data'!X60="",0,'Raw Data'!X60)</f>
        <v>5941.66666666667</v>
      </c>
      <c r="T47" s="12" t="n">
        <f aca="false">IF('Raw Data'!Y60="",0,'Raw Data'!Y60)</f>
        <v>5941.66666666667</v>
      </c>
      <c r="U47" s="12" t="n">
        <f aca="false">IF('Raw Data'!Z60="",0,'Raw Data'!Z60)</f>
        <v>5941.66666666667</v>
      </c>
      <c r="V47" s="12" t="n">
        <f aca="false">IF('Raw Data'!AA60="",0,'Raw Data'!AA60)</f>
        <v>6458.33333333333</v>
      </c>
      <c r="W47" s="12" t="n">
        <f aca="false">IF('Raw Data'!AB60="",0,'Raw Data'!AB60)</f>
        <v>6458.33333333333</v>
      </c>
      <c r="X47" s="12" t="n">
        <f aca="false">IF('Raw Data'!AC60="",0,'Raw Data'!AC60)</f>
        <v>6458.33333333333</v>
      </c>
      <c r="Y47" s="12" t="n">
        <f aca="false">IF('Raw Data'!AD60="",0,'Raw Data'!AD60)</f>
        <v>6458.33333333333</v>
      </c>
      <c r="Z47" s="12" t="n">
        <f aca="false">IF('Raw Data'!AE60="",0,'Raw Data'!AE60)</f>
        <v>6458.33333333333</v>
      </c>
      <c r="AA47" s="12" t="n">
        <f aca="false">IF('Raw Data'!AF60="",0,'Raw Data'!AF60)</f>
        <v>6458.33333333333</v>
      </c>
      <c r="AB47" s="12" t="n">
        <f aca="false">IF('Raw Data'!AG60="",0,'Raw Data'!AG60)</f>
        <v>6458.33333333333</v>
      </c>
      <c r="AC47" s="12" t="n">
        <f aca="false">IF('Raw Data'!AH60="",0,'Raw Data'!AH60)</f>
        <v>6458.33333333333</v>
      </c>
      <c r="AD47" s="12" t="n">
        <f aca="false">IF('Raw Data'!AI60="",0,'Raw Data'!AI60)</f>
        <v>6458.33333333333</v>
      </c>
      <c r="AE47" s="12" t="n">
        <f aca="false">IF('Raw Data'!AJ60="",0,'Raw Data'!AJ60)</f>
        <v>6458.33333333333</v>
      </c>
      <c r="AF47" s="12" t="n">
        <f aca="false">IF('Raw Data'!AK60="",0,'Raw Data'!AK60)</f>
        <v>6458.33333333333</v>
      </c>
      <c r="AG47" s="12" t="n">
        <f aca="false">IF('Raw Data'!AL60="",0,'Raw Data'!AL60)</f>
        <v>6458.33333333333</v>
      </c>
      <c r="AH47" s="12" t="n">
        <f aca="false">IF('Raw Data'!AM60="",0,'Raw Data'!AM60)</f>
        <v>6522.91666666667</v>
      </c>
      <c r="AI47" s="12" t="n">
        <f aca="false">IF('Raw Data'!AN60="",0,'Raw Data'!AN60)</f>
        <v>6522.91666666667</v>
      </c>
      <c r="AJ47" s="12" t="n">
        <f aca="false">IF('Raw Data'!AO60="",0,'Raw Data'!AO60)</f>
        <v>6522.91666666667</v>
      </c>
      <c r="AK47" s="12" t="n">
        <f aca="false">IF('Raw Data'!AP60="",0,'Raw Data'!AP60)</f>
        <v>6522.91666666667</v>
      </c>
      <c r="AL47" s="12" t="n">
        <f aca="false">IF('Raw Data'!AQ60="",0,'Raw Data'!AQ60)</f>
        <v>6522.91666666667</v>
      </c>
      <c r="AM47" s="12" t="n">
        <f aca="false">IF('Raw Data'!AR60="",0,'Raw Data'!AR60)</f>
        <v>6522.91666666667</v>
      </c>
      <c r="AN47" s="12" t="n">
        <f aca="false">IF('Raw Data'!AS60="",0,'Raw Data'!AS60)</f>
        <v>6522.91666666667</v>
      </c>
      <c r="AO47" s="12" t="n">
        <f aca="false">IF('Raw Data'!AT60="",0,'Raw Data'!AT60)</f>
        <v>6522.91666666667</v>
      </c>
      <c r="AP47" s="12" t="n">
        <f aca="false">IF('Raw Data'!AU60="",0,'Raw Data'!AU60)</f>
        <v>6522.91666666667</v>
      </c>
      <c r="AQ47" s="12" t="n">
        <f aca="false">IF('Raw Data'!AV60="",0,'Raw Data'!AV60)</f>
        <v>6522.91666666667</v>
      </c>
      <c r="AR47" s="12" t="n">
        <f aca="false">IF('Raw Data'!AW60="",0,'Raw Data'!AW60)</f>
        <v>6522.91666666667</v>
      </c>
      <c r="AS47" s="12" t="n">
        <f aca="false">IF('Raw Data'!AX60="",0,'Raw Data'!AX60)</f>
        <v>6522.91666666667</v>
      </c>
      <c r="AT47" s="12" t="n">
        <f aca="false">IF('Raw Data'!AY60="",0,'Raw Data'!AY60)</f>
        <v>6522.91666666667</v>
      </c>
      <c r="AU47" s="12" t="n">
        <f aca="false">IF('Raw Data'!AZ60="",0,'Raw Data'!AZ60)</f>
        <v>6522.91666666667</v>
      </c>
      <c r="AV47" s="12" t="n">
        <f aca="false">IF('Raw Data'!BA60="",0,'Raw Data'!BA60)</f>
        <v>6522.91666666667</v>
      </c>
      <c r="AW47" s="12" t="n">
        <f aca="false">IF('Raw Data'!BB60="",0,'Raw Data'!BB60)</f>
        <v>6522.91666666667</v>
      </c>
      <c r="AX47" s="12" t="n">
        <f aca="false">IF('Raw Data'!BC60="",0,'Raw Data'!BC60)</f>
        <v>6522.91666666667</v>
      </c>
      <c r="AY47" s="12" t="n">
        <f aca="false">IF('Raw Data'!BD60="",0,'Raw Data'!BD60)</f>
        <v>6522.91666666667</v>
      </c>
      <c r="AZ47" s="12" t="n">
        <f aca="false">IF('Raw Data'!BE60="",0,'Raw Data'!BE60)</f>
        <v>6522.91666666667</v>
      </c>
      <c r="BA47" s="12" t="n">
        <f aca="false">IF('Raw Data'!BF60="",0,'Raw Data'!BF60)</f>
        <v>6522.91666666667</v>
      </c>
      <c r="BB47" s="12" t="n">
        <f aca="false">IF('Raw Data'!BG60="",0,'Raw Data'!BG60)</f>
        <v>6522.91666666667</v>
      </c>
      <c r="BC47" s="12" t="n">
        <f aca="false">IF('Raw Data'!BH60="",0,'Raw Data'!BH60)</f>
        <v>6522.91666666667</v>
      </c>
      <c r="BD47" s="12" t="n">
        <f aca="false">IF('Raw Data'!BI60="",0,'Raw Data'!BI60)</f>
        <v>6522.91666666667</v>
      </c>
      <c r="BE47" s="12" t="n">
        <f aca="false">IF('Raw Data'!BJ60="",0,'Raw Data'!BJ60)</f>
        <v>6522.91666666667</v>
      </c>
      <c r="BF47" s="12" t="n">
        <f aca="false">IF('Raw Data'!BK60="",0,'Raw Data'!BK60)</f>
        <v>3333.33333333333</v>
      </c>
      <c r="BG47" s="12" t="n">
        <f aca="false">IF('Raw Data'!BL60="",0,'Raw Data'!BL60)</f>
        <v>3333.33333333333</v>
      </c>
      <c r="BH47" s="12" t="n">
        <f aca="false">IF('Raw Data'!BM60="",0,'Raw Data'!BM60)</f>
        <v>3333.33333333333</v>
      </c>
      <c r="BI47" s="12" t="n">
        <f aca="false">IF('Raw Data'!BN60="",0,'Raw Data'!BN60)</f>
        <v>3333.33333333333</v>
      </c>
      <c r="BJ47" s="12" t="n">
        <f aca="false">IF('Raw Data'!BO60="",0,'Raw Data'!BO60)</f>
        <v>3333.33333333333</v>
      </c>
      <c r="BK47" s="12" t="n">
        <f aca="false">IF('Raw Data'!BP60="",0,'Raw Data'!BP60)</f>
        <v>3333.33333333333</v>
      </c>
      <c r="BL47" s="12" t="n">
        <f aca="false">IF('Raw Data'!BQ60="",0,'Raw Data'!BQ60)</f>
        <v>3333.33333333333</v>
      </c>
      <c r="BM47" s="12" t="n">
        <f aca="false">IF('Raw Data'!BR60="",0,'Raw Data'!BR60)</f>
        <v>3333.33333333333</v>
      </c>
      <c r="BN47" s="12" t="n">
        <f aca="false">IF('Raw Data'!BS60="",0,'Raw Data'!BS60)</f>
        <v>3333.33333333333</v>
      </c>
      <c r="BO47" s="21" t="b">
        <f aca="false">FALSE()</f>
        <v>0</v>
      </c>
    </row>
    <row r="48" customFormat="false" ht="15" hidden="false" customHeight="false" outlineLevel="0" collapsed="false">
      <c r="A48" s="20" t="str">
        <f aca="false">'Raw Data'!A61</f>
        <v>Local Account #51 from CA</v>
      </c>
      <c r="B48" s="12" t="n">
        <f aca="false">IF('Raw Data'!G61="",0,'Raw Data'!G61)</f>
        <v>1866.47</v>
      </c>
      <c r="C48" s="12" t="n">
        <f aca="false">IF('Raw Data'!H61="",0,'Raw Data'!H61)</f>
        <v>1866.47</v>
      </c>
      <c r="D48" s="12" t="n">
        <f aca="false">IF('Raw Data'!I61="",0,'Raw Data'!I61)</f>
        <v>1866.47</v>
      </c>
      <c r="E48" s="12" t="n">
        <f aca="false">IF('Raw Data'!J61="",0,'Raw Data'!J61)</f>
        <v>1866.47</v>
      </c>
      <c r="F48" s="12" t="n">
        <f aca="false">IF('Raw Data'!K61="",0,'Raw Data'!K61)</f>
        <v>1866.47</v>
      </c>
      <c r="G48" s="12" t="n">
        <f aca="false">IF('Raw Data'!L61="",0,'Raw Data'!L61)</f>
        <v>1866.47</v>
      </c>
      <c r="H48" s="12" t="n">
        <f aca="false">IF('Raw Data'!M61="",0,'Raw Data'!M61)</f>
        <v>50</v>
      </c>
      <c r="I48" s="12" t="n">
        <f aca="false">IF('Raw Data'!N61="",0,'Raw Data'!N61)</f>
        <v>50</v>
      </c>
      <c r="J48" s="12" t="n">
        <f aca="false">IF('Raw Data'!O61="",0,'Raw Data'!O61)</f>
        <v>50</v>
      </c>
      <c r="K48" s="12" t="n">
        <f aca="false">IF('Raw Data'!P61="",0,'Raw Data'!P61)</f>
        <v>50</v>
      </c>
      <c r="L48" s="12" t="n">
        <f aca="false">IF('Raw Data'!Q61="",0,'Raw Data'!Q61)</f>
        <v>50</v>
      </c>
      <c r="M48" s="12" t="n">
        <f aca="false">IF('Raw Data'!R61="",0,'Raw Data'!R61)</f>
        <v>50</v>
      </c>
      <c r="N48" s="12" t="n">
        <f aca="false">IF('Raw Data'!S61="",0,'Raw Data'!S61)</f>
        <v>50</v>
      </c>
      <c r="O48" s="12" t="n">
        <f aca="false">IF('Raw Data'!T61="",0,'Raw Data'!T61)</f>
        <v>50</v>
      </c>
      <c r="P48" s="12" t="n">
        <f aca="false">IF('Raw Data'!U61="",0,'Raw Data'!U61)</f>
        <v>50</v>
      </c>
      <c r="Q48" s="12" t="n">
        <f aca="false">IF('Raw Data'!V61="",0,'Raw Data'!V61)</f>
        <v>50</v>
      </c>
      <c r="R48" s="12" t="n">
        <f aca="false">IF('Raw Data'!W61="",0,'Raw Data'!W61)</f>
        <v>50</v>
      </c>
      <c r="S48" s="12" t="n">
        <f aca="false">IF('Raw Data'!X61="",0,'Raw Data'!X61)</f>
        <v>50</v>
      </c>
      <c r="T48" s="12" t="n">
        <f aca="false">IF('Raw Data'!Y61="",0,'Raw Data'!Y61)</f>
        <v>0</v>
      </c>
      <c r="U48" s="12" t="n">
        <f aca="false">IF('Raw Data'!Z61="",0,'Raw Data'!Z61)</f>
        <v>0</v>
      </c>
      <c r="V48" s="12" t="n">
        <f aca="false">IF('Raw Data'!AA61="",0,'Raw Data'!AA61)</f>
        <v>0</v>
      </c>
      <c r="W48" s="12" t="n">
        <f aca="false">IF('Raw Data'!AB61="",0,'Raw Data'!AB61)</f>
        <v>0</v>
      </c>
      <c r="X48" s="12" t="n">
        <f aca="false">IF('Raw Data'!AC61="",0,'Raw Data'!AC61)</f>
        <v>0</v>
      </c>
      <c r="Y48" s="12" t="n">
        <f aca="false">IF('Raw Data'!AD61="",0,'Raw Data'!AD61)</f>
        <v>0</v>
      </c>
      <c r="Z48" s="12" t="n">
        <f aca="false">IF('Raw Data'!AE61="",0,'Raw Data'!AE61)</f>
        <v>0</v>
      </c>
      <c r="AA48" s="12" t="n">
        <f aca="false">IF('Raw Data'!AF61="",0,'Raw Data'!AF61)</f>
        <v>0</v>
      </c>
      <c r="AB48" s="12" t="n">
        <f aca="false">IF('Raw Data'!AG61="",0,'Raw Data'!AG61)</f>
        <v>0</v>
      </c>
      <c r="AC48" s="12" t="n">
        <f aca="false">IF('Raw Data'!AH61="",0,'Raw Data'!AH61)</f>
        <v>0</v>
      </c>
      <c r="AD48" s="12" t="n">
        <f aca="false">IF('Raw Data'!AI61="",0,'Raw Data'!AI61)</f>
        <v>0</v>
      </c>
      <c r="AE48" s="12" t="n">
        <f aca="false">IF('Raw Data'!AJ61="",0,'Raw Data'!AJ61)</f>
        <v>0</v>
      </c>
      <c r="AF48" s="12" t="n">
        <f aca="false">IF('Raw Data'!AK61="",0,'Raw Data'!AK61)</f>
        <v>0</v>
      </c>
      <c r="AG48" s="12" t="n">
        <f aca="false">IF('Raw Data'!AL61="",0,'Raw Data'!AL61)</f>
        <v>0</v>
      </c>
      <c r="AH48" s="12" t="n">
        <f aca="false">IF('Raw Data'!AM61="",0,'Raw Data'!AM61)</f>
        <v>0</v>
      </c>
      <c r="AI48" s="12" t="n">
        <f aca="false">IF('Raw Data'!AN61="",0,'Raw Data'!AN61)</f>
        <v>0</v>
      </c>
      <c r="AJ48" s="12" t="n">
        <f aca="false">IF('Raw Data'!AO61="",0,'Raw Data'!AO61)</f>
        <v>0</v>
      </c>
      <c r="AK48" s="12" t="n">
        <f aca="false">IF('Raw Data'!AP61="",0,'Raw Data'!AP61)</f>
        <v>0</v>
      </c>
      <c r="AL48" s="12" t="n">
        <f aca="false">IF('Raw Data'!AQ61="",0,'Raw Data'!AQ61)</f>
        <v>0</v>
      </c>
      <c r="AM48" s="12" t="n">
        <f aca="false">IF('Raw Data'!AR61="",0,'Raw Data'!AR61)</f>
        <v>0</v>
      </c>
      <c r="AN48" s="12" t="n">
        <f aca="false">IF('Raw Data'!AS61="",0,'Raw Data'!AS61)</f>
        <v>0</v>
      </c>
      <c r="AO48" s="12" t="n">
        <f aca="false">IF('Raw Data'!AT61="",0,'Raw Data'!AT61)</f>
        <v>0</v>
      </c>
      <c r="AP48" s="12" t="n">
        <f aca="false">IF('Raw Data'!AU61="",0,'Raw Data'!AU61)</f>
        <v>0</v>
      </c>
      <c r="AQ48" s="12" t="n">
        <f aca="false">IF('Raw Data'!AV61="",0,'Raw Data'!AV61)</f>
        <v>0</v>
      </c>
      <c r="AR48" s="12" t="n">
        <f aca="false">IF('Raw Data'!AW61="",0,'Raw Data'!AW61)</f>
        <v>0</v>
      </c>
      <c r="AS48" s="12" t="n">
        <f aca="false">IF('Raw Data'!AX61="",0,'Raw Data'!AX61)</f>
        <v>0</v>
      </c>
      <c r="AT48" s="12" t="n">
        <f aca="false">IF('Raw Data'!AY61="",0,'Raw Data'!AY61)</f>
        <v>0</v>
      </c>
      <c r="AU48" s="12" t="n">
        <f aca="false">IF('Raw Data'!AZ61="",0,'Raw Data'!AZ61)</f>
        <v>0</v>
      </c>
      <c r="AV48" s="12" t="n">
        <f aca="false">IF('Raw Data'!BA61="",0,'Raw Data'!BA61)</f>
        <v>0</v>
      </c>
      <c r="AW48" s="12" t="n">
        <f aca="false">IF('Raw Data'!BB61="",0,'Raw Data'!BB61)</f>
        <v>0</v>
      </c>
      <c r="AX48" s="12" t="n">
        <f aca="false">IF('Raw Data'!BC61="",0,'Raw Data'!BC61)</f>
        <v>0</v>
      </c>
      <c r="AY48" s="12" t="n">
        <f aca="false">IF('Raw Data'!BD61="",0,'Raw Data'!BD61)</f>
        <v>0</v>
      </c>
      <c r="AZ48" s="12" t="n">
        <f aca="false">IF('Raw Data'!BE61="",0,'Raw Data'!BE61)</f>
        <v>0</v>
      </c>
      <c r="BA48" s="12" t="n">
        <f aca="false">IF('Raw Data'!BF61="",0,'Raw Data'!BF61)</f>
        <v>0</v>
      </c>
      <c r="BB48" s="12" t="n">
        <f aca="false">IF('Raw Data'!BG61="",0,'Raw Data'!BG61)</f>
        <v>0</v>
      </c>
      <c r="BC48" s="12" t="n">
        <f aca="false">IF('Raw Data'!BH61="",0,'Raw Data'!BH61)</f>
        <v>0</v>
      </c>
      <c r="BD48" s="12" t="n">
        <f aca="false">IF('Raw Data'!BI61="",0,'Raw Data'!BI61)</f>
        <v>0</v>
      </c>
      <c r="BE48" s="12" t="n">
        <f aca="false">IF('Raw Data'!BJ61="",0,'Raw Data'!BJ61)</f>
        <v>0</v>
      </c>
      <c r="BF48" s="12" t="n">
        <f aca="false">IF('Raw Data'!BK61="",0,'Raw Data'!BK61)</f>
        <v>0</v>
      </c>
      <c r="BG48" s="12" t="n">
        <f aca="false">IF('Raw Data'!BL61="",0,'Raw Data'!BL61)</f>
        <v>0</v>
      </c>
      <c r="BH48" s="12" t="n">
        <f aca="false">IF('Raw Data'!BM61="",0,'Raw Data'!BM61)</f>
        <v>0</v>
      </c>
      <c r="BI48" s="12" t="n">
        <f aca="false">IF('Raw Data'!BN61="",0,'Raw Data'!BN61)</f>
        <v>0</v>
      </c>
      <c r="BJ48" s="12" t="n">
        <f aca="false">IF('Raw Data'!BO61="",0,'Raw Data'!BO61)</f>
        <v>0</v>
      </c>
      <c r="BK48" s="12" t="n">
        <f aca="false">IF('Raw Data'!BP61="",0,'Raw Data'!BP61)</f>
        <v>0</v>
      </c>
      <c r="BL48" s="12" t="n">
        <f aca="false">IF('Raw Data'!BQ61="",0,'Raw Data'!BQ61)</f>
        <v>0</v>
      </c>
      <c r="BM48" s="12" t="n">
        <f aca="false">IF('Raw Data'!BR61="",0,'Raw Data'!BR61)</f>
        <v>0</v>
      </c>
      <c r="BN48" s="12" t="n">
        <f aca="false">IF('Raw Data'!BS61="",0,'Raw Data'!BS61)</f>
        <v>0</v>
      </c>
      <c r="BO48" s="21" t="b">
        <f aca="false">FALSE()</f>
        <v>0</v>
      </c>
    </row>
    <row r="49" customFormat="false" ht="15" hidden="false" customHeight="false" outlineLevel="0" collapsed="false">
      <c r="A49" s="20" t="str">
        <f aca="false">'Raw Data'!A62</f>
        <v>Local Account #52 from CA</v>
      </c>
      <c r="B49" s="12" t="n">
        <f aca="false">IF('Raw Data'!G62="",0,'Raw Data'!G62)</f>
        <v>0</v>
      </c>
      <c r="C49" s="12" t="n">
        <f aca="false">IF('Raw Data'!H62="",0,'Raw Data'!H62)</f>
        <v>0</v>
      </c>
      <c r="D49" s="12" t="n">
        <f aca="false">IF('Raw Data'!I62="",0,'Raw Data'!I62)</f>
        <v>0</v>
      </c>
      <c r="E49" s="12" t="n">
        <f aca="false">IF('Raw Data'!J62="",0,'Raw Data'!J62)</f>
        <v>0</v>
      </c>
      <c r="F49" s="12" t="n">
        <f aca="false">IF('Raw Data'!K62="",0,'Raw Data'!K62)</f>
        <v>0</v>
      </c>
      <c r="G49" s="12" t="n">
        <f aca="false">IF('Raw Data'!L62="",0,'Raw Data'!L62)</f>
        <v>0</v>
      </c>
      <c r="H49" s="12" t="n">
        <f aca="false">IF('Raw Data'!M62="",0,'Raw Data'!M62)</f>
        <v>0</v>
      </c>
      <c r="I49" s="12" t="n">
        <f aca="false">IF('Raw Data'!N62="",0,'Raw Data'!N62)</f>
        <v>200.01</v>
      </c>
      <c r="J49" s="12" t="n">
        <f aca="false">IF('Raw Data'!O62="",0,'Raw Data'!O62)</f>
        <v>266.68</v>
      </c>
      <c r="K49" s="12" t="n">
        <f aca="false">IF('Raw Data'!P62="",0,'Raw Data'!P62)</f>
        <v>266.68</v>
      </c>
      <c r="L49" s="12" t="n">
        <f aca="false">IF('Raw Data'!Q62="",0,'Raw Data'!Q62)</f>
        <v>266.68</v>
      </c>
      <c r="M49" s="12" t="n">
        <f aca="false">IF('Raw Data'!R62="",0,'Raw Data'!R62)</f>
        <v>266.68</v>
      </c>
      <c r="N49" s="12" t="n">
        <f aca="false">IF('Raw Data'!S62="",0,'Raw Data'!S62)</f>
        <v>266.68</v>
      </c>
      <c r="O49" s="12" t="n">
        <f aca="false">IF('Raw Data'!T62="",0,'Raw Data'!T62)</f>
        <v>266.68</v>
      </c>
      <c r="P49" s="12" t="n">
        <f aca="false">IF('Raw Data'!U62="",0,'Raw Data'!U62)</f>
        <v>266.68</v>
      </c>
      <c r="Q49" s="12" t="n">
        <f aca="false">IF('Raw Data'!V62="",0,'Raw Data'!V62)</f>
        <v>266.68</v>
      </c>
      <c r="R49" s="12" t="n">
        <f aca="false">IF('Raw Data'!W62="",0,'Raw Data'!W62)</f>
        <v>266.68</v>
      </c>
      <c r="S49" s="12" t="n">
        <f aca="false">IF('Raw Data'!X62="",0,'Raw Data'!X62)</f>
        <v>0</v>
      </c>
      <c r="T49" s="12" t="n">
        <f aca="false">IF('Raw Data'!Y62="",0,'Raw Data'!Y62)</f>
        <v>0</v>
      </c>
      <c r="U49" s="12" t="n">
        <f aca="false">IF('Raw Data'!Z62="",0,'Raw Data'!Z62)</f>
        <v>0</v>
      </c>
      <c r="V49" s="12" t="n">
        <f aca="false">IF('Raw Data'!AA62="",0,'Raw Data'!AA62)</f>
        <v>0</v>
      </c>
      <c r="W49" s="12" t="n">
        <f aca="false">IF('Raw Data'!AB62="",0,'Raw Data'!AB62)</f>
        <v>0</v>
      </c>
      <c r="X49" s="12" t="n">
        <f aca="false">IF('Raw Data'!AC62="",0,'Raw Data'!AC62)</f>
        <v>0</v>
      </c>
      <c r="Y49" s="12" t="n">
        <f aca="false">IF('Raw Data'!AD62="",0,'Raw Data'!AD62)</f>
        <v>0</v>
      </c>
      <c r="Z49" s="12" t="n">
        <f aca="false">IF('Raw Data'!AE62="",0,'Raw Data'!AE62)</f>
        <v>0</v>
      </c>
      <c r="AA49" s="12" t="n">
        <f aca="false">IF('Raw Data'!AF62="",0,'Raw Data'!AF62)</f>
        <v>0</v>
      </c>
      <c r="AB49" s="12" t="n">
        <f aca="false">IF('Raw Data'!AG62="",0,'Raw Data'!AG62)</f>
        <v>0</v>
      </c>
      <c r="AC49" s="12" t="n">
        <f aca="false">IF('Raw Data'!AH62="",0,'Raw Data'!AH62)</f>
        <v>0</v>
      </c>
      <c r="AD49" s="12" t="n">
        <f aca="false">IF('Raw Data'!AI62="",0,'Raw Data'!AI62)</f>
        <v>0</v>
      </c>
      <c r="AE49" s="12" t="n">
        <f aca="false">IF('Raw Data'!AJ62="",0,'Raw Data'!AJ62)</f>
        <v>0</v>
      </c>
      <c r="AF49" s="12" t="n">
        <f aca="false">IF('Raw Data'!AK62="",0,'Raw Data'!AK62)</f>
        <v>0</v>
      </c>
      <c r="AG49" s="12" t="n">
        <f aca="false">IF('Raw Data'!AL62="",0,'Raw Data'!AL62)</f>
        <v>0</v>
      </c>
      <c r="AH49" s="12" t="n">
        <f aca="false">IF('Raw Data'!AM62="",0,'Raw Data'!AM62)</f>
        <v>0</v>
      </c>
      <c r="AI49" s="12" t="n">
        <f aca="false">IF('Raw Data'!AN62="",0,'Raw Data'!AN62)</f>
        <v>0</v>
      </c>
      <c r="AJ49" s="12" t="n">
        <f aca="false">IF('Raw Data'!AO62="",0,'Raw Data'!AO62)</f>
        <v>0</v>
      </c>
      <c r="AK49" s="12" t="n">
        <f aca="false">IF('Raw Data'!AP62="",0,'Raw Data'!AP62)</f>
        <v>0</v>
      </c>
      <c r="AL49" s="12" t="n">
        <f aca="false">IF('Raw Data'!AQ62="",0,'Raw Data'!AQ62)</f>
        <v>0</v>
      </c>
      <c r="AM49" s="12" t="n">
        <f aca="false">IF('Raw Data'!AR62="",0,'Raw Data'!AR62)</f>
        <v>0</v>
      </c>
      <c r="AN49" s="12" t="n">
        <f aca="false">IF('Raw Data'!AS62="",0,'Raw Data'!AS62)</f>
        <v>0</v>
      </c>
      <c r="AO49" s="12" t="n">
        <f aca="false">IF('Raw Data'!AT62="",0,'Raw Data'!AT62)</f>
        <v>0</v>
      </c>
      <c r="AP49" s="12" t="n">
        <f aca="false">IF('Raw Data'!AU62="",0,'Raw Data'!AU62)</f>
        <v>0</v>
      </c>
      <c r="AQ49" s="12" t="n">
        <f aca="false">IF('Raw Data'!AV62="",0,'Raw Data'!AV62)</f>
        <v>0</v>
      </c>
      <c r="AR49" s="12" t="n">
        <f aca="false">IF('Raw Data'!AW62="",0,'Raw Data'!AW62)</f>
        <v>0</v>
      </c>
      <c r="AS49" s="12" t="n">
        <f aca="false">IF('Raw Data'!AX62="",0,'Raw Data'!AX62)</f>
        <v>0</v>
      </c>
      <c r="AT49" s="12" t="n">
        <f aca="false">IF('Raw Data'!AY62="",0,'Raw Data'!AY62)</f>
        <v>0</v>
      </c>
      <c r="AU49" s="12" t="n">
        <f aca="false">IF('Raw Data'!AZ62="",0,'Raw Data'!AZ62)</f>
        <v>0</v>
      </c>
      <c r="AV49" s="12" t="n">
        <f aca="false">IF('Raw Data'!BA62="",0,'Raw Data'!BA62)</f>
        <v>0</v>
      </c>
      <c r="AW49" s="12" t="n">
        <f aca="false">IF('Raw Data'!BB62="",0,'Raw Data'!BB62)</f>
        <v>0</v>
      </c>
      <c r="AX49" s="12" t="n">
        <f aca="false">IF('Raw Data'!BC62="",0,'Raw Data'!BC62)</f>
        <v>0</v>
      </c>
      <c r="AY49" s="12" t="n">
        <f aca="false">IF('Raw Data'!BD62="",0,'Raw Data'!BD62)</f>
        <v>0</v>
      </c>
      <c r="AZ49" s="12" t="n">
        <f aca="false">IF('Raw Data'!BE62="",0,'Raw Data'!BE62)</f>
        <v>0</v>
      </c>
      <c r="BA49" s="12" t="n">
        <f aca="false">IF('Raw Data'!BF62="",0,'Raw Data'!BF62)</f>
        <v>0</v>
      </c>
      <c r="BB49" s="12" t="n">
        <f aca="false">IF('Raw Data'!BG62="",0,'Raw Data'!BG62)</f>
        <v>0</v>
      </c>
      <c r="BC49" s="12" t="n">
        <f aca="false">IF('Raw Data'!BH62="",0,'Raw Data'!BH62)</f>
        <v>0</v>
      </c>
      <c r="BD49" s="12" t="n">
        <f aca="false">IF('Raw Data'!BI62="",0,'Raw Data'!BI62)</f>
        <v>0</v>
      </c>
      <c r="BE49" s="12" t="n">
        <f aca="false">IF('Raw Data'!BJ62="",0,'Raw Data'!BJ62)</f>
        <v>0</v>
      </c>
      <c r="BF49" s="12" t="n">
        <f aca="false">IF('Raw Data'!BK62="",0,'Raw Data'!BK62)</f>
        <v>0</v>
      </c>
      <c r="BG49" s="12" t="n">
        <f aca="false">IF('Raw Data'!BL62="",0,'Raw Data'!BL62)</f>
        <v>0</v>
      </c>
      <c r="BH49" s="12" t="n">
        <f aca="false">IF('Raw Data'!BM62="",0,'Raw Data'!BM62)</f>
        <v>0</v>
      </c>
      <c r="BI49" s="12" t="n">
        <f aca="false">IF('Raw Data'!BN62="",0,'Raw Data'!BN62)</f>
        <v>0</v>
      </c>
      <c r="BJ49" s="12" t="n">
        <f aca="false">IF('Raw Data'!BO62="",0,'Raw Data'!BO62)</f>
        <v>0</v>
      </c>
      <c r="BK49" s="12" t="n">
        <f aca="false">IF('Raw Data'!BP62="",0,'Raw Data'!BP62)</f>
        <v>0</v>
      </c>
      <c r="BL49" s="12" t="n">
        <f aca="false">IF('Raw Data'!BQ62="",0,'Raw Data'!BQ62)</f>
        <v>0</v>
      </c>
      <c r="BM49" s="12" t="n">
        <f aca="false">IF('Raw Data'!BR62="",0,'Raw Data'!BR62)</f>
        <v>0</v>
      </c>
      <c r="BN49" s="12" t="n">
        <f aca="false">IF('Raw Data'!BS62="",0,'Raw Data'!BS62)</f>
        <v>0</v>
      </c>
      <c r="BO49" s="21" t="b">
        <f aca="false">FALSE()</f>
        <v>0</v>
      </c>
    </row>
    <row r="50" customFormat="false" ht="15" hidden="false" customHeight="false" outlineLevel="0" collapsed="false">
      <c r="A50" s="20" t="str">
        <f aca="false">'Raw Data'!A63</f>
        <v>Local Account #53 from CA</v>
      </c>
      <c r="B50" s="12" t="n">
        <f aca="false">IF('Raw Data'!G63="",0,'Raw Data'!G63)</f>
        <v>225</v>
      </c>
      <c r="C50" s="12" t="n">
        <f aca="false">IF('Raw Data'!H63="",0,'Raw Data'!H63)</f>
        <v>225</v>
      </c>
      <c r="D50" s="12" t="n">
        <f aca="false">IF('Raw Data'!I63="",0,'Raw Data'!I63)</f>
        <v>225</v>
      </c>
      <c r="E50" s="12" t="n">
        <f aca="false">IF('Raw Data'!J63="",0,'Raw Data'!J63)</f>
        <v>225</v>
      </c>
      <c r="F50" s="12" t="n">
        <f aca="false">IF('Raw Data'!K63="",0,'Raw Data'!K63)</f>
        <v>225</v>
      </c>
      <c r="G50" s="12" t="n">
        <f aca="false">IF('Raw Data'!L63="",0,'Raw Data'!L63)</f>
        <v>225</v>
      </c>
      <c r="H50" s="12" t="n">
        <f aca="false">IF('Raw Data'!M63="",0,'Raw Data'!M63)</f>
        <v>0</v>
      </c>
      <c r="I50" s="12" t="n">
        <f aca="false">IF('Raw Data'!N63="",0,'Raw Data'!N63)</f>
        <v>0</v>
      </c>
      <c r="J50" s="12" t="n">
        <f aca="false">IF('Raw Data'!O63="",0,'Raw Data'!O63)</f>
        <v>0</v>
      </c>
      <c r="K50" s="12" t="n">
        <f aca="false">IF('Raw Data'!P63="",0,'Raw Data'!P63)</f>
        <v>0</v>
      </c>
      <c r="L50" s="12" t="n">
        <f aca="false">IF('Raw Data'!Q63="",0,'Raw Data'!Q63)</f>
        <v>0</v>
      </c>
      <c r="M50" s="12" t="n">
        <f aca="false">IF('Raw Data'!R63="",0,'Raw Data'!R63)</f>
        <v>0</v>
      </c>
      <c r="N50" s="12" t="n">
        <f aca="false">IF('Raw Data'!S63="",0,'Raw Data'!S63)</f>
        <v>0</v>
      </c>
      <c r="O50" s="12" t="n">
        <f aca="false">IF('Raw Data'!T63="",0,'Raw Data'!T63)</f>
        <v>0</v>
      </c>
      <c r="P50" s="12" t="n">
        <f aca="false">IF('Raw Data'!U63="",0,'Raw Data'!U63)</f>
        <v>0</v>
      </c>
      <c r="Q50" s="12" t="n">
        <f aca="false">IF('Raw Data'!V63="",0,'Raw Data'!V63)</f>
        <v>0</v>
      </c>
      <c r="R50" s="12" t="n">
        <f aca="false">IF('Raw Data'!W63="",0,'Raw Data'!W63)</f>
        <v>0</v>
      </c>
      <c r="S50" s="12" t="n">
        <f aca="false">IF('Raw Data'!X63="",0,'Raw Data'!X63)</f>
        <v>0</v>
      </c>
      <c r="T50" s="12" t="n">
        <f aca="false">IF('Raw Data'!Y63="",0,'Raw Data'!Y63)</f>
        <v>0</v>
      </c>
      <c r="U50" s="12" t="n">
        <f aca="false">IF('Raw Data'!Z63="",0,'Raw Data'!Z63)</f>
        <v>0</v>
      </c>
      <c r="V50" s="12" t="n">
        <f aca="false">IF('Raw Data'!AA63="",0,'Raw Data'!AA63)</f>
        <v>0</v>
      </c>
      <c r="W50" s="12" t="n">
        <f aca="false">IF('Raw Data'!AB63="",0,'Raw Data'!AB63)</f>
        <v>0</v>
      </c>
      <c r="X50" s="12" t="n">
        <f aca="false">IF('Raw Data'!AC63="",0,'Raw Data'!AC63)</f>
        <v>0</v>
      </c>
      <c r="Y50" s="12" t="n">
        <f aca="false">IF('Raw Data'!AD63="",0,'Raw Data'!AD63)</f>
        <v>0</v>
      </c>
      <c r="Z50" s="12" t="n">
        <f aca="false">IF('Raw Data'!AE63="",0,'Raw Data'!AE63)</f>
        <v>0</v>
      </c>
      <c r="AA50" s="12" t="n">
        <f aca="false">IF('Raw Data'!AF63="",0,'Raw Data'!AF63)</f>
        <v>0</v>
      </c>
      <c r="AB50" s="12" t="n">
        <f aca="false">IF('Raw Data'!AG63="",0,'Raw Data'!AG63)</f>
        <v>0</v>
      </c>
      <c r="AC50" s="12" t="n">
        <f aca="false">IF('Raw Data'!AH63="",0,'Raw Data'!AH63)</f>
        <v>0</v>
      </c>
      <c r="AD50" s="12" t="n">
        <f aca="false">IF('Raw Data'!AI63="",0,'Raw Data'!AI63)</f>
        <v>0</v>
      </c>
      <c r="AE50" s="12" t="n">
        <f aca="false">IF('Raw Data'!AJ63="",0,'Raw Data'!AJ63)</f>
        <v>0</v>
      </c>
      <c r="AF50" s="12" t="n">
        <f aca="false">IF('Raw Data'!AK63="",0,'Raw Data'!AK63)</f>
        <v>0</v>
      </c>
      <c r="AG50" s="12" t="n">
        <f aca="false">IF('Raw Data'!AL63="",0,'Raw Data'!AL63)</f>
        <v>0</v>
      </c>
      <c r="AH50" s="12" t="n">
        <f aca="false">IF('Raw Data'!AM63="",0,'Raw Data'!AM63)</f>
        <v>0</v>
      </c>
      <c r="AI50" s="12" t="n">
        <f aca="false">IF('Raw Data'!AN63="",0,'Raw Data'!AN63)</f>
        <v>0</v>
      </c>
      <c r="AJ50" s="12" t="n">
        <f aca="false">IF('Raw Data'!AO63="",0,'Raw Data'!AO63)</f>
        <v>0</v>
      </c>
      <c r="AK50" s="12" t="n">
        <f aca="false">IF('Raw Data'!AP63="",0,'Raw Data'!AP63)</f>
        <v>0</v>
      </c>
      <c r="AL50" s="12" t="n">
        <f aca="false">IF('Raw Data'!AQ63="",0,'Raw Data'!AQ63)</f>
        <v>0</v>
      </c>
      <c r="AM50" s="12" t="n">
        <f aca="false">IF('Raw Data'!AR63="",0,'Raw Data'!AR63)</f>
        <v>0</v>
      </c>
      <c r="AN50" s="12" t="n">
        <f aca="false">IF('Raw Data'!AS63="",0,'Raw Data'!AS63)</f>
        <v>0</v>
      </c>
      <c r="AO50" s="12" t="n">
        <f aca="false">IF('Raw Data'!AT63="",0,'Raw Data'!AT63)</f>
        <v>0</v>
      </c>
      <c r="AP50" s="12" t="n">
        <f aca="false">IF('Raw Data'!AU63="",0,'Raw Data'!AU63)</f>
        <v>0</v>
      </c>
      <c r="AQ50" s="12" t="n">
        <f aca="false">IF('Raw Data'!AV63="",0,'Raw Data'!AV63)</f>
        <v>0</v>
      </c>
      <c r="AR50" s="12" t="n">
        <f aca="false">IF('Raw Data'!AW63="",0,'Raw Data'!AW63)</f>
        <v>0</v>
      </c>
      <c r="AS50" s="12" t="n">
        <f aca="false">IF('Raw Data'!AX63="",0,'Raw Data'!AX63)</f>
        <v>0</v>
      </c>
      <c r="AT50" s="12" t="n">
        <f aca="false">IF('Raw Data'!AY63="",0,'Raw Data'!AY63)</f>
        <v>0</v>
      </c>
      <c r="AU50" s="12" t="n">
        <f aca="false">IF('Raw Data'!AZ63="",0,'Raw Data'!AZ63)</f>
        <v>0</v>
      </c>
      <c r="AV50" s="12" t="n">
        <f aca="false">IF('Raw Data'!BA63="",0,'Raw Data'!BA63)</f>
        <v>0</v>
      </c>
      <c r="AW50" s="12" t="n">
        <f aca="false">IF('Raw Data'!BB63="",0,'Raw Data'!BB63)</f>
        <v>0</v>
      </c>
      <c r="AX50" s="12" t="n">
        <f aca="false">IF('Raw Data'!BC63="",0,'Raw Data'!BC63)</f>
        <v>0</v>
      </c>
      <c r="AY50" s="12" t="n">
        <f aca="false">IF('Raw Data'!BD63="",0,'Raw Data'!BD63)</f>
        <v>0</v>
      </c>
      <c r="AZ50" s="12" t="n">
        <f aca="false">IF('Raw Data'!BE63="",0,'Raw Data'!BE63)</f>
        <v>0</v>
      </c>
      <c r="BA50" s="12" t="n">
        <f aca="false">IF('Raw Data'!BF63="",0,'Raw Data'!BF63)</f>
        <v>0</v>
      </c>
      <c r="BB50" s="12" t="n">
        <f aca="false">IF('Raw Data'!BG63="",0,'Raw Data'!BG63)</f>
        <v>0</v>
      </c>
      <c r="BC50" s="12" t="n">
        <f aca="false">IF('Raw Data'!BH63="",0,'Raw Data'!BH63)</f>
        <v>0</v>
      </c>
      <c r="BD50" s="12" t="n">
        <f aca="false">IF('Raw Data'!BI63="",0,'Raw Data'!BI63)</f>
        <v>0</v>
      </c>
      <c r="BE50" s="12" t="n">
        <f aca="false">IF('Raw Data'!BJ63="",0,'Raw Data'!BJ63)</f>
        <v>0</v>
      </c>
      <c r="BF50" s="12" t="n">
        <f aca="false">IF('Raw Data'!BK63="",0,'Raw Data'!BK63)</f>
        <v>0</v>
      </c>
      <c r="BG50" s="12" t="n">
        <f aca="false">IF('Raw Data'!BL63="",0,'Raw Data'!BL63)</f>
        <v>0</v>
      </c>
      <c r="BH50" s="12" t="n">
        <f aca="false">IF('Raw Data'!BM63="",0,'Raw Data'!BM63)</f>
        <v>0</v>
      </c>
      <c r="BI50" s="12" t="n">
        <f aca="false">IF('Raw Data'!BN63="",0,'Raw Data'!BN63)</f>
        <v>0</v>
      </c>
      <c r="BJ50" s="12" t="n">
        <f aca="false">IF('Raw Data'!BO63="",0,'Raw Data'!BO63)</f>
        <v>0</v>
      </c>
      <c r="BK50" s="12" t="n">
        <f aca="false">IF('Raw Data'!BP63="",0,'Raw Data'!BP63)</f>
        <v>0</v>
      </c>
      <c r="BL50" s="12" t="n">
        <f aca="false">IF('Raw Data'!BQ63="",0,'Raw Data'!BQ63)</f>
        <v>0</v>
      </c>
      <c r="BM50" s="12" t="n">
        <f aca="false">IF('Raw Data'!BR63="",0,'Raw Data'!BR63)</f>
        <v>0</v>
      </c>
      <c r="BN50" s="12" t="n">
        <f aca="false">IF('Raw Data'!BS63="",0,'Raw Data'!BS63)</f>
        <v>0</v>
      </c>
      <c r="BO50" s="21" t="b">
        <f aca="false">FALSE()</f>
        <v>0</v>
      </c>
    </row>
    <row r="51" customFormat="false" ht="15" hidden="false" customHeight="false" outlineLevel="0" collapsed="false">
      <c r="A51" s="20" t="str">
        <f aca="false">'Raw Data'!A64</f>
        <v>Local Account #54 from CA</v>
      </c>
      <c r="B51" s="12" t="n">
        <f aca="false">IF('Raw Data'!G64="",0,'Raw Data'!G64)</f>
        <v>4750</v>
      </c>
      <c r="C51" s="12" t="n">
        <f aca="false">IF('Raw Data'!H64="",0,'Raw Data'!H64)</f>
        <v>4750</v>
      </c>
      <c r="D51" s="12" t="n">
        <f aca="false">IF('Raw Data'!I64="",0,'Raw Data'!I64)</f>
        <v>4750</v>
      </c>
      <c r="E51" s="12" t="n">
        <f aca="false">IF('Raw Data'!J64="",0,'Raw Data'!J64)</f>
        <v>4750</v>
      </c>
      <c r="F51" s="12" t="n">
        <f aca="false">IF('Raw Data'!K64="",0,'Raw Data'!K64)</f>
        <v>4750</v>
      </c>
      <c r="G51" s="12" t="n">
        <f aca="false">IF('Raw Data'!L64="",0,'Raw Data'!L64)</f>
        <v>4750</v>
      </c>
      <c r="H51" s="12" t="n">
        <f aca="false">IF('Raw Data'!M64="",0,'Raw Data'!M64)</f>
        <v>6000</v>
      </c>
      <c r="I51" s="12" t="n">
        <f aca="false">IF('Raw Data'!N64="",0,'Raw Data'!N64)</f>
        <v>6000</v>
      </c>
      <c r="J51" s="12" t="n">
        <f aca="false">IF('Raw Data'!O64="",0,'Raw Data'!O64)</f>
        <v>6000</v>
      </c>
      <c r="K51" s="12" t="n">
        <f aca="false">IF('Raw Data'!P64="",0,'Raw Data'!P64)</f>
        <v>6000</v>
      </c>
      <c r="L51" s="12" t="n">
        <f aca="false">IF('Raw Data'!Q64="",0,'Raw Data'!Q64)</f>
        <v>6000</v>
      </c>
      <c r="M51" s="12" t="n">
        <f aca="false">IF('Raw Data'!R64="",0,'Raw Data'!R64)</f>
        <v>6000</v>
      </c>
      <c r="N51" s="12" t="n">
        <f aca="false">IF('Raw Data'!S64="",0,'Raw Data'!S64)</f>
        <v>6000</v>
      </c>
      <c r="O51" s="12" t="n">
        <f aca="false">IF('Raw Data'!T64="",0,'Raw Data'!T64)</f>
        <v>6000</v>
      </c>
      <c r="P51" s="12" t="n">
        <f aca="false">IF('Raw Data'!U64="",0,'Raw Data'!U64)</f>
        <v>6000</v>
      </c>
      <c r="Q51" s="12" t="n">
        <f aca="false">IF('Raw Data'!V64="",0,'Raw Data'!V64)</f>
        <v>6000</v>
      </c>
      <c r="R51" s="12" t="n">
        <f aca="false">IF('Raw Data'!W64="",0,'Raw Data'!W64)</f>
        <v>6000</v>
      </c>
      <c r="S51" s="12" t="n">
        <f aca="false">IF('Raw Data'!X64="",0,'Raw Data'!X64)</f>
        <v>6000</v>
      </c>
      <c r="T51" s="12" t="n">
        <f aca="false">IF('Raw Data'!Y64="",0,'Raw Data'!Y64)</f>
        <v>1300</v>
      </c>
      <c r="U51" s="12" t="n">
        <f aca="false">IF('Raw Data'!Z64="",0,'Raw Data'!Z64)</f>
        <v>1300</v>
      </c>
      <c r="V51" s="12" t="n">
        <f aca="false">IF('Raw Data'!AA64="",0,'Raw Data'!AA64)</f>
        <v>1300</v>
      </c>
      <c r="W51" s="12" t="n">
        <f aca="false">IF('Raw Data'!AB64="",0,'Raw Data'!AB64)</f>
        <v>1300</v>
      </c>
      <c r="X51" s="12" t="n">
        <f aca="false">IF('Raw Data'!AC64="",0,'Raw Data'!AC64)</f>
        <v>1300</v>
      </c>
      <c r="Y51" s="12" t="n">
        <f aca="false">IF('Raw Data'!AD64="",0,'Raw Data'!AD64)</f>
        <v>1300</v>
      </c>
      <c r="Z51" s="12" t="n">
        <f aca="false">IF('Raw Data'!AE64="",0,'Raw Data'!AE64)</f>
        <v>1300</v>
      </c>
      <c r="AA51" s="12" t="n">
        <f aca="false">IF('Raw Data'!AF64="",0,'Raw Data'!AF64)</f>
        <v>1300</v>
      </c>
      <c r="AB51" s="12" t="n">
        <f aca="false">IF('Raw Data'!AG64="",0,'Raw Data'!AG64)</f>
        <v>1300</v>
      </c>
      <c r="AC51" s="12" t="n">
        <f aca="false">IF('Raw Data'!AH64="",0,'Raw Data'!AH64)</f>
        <v>1300</v>
      </c>
      <c r="AD51" s="12" t="n">
        <f aca="false">IF('Raw Data'!AI64="",0,'Raw Data'!AI64)</f>
        <v>1300</v>
      </c>
      <c r="AE51" s="12" t="n">
        <f aca="false">IF('Raw Data'!AJ64="",0,'Raw Data'!AJ64)</f>
        <v>1300</v>
      </c>
      <c r="AF51" s="12" t="n">
        <f aca="false">IF('Raw Data'!AK64="",0,'Raw Data'!AK64)</f>
        <v>1300</v>
      </c>
      <c r="AG51" s="12" t="n">
        <f aca="false">IF('Raw Data'!AL64="",0,'Raw Data'!AL64)</f>
        <v>1300</v>
      </c>
      <c r="AH51" s="12" t="n">
        <f aca="false">IF('Raw Data'!AM64="",0,'Raw Data'!AM64)</f>
        <v>1300</v>
      </c>
      <c r="AI51" s="12" t="n">
        <f aca="false">IF('Raw Data'!AN64="",0,'Raw Data'!AN64)</f>
        <v>1300</v>
      </c>
      <c r="AJ51" s="12" t="n">
        <f aca="false">IF('Raw Data'!AO64="",0,'Raw Data'!AO64)</f>
        <v>1300</v>
      </c>
      <c r="AK51" s="12" t="n">
        <f aca="false">IF('Raw Data'!AP64="",0,'Raw Data'!AP64)</f>
        <v>1300</v>
      </c>
      <c r="AL51" s="12" t="n">
        <f aca="false">IF('Raw Data'!AQ64="",0,'Raw Data'!AQ64)</f>
        <v>1300</v>
      </c>
      <c r="AM51" s="12" t="n">
        <f aca="false">IF('Raw Data'!AR64="",0,'Raw Data'!AR64)</f>
        <v>1300</v>
      </c>
      <c r="AN51" s="12" t="n">
        <f aca="false">IF('Raw Data'!AS64="",0,'Raw Data'!AS64)</f>
        <v>1300</v>
      </c>
      <c r="AO51" s="12" t="n">
        <f aca="false">IF('Raw Data'!AT64="",0,'Raw Data'!AT64)</f>
        <v>1300</v>
      </c>
      <c r="AP51" s="12" t="n">
        <f aca="false">IF('Raw Data'!AU64="",0,'Raw Data'!AU64)</f>
        <v>1300</v>
      </c>
      <c r="AQ51" s="12" t="n">
        <f aca="false">IF('Raw Data'!AV64="",0,'Raw Data'!AV64)</f>
        <v>1300</v>
      </c>
      <c r="AR51" s="12" t="n">
        <f aca="false">IF('Raw Data'!AW64="",0,'Raw Data'!AW64)</f>
        <v>0</v>
      </c>
      <c r="AS51" s="12" t="n">
        <f aca="false">IF('Raw Data'!AX64="",0,'Raw Data'!AX64)</f>
        <v>0</v>
      </c>
      <c r="AT51" s="12" t="n">
        <f aca="false">IF('Raw Data'!AY64="",0,'Raw Data'!AY64)</f>
        <v>0</v>
      </c>
      <c r="AU51" s="12" t="n">
        <f aca="false">IF('Raw Data'!AZ64="",0,'Raw Data'!AZ64)</f>
        <v>0</v>
      </c>
      <c r="AV51" s="12" t="n">
        <f aca="false">IF('Raw Data'!BA64="",0,'Raw Data'!BA64)</f>
        <v>0</v>
      </c>
      <c r="AW51" s="12" t="n">
        <f aca="false">IF('Raw Data'!BB64="",0,'Raw Data'!BB64)</f>
        <v>0</v>
      </c>
      <c r="AX51" s="12" t="n">
        <f aca="false">IF('Raw Data'!BC64="",0,'Raw Data'!BC64)</f>
        <v>0</v>
      </c>
      <c r="AY51" s="12" t="n">
        <f aca="false">IF('Raw Data'!BD64="",0,'Raw Data'!BD64)</f>
        <v>0</v>
      </c>
      <c r="AZ51" s="12" t="n">
        <f aca="false">IF('Raw Data'!BE64="",0,'Raw Data'!BE64)</f>
        <v>0</v>
      </c>
      <c r="BA51" s="12" t="n">
        <f aca="false">IF('Raw Data'!BF64="",0,'Raw Data'!BF64)</f>
        <v>0</v>
      </c>
      <c r="BB51" s="12" t="n">
        <f aca="false">IF('Raw Data'!BG64="",0,'Raw Data'!BG64)</f>
        <v>0</v>
      </c>
      <c r="BC51" s="12" t="n">
        <f aca="false">IF('Raw Data'!BH64="",0,'Raw Data'!BH64)</f>
        <v>0</v>
      </c>
      <c r="BD51" s="12" t="n">
        <f aca="false">IF('Raw Data'!BI64="",0,'Raw Data'!BI64)</f>
        <v>0</v>
      </c>
      <c r="BE51" s="12" t="n">
        <f aca="false">IF('Raw Data'!BJ64="",0,'Raw Data'!BJ64)</f>
        <v>0</v>
      </c>
      <c r="BF51" s="12" t="n">
        <f aca="false">IF('Raw Data'!BK64="",0,'Raw Data'!BK64)</f>
        <v>0</v>
      </c>
      <c r="BG51" s="12" t="n">
        <f aca="false">IF('Raw Data'!BL64="",0,'Raw Data'!BL64)</f>
        <v>0</v>
      </c>
      <c r="BH51" s="12" t="n">
        <f aca="false">IF('Raw Data'!BM64="",0,'Raw Data'!BM64)</f>
        <v>0</v>
      </c>
      <c r="BI51" s="12" t="n">
        <f aca="false">IF('Raw Data'!BN64="",0,'Raw Data'!BN64)</f>
        <v>0</v>
      </c>
      <c r="BJ51" s="12" t="n">
        <f aca="false">IF('Raw Data'!BO64="",0,'Raw Data'!BO64)</f>
        <v>0</v>
      </c>
      <c r="BK51" s="12" t="n">
        <f aca="false">IF('Raw Data'!BP64="",0,'Raw Data'!BP64)</f>
        <v>0</v>
      </c>
      <c r="BL51" s="12" t="n">
        <f aca="false">IF('Raw Data'!BQ64="",0,'Raw Data'!BQ64)</f>
        <v>0</v>
      </c>
      <c r="BM51" s="12" t="n">
        <f aca="false">IF('Raw Data'!BR64="",0,'Raw Data'!BR64)</f>
        <v>0</v>
      </c>
      <c r="BN51" s="12" t="n">
        <f aca="false">IF('Raw Data'!BS64="",0,'Raw Data'!BS64)</f>
        <v>0</v>
      </c>
      <c r="BO51" s="21" t="b">
        <f aca="false">FALSE()</f>
        <v>0</v>
      </c>
    </row>
    <row r="52" customFormat="false" ht="15" hidden="false" customHeight="false" outlineLevel="0" collapsed="false">
      <c r="A52" s="20" t="str">
        <f aca="false">'Raw Data'!A65</f>
        <v>Local Account #55 from OH</v>
      </c>
      <c r="B52" s="12" t="n">
        <f aca="false">IF('Raw Data'!G65="",0,'Raw Data'!G65)</f>
        <v>0</v>
      </c>
      <c r="C52" s="12" t="n">
        <f aca="false">IF('Raw Data'!H65="",0,'Raw Data'!H65)</f>
        <v>0</v>
      </c>
      <c r="D52" s="12" t="n">
        <f aca="false">IF('Raw Data'!I65="",0,'Raw Data'!I65)</f>
        <v>0</v>
      </c>
      <c r="E52" s="12" t="n">
        <f aca="false">IF('Raw Data'!J65="",0,'Raw Data'!J65)</f>
        <v>0</v>
      </c>
      <c r="F52" s="12" t="n">
        <f aca="false">IF('Raw Data'!K65="",0,'Raw Data'!K65)</f>
        <v>0</v>
      </c>
      <c r="G52" s="12" t="n">
        <f aca="false">IF('Raw Data'!L65="",0,'Raw Data'!L65)</f>
        <v>0</v>
      </c>
      <c r="H52" s="12" t="n">
        <f aca="false">IF('Raw Data'!M65="",0,'Raw Data'!M65)</f>
        <v>0</v>
      </c>
      <c r="I52" s="12" t="n">
        <f aca="false">IF('Raw Data'!N65="",0,'Raw Data'!N65)</f>
        <v>0</v>
      </c>
      <c r="J52" s="12" t="n">
        <f aca="false">IF('Raw Data'!O65="",0,'Raw Data'!O65)</f>
        <v>0</v>
      </c>
      <c r="K52" s="12" t="n">
        <f aca="false">IF('Raw Data'!P65="",0,'Raw Data'!P65)</f>
        <v>0</v>
      </c>
      <c r="L52" s="12" t="n">
        <f aca="false">IF('Raw Data'!Q65="",0,'Raw Data'!Q65)</f>
        <v>0</v>
      </c>
      <c r="M52" s="12" t="n">
        <f aca="false">IF('Raw Data'!R65="",0,'Raw Data'!R65)</f>
        <v>0</v>
      </c>
      <c r="N52" s="12" t="n">
        <f aca="false">IF('Raw Data'!S65="",0,'Raw Data'!S65)</f>
        <v>0</v>
      </c>
      <c r="O52" s="12" t="n">
        <f aca="false">IF('Raw Data'!T65="",0,'Raw Data'!T65)</f>
        <v>937.5</v>
      </c>
      <c r="P52" s="12" t="n">
        <f aca="false">IF('Raw Data'!U65="",0,'Raw Data'!U65)</f>
        <v>937.5</v>
      </c>
      <c r="Q52" s="12" t="n">
        <f aca="false">IF('Raw Data'!V65="",0,'Raw Data'!V65)</f>
        <v>937.5</v>
      </c>
      <c r="R52" s="12" t="n">
        <f aca="false">IF('Raw Data'!W65="",0,'Raw Data'!W65)</f>
        <v>937.5</v>
      </c>
      <c r="S52" s="12" t="n">
        <f aca="false">IF('Raw Data'!X65="",0,'Raw Data'!X65)</f>
        <v>937.5</v>
      </c>
      <c r="T52" s="12" t="n">
        <f aca="false">IF('Raw Data'!Y65="",0,'Raw Data'!Y65)</f>
        <v>937.5</v>
      </c>
      <c r="U52" s="12" t="n">
        <f aca="false">IF('Raw Data'!Z65="",0,'Raw Data'!Z65)</f>
        <v>937.5</v>
      </c>
      <c r="V52" s="12" t="n">
        <f aca="false">IF('Raw Data'!AA65="",0,'Raw Data'!AA65)</f>
        <v>937.5</v>
      </c>
      <c r="W52" s="12" t="n">
        <f aca="false">IF('Raw Data'!AB65="",0,'Raw Data'!AB65)</f>
        <v>937.5</v>
      </c>
      <c r="X52" s="12" t="n">
        <f aca="false">IF('Raw Data'!AC65="",0,'Raw Data'!AC65)</f>
        <v>937.5</v>
      </c>
      <c r="Y52" s="12" t="n">
        <f aca="false">IF('Raw Data'!AD65="",0,'Raw Data'!AD65)</f>
        <v>937.5</v>
      </c>
      <c r="Z52" s="12" t="n">
        <f aca="false">IF('Raw Data'!AE65="",0,'Raw Data'!AE65)</f>
        <v>937.5</v>
      </c>
      <c r="AA52" s="12" t="n">
        <f aca="false">IF('Raw Data'!AF65="",0,'Raw Data'!AF65)</f>
        <v>600</v>
      </c>
      <c r="AB52" s="12" t="n">
        <f aca="false">IF('Raw Data'!AG65="",0,'Raw Data'!AG65)</f>
        <v>600</v>
      </c>
      <c r="AC52" s="12" t="n">
        <f aca="false">IF('Raw Data'!AH65="",0,'Raw Data'!AH65)</f>
        <v>600</v>
      </c>
      <c r="AD52" s="12" t="n">
        <f aca="false">IF('Raw Data'!AI65="",0,'Raw Data'!AI65)</f>
        <v>600</v>
      </c>
      <c r="AE52" s="12" t="n">
        <f aca="false">IF('Raw Data'!AJ65="",0,'Raw Data'!AJ65)</f>
        <v>600</v>
      </c>
      <c r="AF52" s="12" t="n">
        <f aca="false">IF('Raw Data'!AK65="",0,'Raw Data'!AK65)</f>
        <v>600</v>
      </c>
      <c r="AG52" s="12" t="n">
        <f aca="false">IF('Raw Data'!AL65="",0,'Raw Data'!AL65)</f>
        <v>600</v>
      </c>
      <c r="AH52" s="12" t="n">
        <f aca="false">IF('Raw Data'!AM65="",0,'Raw Data'!AM65)</f>
        <v>600</v>
      </c>
      <c r="AI52" s="12" t="n">
        <f aca="false">IF('Raw Data'!AN65="",0,'Raw Data'!AN65)</f>
        <v>600</v>
      </c>
      <c r="AJ52" s="12" t="n">
        <f aca="false">IF('Raw Data'!AO65="",0,'Raw Data'!AO65)</f>
        <v>600</v>
      </c>
      <c r="AK52" s="12" t="n">
        <f aca="false">IF('Raw Data'!AP65="",0,'Raw Data'!AP65)</f>
        <v>900</v>
      </c>
      <c r="AL52" s="12" t="n">
        <f aca="false">IF('Raw Data'!AQ65="",0,'Raw Data'!AQ65)</f>
        <v>900</v>
      </c>
      <c r="AM52" s="12" t="n">
        <f aca="false">IF('Raw Data'!AR65="",0,'Raw Data'!AR65)</f>
        <v>900</v>
      </c>
      <c r="AN52" s="12" t="n">
        <f aca="false">IF('Raw Data'!AS65="",0,'Raw Data'!AS65)</f>
        <v>900</v>
      </c>
      <c r="AO52" s="12" t="n">
        <f aca="false">IF('Raw Data'!AT65="",0,'Raw Data'!AT65)</f>
        <v>900</v>
      </c>
      <c r="AP52" s="12" t="n">
        <f aca="false">IF('Raw Data'!AU65="",0,'Raw Data'!AU65)</f>
        <v>900</v>
      </c>
      <c r="AQ52" s="12" t="n">
        <f aca="false">IF('Raw Data'!AV65="",0,'Raw Data'!AV65)</f>
        <v>900</v>
      </c>
      <c r="AR52" s="12" t="n">
        <f aca="false">IF('Raw Data'!AW65="",0,'Raw Data'!AW65)</f>
        <v>900</v>
      </c>
      <c r="AS52" s="12" t="n">
        <f aca="false">IF('Raw Data'!AX65="",0,'Raw Data'!AX65)</f>
        <v>900</v>
      </c>
      <c r="AT52" s="12" t="n">
        <f aca="false">IF('Raw Data'!AY65="",0,'Raw Data'!AY65)</f>
        <v>900</v>
      </c>
      <c r="AU52" s="12" t="n">
        <f aca="false">IF('Raw Data'!AZ65="",0,'Raw Data'!AZ65)</f>
        <v>900</v>
      </c>
      <c r="AV52" s="12" t="n">
        <f aca="false">IF('Raw Data'!BA65="",0,'Raw Data'!BA65)</f>
        <v>900</v>
      </c>
      <c r="AW52" s="12" t="n">
        <f aca="false">IF('Raw Data'!BB65="",0,'Raw Data'!BB65)</f>
        <v>900</v>
      </c>
      <c r="AX52" s="12" t="n">
        <f aca="false">IF('Raw Data'!BC65="",0,'Raw Data'!BC65)</f>
        <v>900</v>
      </c>
      <c r="AY52" s="12" t="n">
        <f aca="false">IF('Raw Data'!BD65="",0,'Raw Data'!BD65)</f>
        <v>0</v>
      </c>
      <c r="AZ52" s="12" t="n">
        <f aca="false">IF('Raw Data'!BE65="",0,'Raw Data'!BE65)</f>
        <v>0</v>
      </c>
      <c r="BA52" s="12" t="n">
        <f aca="false">IF('Raw Data'!BF65="",0,'Raw Data'!BF65)</f>
        <v>0</v>
      </c>
      <c r="BB52" s="12" t="n">
        <f aca="false">IF('Raw Data'!BG65="",0,'Raw Data'!BG65)</f>
        <v>0</v>
      </c>
      <c r="BC52" s="12" t="n">
        <f aca="false">IF('Raw Data'!BH65="",0,'Raw Data'!BH65)</f>
        <v>0</v>
      </c>
      <c r="BD52" s="12" t="n">
        <f aca="false">IF('Raw Data'!BI65="",0,'Raw Data'!BI65)</f>
        <v>0</v>
      </c>
      <c r="BE52" s="12" t="n">
        <f aca="false">IF('Raw Data'!BJ65="",0,'Raw Data'!BJ65)</f>
        <v>0</v>
      </c>
      <c r="BF52" s="12" t="n">
        <f aca="false">IF('Raw Data'!BK65="",0,'Raw Data'!BK65)</f>
        <v>0</v>
      </c>
      <c r="BG52" s="12" t="n">
        <f aca="false">IF('Raw Data'!BL65="",0,'Raw Data'!BL65)</f>
        <v>0</v>
      </c>
      <c r="BH52" s="12" t="n">
        <f aca="false">IF('Raw Data'!BM65="",0,'Raw Data'!BM65)</f>
        <v>0</v>
      </c>
      <c r="BI52" s="12" t="n">
        <f aca="false">IF('Raw Data'!BN65="",0,'Raw Data'!BN65)</f>
        <v>0</v>
      </c>
      <c r="BJ52" s="12" t="n">
        <f aca="false">IF('Raw Data'!BO65="",0,'Raw Data'!BO65)</f>
        <v>0</v>
      </c>
      <c r="BK52" s="12" t="n">
        <f aca="false">IF('Raw Data'!BP65="",0,'Raw Data'!BP65)</f>
        <v>0</v>
      </c>
      <c r="BL52" s="12" t="n">
        <f aca="false">IF('Raw Data'!BQ65="",0,'Raw Data'!BQ65)</f>
        <v>0</v>
      </c>
      <c r="BM52" s="12" t="n">
        <f aca="false">IF('Raw Data'!BR65="",0,'Raw Data'!BR65)</f>
        <v>0</v>
      </c>
      <c r="BN52" s="12" t="n">
        <f aca="false">IF('Raw Data'!BS65="",0,'Raw Data'!BS65)</f>
        <v>0</v>
      </c>
      <c r="BO52" s="21" t="b">
        <f aca="false">FALSE()</f>
        <v>0</v>
      </c>
    </row>
    <row r="53" customFormat="false" ht="15" hidden="false" customHeight="false" outlineLevel="0" collapsed="false">
      <c r="A53" s="20" t="str">
        <f aca="false">'Raw Data'!A66</f>
        <v>Local Account #56 from CA</v>
      </c>
      <c r="B53" s="12" t="n">
        <f aca="false">IF('Raw Data'!G66="",0,'Raw Data'!G66)</f>
        <v>1050</v>
      </c>
      <c r="C53" s="12" t="n">
        <f aca="false">IF('Raw Data'!H66="",0,'Raw Data'!H66)</f>
        <v>1050</v>
      </c>
      <c r="D53" s="12" t="n">
        <f aca="false">IF('Raw Data'!I66="",0,'Raw Data'!I66)</f>
        <v>1050</v>
      </c>
      <c r="E53" s="12" t="n">
        <f aca="false">IF('Raw Data'!J66="",0,'Raw Data'!J66)</f>
        <v>1050</v>
      </c>
      <c r="F53" s="12" t="n">
        <f aca="false">IF('Raw Data'!K66="",0,'Raw Data'!K66)</f>
        <v>1050</v>
      </c>
      <c r="G53" s="12" t="n">
        <f aca="false">IF('Raw Data'!L66="",0,'Raw Data'!L66)</f>
        <v>1050</v>
      </c>
      <c r="H53" s="12" t="n">
        <f aca="false">IF('Raw Data'!M66="",0,'Raw Data'!M66)</f>
        <v>1200</v>
      </c>
      <c r="I53" s="12" t="n">
        <f aca="false">IF('Raw Data'!N66="",0,'Raw Data'!N66)</f>
        <v>1200</v>
      </c>
      <c r="J53" s="12" t="n">
        <f aca="false">IF('Raw Data'!O66="",0,'Raw Data'!O66)</f>
        <v>1200</v>
      </c>
      <c r="K53" s="12" t="n">
        <f aca="false">IF('Raw Data'!P66="",0,'Raw Data'!P66)</f>
        <v>1200</v>
      </c>
      <c r="L53" s="12" t="n">
        <f aca="false">IF('Raw Data'!Q66="",0,'Raw Data'!Q66)</f>
        <v>1200</v>
      </c>
      <c r="M53" s="12" t="n">
        <f aca="false">IF('Raw Data'!R66="",0,'Raw Data'!R66)</f>
        <v>1200</v>
      </c>
      <c r="N53" s="12" t="n">
        <f aca="false">IF('Raw Data'!S66="",0,'Raw Data'!S66)</f>
        <v>1200</v>
      </c>
      <c r="O53" s="12" t="n">
        <f aca="false">IF('Raw Data'!T66="",0,'Raw Data'!T66)</f>
        <v>1200</v>
      </c>
      <c r="P53" s="12" t="n">
        <f aca="false">IF('Raw Data'!U66="",0,'Raw Data'!U66)</f>
        <v>1200</v>
      </c>
      <c r="Q53" s="12" t="n">
        <f aca="false">IF('Raw Data'!V66="",0,'Raw Data'!V66)</f>
        <v>1200</v>
      </c>
      <c r="R53" s="12" t="n">
        <f aca="false">IF('Raw Data'!W66="",0,'Raw Data'!W66)</f>
        <v>1200</v>
      </c>
      <c r="S53" s="12" t="n">
        <f aca="false">IF('Raw Data'!X66="",0,'Raw Data'!X66)</f>
        <v>1200</v>
      </c>
      <c r="T53" s="12" t="n">
        <f aca="false">IF('Raw Data'!Y66="",0,'Raw Data'!Y66)</f>
        <v>800</v>
      </c>
      <c r="U53" s="12" t="n">
        <f aca="false">IF('Raw Data'!Z66="",0,'Raw Data'!Z66)</f>
        <v>800</v>
      </c>
      <c r="V53" s="12" t="n">
        <f aca="false">IF('Raw Data'!AA66="",0,'Raw Data'!AA66)</f>
        <v>800</v>
      </c>
      <c r="W53" s="12" t="n">
        <f aca="false">IF('Raw Data'!AB66="",0,'Raw Data'!AB66)</f>
        <v>800</v>
      </c>
      <c r="X53" s="12" t="n">
        <f aca="false">IF('Raw Data'!AC66="",0,'Raw Data'!AC66)</f>
        <v>800</v>
      </c>
      <c r="Y53" s="12" t="n">
        <f aca="false">IF('Raw Data'!AD66="",0,'Raw Data'!AD66)</f>
        <v>800</v>
      </c>
      <c r="Z53" s="12" t="n">
        <f aca="false">IF('Raw Data'!AE66="",0,'Raw Data'!AE66)</f>
        <v>800</v>
      </c>
      <c r="AA53" s="12" t="n">
        <f aca="false">IF('Raw Data'!AF66="",0,'Raw Data'!AF66)</f>
        <v>800</v>
      </c>
      <c r="AB53" s="12" t="n">
        <f aca="false">IF('Raw Data'!AG66="",0,'Raw Data'!AG66)</f>
        <v>800</v>
      </c>
      <c r="AC53" s="12" t="n">
        <f aca="false">IF('Raw Data'!AH66="",0,'Raw Data'!AH66)</f>
        <v>800</v>
      </c>
      <c r="AD53" s="12" t="n">
        <f aca="false">IF('Raw Data'!AI66="",0,'Raw Data'!AI66)</f>
        <v>800</v>
      </c>
      <c r="AE53" s="12" t="n">
        <f aca="false">IF('Raw Data'!AJ66="",0,'Raw Data'!AJ66)</f>
        <v>800</v>
      </c>
      <c r="AF53" s="12" t="n">
        <f aca="false">IF('Raw Data'!AK66="",0,'Raw Data'!AK66)</f>
        <v>700</v>
      </c>
      <c r="AG53" s="12" t="n">
        <f aca="false">IF('Raw Data'!AL66="",0,'Raw Data'!AL66)</f>
        <v>700</v>
      </c>
      <c r="AH53" s="12" t="n">
        <f aca="false">IF('Raw Data'!AM66="",0,'Raw Data'!AM66)</f>
        <v>700</v>
      </c>
      <c r="AI53" s="12" t="n">
        <f aca="false">IF('Raw Data'!AN66="",0,'Raw Data'!AN66)</f>
        <v>700</v>
      </c>
      <c r="AJ53" s="12" t="n">
        <f aca="false">IF('Raw Data'!AO66="",0,'Raw Data'!AO66)</f>
        <v>700</v>
      </c>
      <c r="AK53" s="12" t="n">
        <f aca="false">IF('Raw Data'!AP66="",0,'Raw Data'!AP66)</f>
        <v>700</v>
      </c>
      <c r="AL53" s="12" t="n">
        <f aca="false">IF('Raw Data'!AQ66="",0,'Raw Data'!AQ66)</f>
        <v>700</v>
      </c>
      <c r="AM53" s="12" t="n">
        <f aca="false">IF('Raw Data'!AR66="",0,'Raw Data'!AR66)</f>
        <v>700</v>
      </c>
      <c r="AN53" s="12" t="n">
        <f aca="false">IF('Raw Data'!AS66="",0,'Raw Data'!AS66)</f>
        <v>700</v>
      </c>
      <c r="AO53" s="12" t="n">
        <f aca="false">IF('Raw Data'!AT66="",0,'Raw Data'!AT66)</f>
        <v>700</v>
      </c>
      <c r="AP53" s="12" t="n">
        <f aca="false">IF('Raw Data'!AU66="",0,'Raw Data'!AU66)</f>
        <v>700</v>
      </c>
      <c r="AQ53" s="12" t="n">
        <f aca="false">IF('Raw Data'!AV66="",0,'Raw Data'!AV66)</f>
        <v>700</v>
      </c>
      <c r="AR53" s="12" t="n">
        <f aca="false">IF('Raw Data'!AW66="",0,'Raw Data'!AW66)</f>
        <v>700</v>
      </c>
      <c r="AS53" s="12" t="n">
        <f aca="false">IF('Raw Data'!AX66="",0,'Raw Data'!AX66)</f>
        <v>700</v>
      </c>
      <c r="AT53" s="12" t="n">
        <f aca="false">IF('Raw Data'!AY66="",0,'Raw Data'!AY66)</f>
        <v>700</v>
      </c>
      <c r="AU53" s="12" t="n">
        <f aca="false">IF('Raw Data'!AZ66="",0,'Raw Data'!AZ66)</f>
        <v>700</v>
      </c>
      <c r="AV53" s="12" t="n">
        <f aca="false">IF('Raw Data'!BA66="",0,'Raw Data'!BA66)</f>
        <v>700</v>
      </c>
      <c r="AW53" s="12" t="n">
        <f aca="false">IF('Raw Data'!BB66="",0,'Raw Data'!BB66)</f>
        <v>700</v>
      </c>
      <c r="AX53" s="12" t="n">
        <f aca="false">IF('Raw Data'!BC66="",0,'Raw Data'!BC66)</f>
        <v>700</v>
      </c>
      <c r="AY53" s="12" t="n">
        <f aca="false">IF('Raw Data'!BD66="",0,'Raw Data'!BD66)</f>
        <v>700</v>
      </c>
      <c r="AZ53" s="12" t="n">
        <f aca="false">IF('Raw Data'!BE66="",0,'Raw Data'!BE66)</f>
        <v>700</v>
      </c>
      <c r="BA53" s="12" t="n">
        <f aca="false">IF('Raw Data'!BF66="",0,'Raw Data'!BF66)</f>
        <v>700</v>
      </c>
      <c r="BB53" s="12" t="n">
        <f aca="false">IF('Raw Data'!BG66="",0,'Raw Data'!BG66)</f>
        <v>700</v>
      </c>
      <c r="BC53" s="12" t="n">
        <f aca="false">IF('Raw Data'!BH66="",0,'Raw Data'!BH66)</f>
        <v>700</v>
      </c>
      <c r="BD53" s="12" t="n">
        <f aca="false">IF('Raw Data'!BI66="",0,'Raw Data'!BI66)</f>
        <v>700</v>
      </c>
      <c r="BE53" s="12" t="n">
        <f aca="false">IF('Raw Data'!BJ66="",0,'Raw Data'!BJ66)</f>
        <v>700</v>
      </c>
      <c r="BF53" s="12" t="n">
        <f aca="false">IF('Raw Data'!BK66="",0,'Raw Data'!BK66)</f>
        <v>700</v>
      </c>
      <c r="BG53" s="12" t="n">
        <f aca="false">IF('Raw Data'!BL66="",0,'Raw Data'!BL66)</f>
        <v>700</v>
      </c>
      <c r="BH53" s="12" t="n">
        <f aca="false">IF('Raw Data'!BM66="",0,'Raw Data'!BM66)</f>
        <v>700</v>
      </c>
      <c r="BI53" s="12" t="n">
        <f aca="false">IF('Raw Data'!BN66="",0,'Raw Data'!BN66)</f>
        <v>700</v>
      </c>
      <c r="BJ53" s="12" t="n">
        <f aca="false">IF('Raw Data'!BO66="",0,'Raw Data'!BO66)</f>
        <v>700</v>
      </c>
      <c r="BK53" s="12" t="n">
        <f aca="false">IF('Raw Data'!BP66="",0,'Raw Data'!BP66)</f>
        <v>700</v>
      </c>
      <c r="BL53" s="12" t="n">
        <f aca="false">IF('Raw Data'!BQ66="",0,'Raw Data'!BQ66)</f>
        <v>700</v>
      </c>
      <c r="BM53" s="12" t="n">
        <f aca="false">IF('Raw Data'!BR66="",0,'Raw Data'!BR66)</f>
        <v>700</v>
      </c>
      <c r="BN53" s="12" t="n">
        <f aca="false">IF('Raw Data'!BS66="",0,'Raw Data'!BS66)</f>
        <v>700</v>
      </c>
      <c r="BO53" s="21" t="b">
        <f aca="false">FALSE()</f>
        <v>0</v>
      </c>
    </row>
    <row r="54" customFormat="false" ht="15" hidden="false" customHeight="false" outlineLevel="0" collapsed="false">
      <c r="A54" s="20" t="str">
        <f aca="false">'Raw Data'!A67</f>
        <v>Local Account #57 from CA</v>
      </c>
      <c r="B54" s="12" t="n">
        <f aca="false">IF('Raw Data'!G67="",0,'Raw Data'!G67)</f>
        <v>400</v>
      </c>
      <c r="C54" s="12" t="n">
        <f aca="false">IF('Raw Data'!H67="",0,'Raw Data'!H67)</f>
        <v>400</v>
      </c>
      <c r="D54" s="12" t="n">
        <f aca="false">IF('Raw Data'!I67="",0,'Raw Data'!I67)</f>
        <v>400</v>
      </c>
      <c r="E54" s="12" t="n">
        <f aca="false">IF('Raw Data'!J67="",0,'Raw Data'!J67)</f>
        <v>1000</v>
      </c>
      <c r="F54" s="12" t="n">
        <f aca="false">IF('Raw Data'!K67="",0,'Raw Data'!K67)</f>
        <v>1000</v>
      </c>
      <c r="G54" s="12" t="n">
        <f aca="false">IF('Raw Data'!L67="",0,'Raw Data'!L67)</f>
        <v>1000</v>
      </c>
      <c r="H54" s="12" t="n">
        <f aca="false">IF('Raw Data'!M67="",0,'Raw Data'!M67)</f>
        <v>900</v>
      </c>
      <c r="I54" s="12" t="n">
        <f aca="false">IF('Raw Data'!N67="",0,'Raw Data'!N67)</f>
        <v>900</v>
      </c>
      <c r="J54" s="12" t="n">
        <f aca="false">IF('Raw Data'!O67="",0,'Raw Data'!O67)</f>
        <v>900</v>
      </c>
      <c r="K54" s="12" t="n">
        <f aca="false">IF('Raw Data'!P67="",0,'Raw Data'!P67)</f>
        <v>900</v>
      </c>
      <c r="L54" s="12" t="n">
        <f aca="false">IF('Raw Data'!Q67="",0,'Raw Data'!Q67)</f>
        <v>900</v>
      </c>
      <c r="M54" s="12" t="n">
        <f aca="false">IF('Raw Data'!R67="",0,'Raw Data'!R67)</f>
        <v>900</v>
      </c>
      <c r="N54" s="12" t="n">
        <f aca="false">IF('Raw Data'!S67="",0,'Raw Data'!S67)</f>
        <v>900</v>
      </c>
      <c r="O54" s="12" t="n">
        <f aca="false">IF('Raw Data'!T67="",0,'Raw Data'!T67)</f>
        <v>900</v>
      </c>
      <c r="P54" s="12" t="n">
        <f aca="false">IF('Raw Data'!U67="",0,'Raw Data'!U67)</f>
        <v>900</v>
      </c>
      <c r="Q54" s="12" t="n">
        <f aca="false">IF('Raw Data'!V67="",0,'Raw Data'!V67)</f>
        <v>900</v>
      </c>
      <c r="R54" s="12" t="n">
        <f aca="false">IF('Raw Data'!W67="",0,'Raw Data'!W67)</f>
        <v>900</v>
      </c>
      <c r="S54" s="12" t="n">
        <f aca="false">IF('Raw Data'!X67="",0,'Raw Data'!X67)</f>
        <v>900</v>
      </c>
      <c r="T54" s="12" t="n">
        <f aca="false">IF('Raw Data'!Y67="",0,'Raw Data'!Y67)</f>
        <v>0</v>
      </c>
      <c r="U54" s="12" t="n">
        <f aca="false">IF('Raw Data'!Z67="",0,'Raw Data'!Z67)</f>
        <v>0</v>
      </c>
      <c r="V54" s="12" t="n">
        <f aca="false">IF('Raw Data'!AA67="",0,'Raw Data'!AA67)</f>
        <v>0</v>
      </c>
      <c r="W54" s="12" t="n">
        <f aca="false">IF('Raw Data'!AB67="",0,'Raw Data'!AB67)</f>
        <v>0</v>
      </c>
      <c r="X54" s="12" t="n">
        <f aca="false">IF('Raw Data'!AC67="",0,'Raw Data'!AC67)</f>
        <v>0</v>
      </c>
      <c r="Y54" s="12" t="n">
        <f aca="false">IF('Raw Data'!AD67="",0,'Raw Data'!AD67)</f>
        <v>0</v>
      </c>
      <c r="Z54" s="12" t="n">
        <f aca="false">IF('Raw Data'!AE67="",0,'Raw Data'!AE67)</f>
        <v>0</v>
      </c>
      <c r="AA54" s="12" t="n">
        <f aca="false">IF('Raw Data'!AF67="",0,'Raw Data'!AF67)</f>
        <v>0</v>
      </c>
      <c r="AB54" s="12" t="n">
        <f aca="false">IF('Raw Data'!AG67="",0,'Raw Data'!AG67)</f>
        <v>0</v>
      </c>
      <c r="AC54" s="12" t="n">
        <f aca="false">IF('Raw Data'!AH67="",0,'Raw Data'!AH67)</f>
        <v>0</v>
      </c>
      <c r="AD54" s="12" t="n">
        <f aca="false">IF('Raw Data'!AI67="",0,'Raw Data'!AI67)</f>
        <v>0</v>
      </c>
      <c r="AE54" s="12" t="n">
        <f aca="false">IF('Raw Data'!AJ67="",0,'Raw Data'!AJ67)</f>
        <v>0</v>
      </c>
      <c r="AF54" s="12" t="n">
        <f aca="false">IF('Raw Data'!AK67="",0,'Raw Data'!AK67)</f>
        <v>0</v>
      </c>
      <c r="AG54" s="12" t="n">
        <f aca="false">IF('Raw Data'!AL67="",0,'Raw Data'!AL67)</f>
        <v>0</v>
      </c>
      <c r="AH54" s="12" t="n">
        <f aca="false">IF('Raw Data'!AM67="",0,'Raw Data'!AM67)</f>
        <v>0</v>
      </c>
      <c r="AI54" s="12" t="n">
        <f aca="false">IF('Raw Data'!AN67="",0,'Raw Data'!AN67)</f>
        <v>0</v>
      </c>
      <c r="AJ54" s="12" t="n">
        <f aca="false">IF('Raw Data'!AO67="",0,'Raw Data'!AO67)</f>
        <v>0</v>
      </c>
      <c r="AK54" s="12" t="n">
        <f aca="false">IF('Raw Data'!AP67="",0,'Raw Data'!AP67)</f>
        <v>0</v>
      </c>
      <c r="AL54" s="12" t="n">
        <f aca="false">IF('Raw Data'!AQ67="",0,'Raw Data'!AQ67)</f>
        <v>0</v>
      </c>
      <c r="AM54" s="12" t="n">
        <f aca="false">IF('Raw Data'!AR67="",0,'Raw Data'!AR67)</f>
        <v>0</v>
      </c>
      <c r="AN54" s="12" t="n">
        <f aca="false">IF('Raw Data'!AS67="",0,'Raw Data'!AS67)</f>
        <v>0</v>
      </c>
      <c r="AO54" s="12" t="n">
        <f aca="false">IF('Raw Data'!AT67="",0,'Raw Data'!AT67)</f>
        <v>0</v>
      </c>
      <c r="AP54" s="12" t="n">
        <f aca="false">IF('Raw Data'!AU67="",0,'Raw Data'!AU67)</f>
        <v>0</v>
      </c>
      <c r="AQ54" s="12" t="n">
        <f aca="false">IF('Raw Data'!AV67="",0,'Raw Data'!AV67)</f>
        <v>0</v>
      </c>
      <c r="AR54" s="12" t="n">
        <f aca="false">IF('Raw Data'!AW67="",0,'Raw Data'!AW67)</f>
        <v>0</v>
      </c>
      <c r="AS54" s="12" t="n">
        <f aca="false">IF('Raw Data'!AX67="",0,'Raw Data'!AX67)</f>
        <v>0</v>
      </c>
      <c r="AT54" s="12" t="n">
        <f aca="false">IF('Raw Data'!AY67="",0,'Raw Data'!AY67)</f>
        <v>0</v>
      </c>
      <c r="AU54" s="12" t="n">
        <f aca="false">IF('Raw Data'!AZ67="",0,'Raw Data'!AZ67)</f>
        <v>0</v>
      </c>
      <c r="AV54" s="12" t="n">
        <f aca="false">IF('Raw Data'!BA67="",0,'Raw Data'!BA67)</f>
        <v>0</v>
      </c>
      <c r="AW54" s="12" t="n">
        <f aca="false">IF('Raw Data'!BB67="",0,'Raw Data'!BB67)</f>
        <v>0</v>
      </c>
      <c r="AX54" s="12" t="n">
        <f aca="false">IF('Raw Data'!BC67="",0,'Raw Data'!BC67)</f>
        <v>0</v>
      </c>
      <c r="AY54" s="12" t="n">
        <f aca="false">IF('Raw Data'!BD67="",0,'Raw Data'!BD67)</f>
        <v>0</v>
      </c>
      <c r="AZ54" s="12" t="n">
        <f aca="false">IF('Raw Data'!BE67="",0,'Raw Data'!BE67)</f>
        <v>0</v>
      </c>
      <c r="BA54" s="12" t="n">
        <f aca="false">IF('Raw Data'!BF67="",0,'Raw Data'!BF67)</f>
        <v>0</v>
      </c>
      <c r="BB54" s="12" t="n">
        <f aca="false">IF('Raw Data'!BG67="",0,'Raw Data'!BG67)</f>
        <v>0</v>
      </c>
      <c r="BC54" s="12" t="n">
        <f aca="false">IF('Raw Data'!BH67="",0,'Raw Data'!BH67)</f>
        <v>0</v>
      </c>
      <c r="BD54" s="12" t="n">
        <f aca="false">IF('Raw Data'!BI67="",0,'Raw Data'!BI67)</f>
        <v>0</v>
      </c>
      <c r="BE54" s="12" t="n">
        <f aca="false">IF('Raw Data'!BJ67="",0,'Raw Data'!BJ67)</f>
        <v>0</v>
      </c>
      <c r="BF54" s="12" t="n">
        <f aca="false">IF('Raw Data'!BK67="",0,'Raw Data'!BK67)</f>
        <v>0</v>
      </c>
      <c r="BG54" s="12" t="n">
        <f aca="false">IF('Raw Data'!BL67="",0,'Raw Data'!BL67)</f>
        <v>0</v>
      </c>
      <c r="BH54" s="12" t="n">
        <f aca="false">IF('Raw Data'!BM67="",0,'Raw Data'!BM67)</f>
        <v>0</v>
      </c>
      <c r="BI54" s="12" t="n">
        <f aca="false">IF('Raw Data'!BN67="",0,'Raw Data'!BN67)</f>
        <v>0</v>
      </c>
      <c r="BJ54" s="12" t="n">
        <f aca="false">IF('Raw Data'!BO67="",0,'Raw Data'!BO67)</f>
        <v>0</v>
      </c>
      <c r="BK54" s="12" t="n">
        <f aca="false">IF('Raw Data'!BP67="",0,'Raw Data'!BP67)</f>
        <v>0</v>
      </c>
      <c r="BL54" s="12" t="n">
        <f aca="false">IF('Raw Data'!BQ67="",0,'Raw Data'!BQ67)</f>
        <v>0</v>
      </c>
      <c r="BM54" s="12" t="n">
        <f aca="false">IF('Raw Data'!BR67="",0,'Raw Data'!BR67)</f>
        <v>0</v>
      </c>
      <c r="BN54" s="12" t="n">
        <f aca="false">IF('Raw Data'!BS67="",0,'Raw Data'!BS67)</f>
        <v>0</v>
      </c>
      <c r="BO54" s="21" t="b">
        <f aca="false">FALSE()</f>
        <v>0</v>
      </c>
    </row>
    <row r="55" customFormat="false" ht="15" hidden="false" customHeight="false" outlineLevel="0" collapsed="false">
      <c r="A55" s="20" t="str">
        <f aca="false">'Raw Data'!A68</f>
        <v>Local Account #58 from TN</v>
      </c>
      <c r="B55" s="12" t="n">
        <f aca="false">IF('Raw Data'!G68="",0,'Raw Data'!G68)</f>
        <v>1033.41666666667</v>
      </c>
      <c r="C55" s="12" t="n">
        <f aca="false">IF('Raw Data'!H68="",0,'Raw Data'!H68)</f>
        <v>1033.41666666667</v>
      </c>
      <c r="D55" s="12" t="n">
        <f aca="false">IF('Raw Data'!I68="",0,'Raw Data'!I68)</f>
        <v>1033.41666666667</v>
      </c>
      <c r="E55" s="12" t="n">
        <f aca="false">IF('Raw Data'!J68="",0,'Raw Data'!J68)</f>
        <v>1033.41666666667</v>
      </c>
      <c r="F55" s="12" t="n">
        <f aca="false">IF('Raw Data'!K68="",0,'Raw Data'!K68)</f>
        <v>1033.41666666667</v>
      </c>
      <c r="G55" s="12" t="n">
        <f aca="false">IF('Raw Data'!L68="",0,'Raw Data'!L68)</f>
        <v>1033.41666666667</v>
      </c>
      <c r="H55" s="12" t="n">
        <f aca="false">IF('Raw Data'!M68="",0,'Raw Data'!M68)</f>
        <v>1033.41666666667</v>
      </c>
      <c r="I55" s="12" t="n">
        <f aca="false">IF('Raw Data'!N68="",0,'Raw Data'!N68)</f>
        <v>1033.41666666667</v>
      </c>
      <c r="J55" s="12" t="n">
        <f aca="false">IF('Raw Data'!O68="",0,'Raw Data'!O68)</f>
        <v>0</v>
      </c>
      <c r="K55" s="12" t="n">
        <f aca="false">IF('Raw Data'!P68="",0,'Raw Data'!P68)</f>
        <v>0</v>
      </c>
      <c r="L55" s="12" t="n">
        <f aca="false">IF('Raw Data'!Q68="",0,'Raw Data'!Q68)</f>
        <v>0</v>
      </c>
      <c r="M55" s="12" t="n">
        <f aca="false">IF('Raw Data'!R68="",0,'Raw Data'!R68)</f>
        <v>0</v>
      </c>
      <c r="N55" s="12" t="n">
        <f aca="false">IF('Raw Data'!S68="",0,'Raw Data'!S68)</f>
        <v>0</v>
      </c>
      <c r="O55" s="12" t="n">
        <f aca="false">IF('Raw Data'!T68="",0,'Raw Data'!T68)</f>
        <v>0</v>
      </c>
      <c r="P55" s="12" t="n">
        <f aca="false">IF('Raw Data'!U68="",0,'Raw Data'!U68)</f>
        <v>0</v>
      </c>
      <c r="Q55" s="12" t="n">
        <f aca="false">IF('Raw Data'!V68="",0,'Raw Data'!V68)</f>
        <v>0</v>
      </c>
      <c r="R55" s="12" t="n">
        <f aca="false">IF('Raw Data'!W68="",0,'Raw Data'!W68)</f>
        <v>0</v>
      </c>
      <c r="S55" s="12" t="n">
        <f aca="false">IF('Raw Data'!X68="",0,'Raw Data'!X68)</f>
        <v>0</v>
      </c>
      <c r="T55" s="12" t="n">
        <f aca="false">IF('Raw Data'!Y68="",0,'Raw Data'!Y68)</f>
        <v>0</v>
      </c>
      <c r="U55" s="12" t="n">
        <f aca="false">IF('Raw Data'!Z68="",0,'Raw Data'!Z68)</f>
        <v>0</v>
      </c>
      <c r="V55" s="12" t="n">
        <f aca="false">IF('Raw Data'!AA68="",0,'Raw Data'!AA68)</f>
        <v>0</v>
      </c>
      <c r="W55" s="12" t="n">
        <f aca="false">IF('Raw Data'!AB68="",0,'Raw Data'!AB68)</f>
        <v>0</v>
      </c>
      <c r="X55" s="12" t="n">
        <f aca="false">IF('Raw Data'!AC68="",0,'Raw Data'!AC68)</f>
        <v>0</v>
      </c>
      <c r="Y55" s="12" t="n">
        <f aca="false">IF('Raw Data'!AD68="",0,'Raw Data'!AD68)</f>
        <v>0</v>
      </c>
      <c r="Z55" s="12" t="n">
        <f aca="false">IF('Raw Data'!AE68="",0,'Raw Data'!AE68)</f>
        <v>0</v>
      </c>
      <c r="AA55" s="12" t="n">
        <f aca="false">IF('Raw Data'!AF68="",0,'Raw Data'!AF68)</f>
        <v>0</v>
      </c>
      <c r="AB55" s="12" t="n">
        <f aca="false">IF('Raw Data'!AG68="",0,'Raw Data'!AG68)</f>
        <v>0</v>
      </c>
      <c r="AC55" s="12" t="n">
        <f aca="false">IF('Raw Data'!AH68="",0,'Raw Data'!AH68)</f>
        <v>0</v>
      </c>
      <c r="AD55" s="12" t="n">
        <f aca="false">IF('Raw Data'!AI68="",0,'Raw Data'!AI68)</f>
        <v>0</v>
      </c>
      <c r="AE55" s="12" t="n">
        <f aca="false">IF('Raw Data'!AJ68="",0,'Raw Data'!AJ68)</f>
        <v>0</v>
      </c>
      <c r="AF55" s="12" t="n">
        <f aca="false">IF('Raw Data'!AK68="",0,'Raw Data'!AK68)</f>
        <v>0</v>
      </c>
      <c r="AG55" s="12" t="n">
        <f aca="false">IF('Raw Data'!AL68="",0,'Raw Data'!AL68)</f>
        <v>0</v>
      </c>
      <c r="AH55" s="12" t="n">
        <f aca="false">IF('Raw Data'!AM68="",0,'Raw Data'!AM68)</f>
        <v>0</v>
      </c>
      <c r="AI55" s="12" t="n">
        <f aca="false">IF('Raw Data'!AN68="",0,'Raw Data'!AN68)</f>
        <v>0</v>
      </c>
      <c r="AJ55" s="12" t="n">
        <f aca="false">IF('Raw Data'!AO68="",0,'Raw Data'!AO68)</f>
        <v>0</v>
      </c>
      <c r="AK55" s="12" t="n">
        <f aca="false">IF('Raw Data'!AP68="",0,'Raw Data'!AP68)</f>
        <v>0</v>
      </c>
      <c r="AL55" s="12" t="n">
        <f aca="false">IF('Raw Data'!AQ68="",0,'Raw Data'!AQ68)</f>
        <v>0</v>
      </c>
      <c r="AM55" s="12" t="n">
        <f aca="false">IF('Raw Data'!AR68="",0,'Raw Data'!AR68)</f>
        <v>0</v>
      </c>
      <c r="AN55" s="12" t="n">
        <f aca="false">IF('Raw Data'!AS68="",0,'Raw Data'!AS68)</f>
        <v>0</v>
      </c>
      <c r="AO55" s="12" t="n">
        <f aca="false">IF('Raw Data'!AT68="",0,'Raw Data'!AT68)</f>
        <v>0</v>
      </c>
      <c r="AP55" s="12" t="n">
        <f aca="false">IF('Raw Data'!AU68="",0,'Raw Data'!AU68)</f>
        <v>0</v>
      </c>
      <c r="AQ55" s="12" t="n">
        <f aca="false">IF('Raw Data'!AV68="",0,'Raw Data'!AV68)</f>
        <v>0</v>
      </c>
      <c r="AR55" s="12" t="n">
        <f aca="false">IF('Raw Data'!AW68="",0,'Raw Data'!AW68)</f>
        <v>0</v>
      </c>
      <c r="AS55" s="12" t="n">
        <f aca="false">IF('Raw Data'!AX68="",0,'Raw Data'!AX68)</f>
        <v>0</v>
      </c>
      <c r="AT55" s="12" t="n">
        <f aca="false">IF('Raw Data'!AY68="",0,'Raw Data'!AY68)</f>
        <v>0</v>
      </c>
      <c r="AU55" s="12" t="n">
        <f aca="false">IF('Raw Data'!AZ68="",0,'Raw Data'!AZ68)</f>
        <v>0</v>
      </c>
      <c r="AV55" s="12" t="n">
        <f aca="false">IF('Raw Data'!BA68="",0,'Raw Data'!BA68)</f>
        <v>0</v>
      </c>
      <c r="AW55" s="12" t="n">
        <f aca="false">IF('Raw Data'!BB68="",0,'Raw Data'!BB68)</f>
        <v>0</v>
      </c>
      <c r="AX55" s="12" t="n">
        <f aca="false">IF('Raw Data'!BC68="",0,'Raw Data'!BC68)</f>
        <v>0</v>
      </c>
      <c r="AY55" s="12" t="n">
        <f aca="false">IF('Raw Data'!BD68="",0,'Raw Data'!BD68)</f>
        <v>0</v>
      </c>
      <c r="AZ55" s="12" t="n">
        <f aca="false">IF('Raw Data'!BE68="",0,'Raw Data'!BE68)</f>
        <v>0</v>
      </c>
      <c r="BA55" s="12" t="n">
        <f aca="false">IF('Raw Data'!BF68="",0,'Raw Data'!BF68)</f>
        <v>0</v>
      </c>
      <c r="BB55" s="12" t="n">
        <f aca="false">IF('Raw Data'!BG68="",0,'Raw Data'!BG68)</f>
        <v>0</v>
      </c>
      <c r="BC55" s="12" t="n">
        <f aca="false">IF('Raw Data'!BH68="",0,'Raw Data'!BH68)</f>
        <v>0</v>
      </c>
      <c r="BD55" s="12" t="n">
        <f aca="false">IF('Raw Data'!BI68="",0,'Raw Data'!BI68)</f>
        <v>0</v>
      </c>
      <c r="BE55" s="12" t="n">
        <f aca="false">IF('Raw Data'!BJ68="",0,'Raw Data'!BJ68)</f>
        <v>0</v>
      </c>
      <c r="BF55" s="12" t="n">
        <f aca="false">IF('Raw Data'!BK68="",0,'Raw Data'!BK68)</f>
        <v>0</v>
      </c>
      <c r="BG55" s="12" t="n">
        <f aca="false">IF('Raw Data'!BL68="",0,'Raw Data'!BL68)</f>
        <v>0</v>
      </c>
      <c r="BH55" s="12" t="n">
        <f aca="false">IF('Raw Data'!BM68="",0,'Raw Data'!BM68)</f>
        <v>0</v>
      </c>
      <c r="BI55" s="12" t="n">
        <f aca="false">IF('Raw Data'!BN68="",0,'Raw Data'!BN68)</f>
        <v>0</v>
      </c>
      <c r="BJ55" s="12" t="n">
        <f aca="false">IF('Raw Data'!BO68="",0,'Raw Data'!BO68)</f>
        <v>0</v>
      </c>
      <c r="BK55" s="12" t="n">
        <f aca="false">IF('Raw Data'!BP68="",0,'Raw Data'!BP68)</f>
        <v>0</v>
      </c>
      <c r="BL55" s="12" t="n">
        <f aca="false">IF('Raw Data'!BQ68="",0,'Raw Data'!BQ68)</f>
        <v>0</v>
      </c>
      <c r="BM55" s="12" t="n">
        <f aca="false">IF('Raw Data'!BR68="",0,'Raw Data'!BR68)</f>
        <v>0</v>
      </c>
      <c r="BN55" s="12" t="n">
        <f aca="false">IF('Raw Data'!BS68="",0,'Raw Data'!BS68)</f>
        <v>0</v>
      </c>
      <c r="BO55" s="21" t="b">
        <f aca="false">FALSE()</f>
        <v>0</v>
      </c>
    </row>
    <row r="56" customFormat="false" ht="15" hidden="false" customHeight="false" outlineLevel="0" collapsed="false">
      <c r="A56" s="20" t="str">
        <f aca="false">'Raw Data'!A69</f>
        <v>Local Account #59 from TN</v>
      </c>
      <c r="B56" s="12" t="n">
        <f aca="false">IF('Raw Data'!G69="",0,'Raw Data'!G69)</f>
        <v>0</v>
      </c>
      <c r="C56" s="12" t="n">
        <f aca="false">IF('Raw Data'!H69="",0,'Raw Data'!H69)</f>
        <v>0</v>
      </c>
      <c r="D56" s="12" t="n">
        <f aca="false">IF('Raw Data'!I69="",0,'Raw Data'!I69)</f>
        <v>0</v>
      </c>
      <c r="E56" s="12" t="n">
        <f aca="false">IF('Raw Data'!J69="",0,'Raw Data'!J69)</f>
        <v>0</v>
      </c>
      <c r="F56" s="12" t="n">
        <f aca="false">IF('Raw Data'!K69="",0,'Raw Data'!K69)</f>
        <v>0</v>
      </c>
      <c r="G56" s="12" t="n">
        <f aca="false">IF('Raw Data'!L69="",0,'Raw Data'!L69)</f>
        <v>0</v>
      </c>
      <c r="H56" s="12" t="n">
        <f aca="false">IF('Raw Data'!M69="",0,'Raw Data'!M69)</f>
        <v>0</v>
      </c>
      <c r="I56" s="12" t="n">
        <f aca="false">IF('Raw Data'!N69="",0,'Raw Data'!N69)</f>
        <v>0</v>
      </c>
      <c r="J56" s="12" t="n">
        <f aca="false">IF('Raw Data'!O69="",0,'Raw Data'!O69)</f>
        <v>0</v>
      </c>
      <c r="K56" s="12" t="n">
        <f aca="false">IF('Raw Data'!P69="",0,'Raw Data'!P69)</f>
        <v>0</v>
      </c>
      <c r="L56" s="12" t="n">
        <f aca="false">IF('Raw Data'!Q69="",0,'Raw Data'!Q69)</f>
        <v>0</v>
      </c>
      <c r="M56" s="12" t="n">
        <f aca="false">IF('Raw Data'!R69="",0,'Raw Data'!R69)</f>
        <v>0</v>
      </c>
      <c r="N56" s="12" t="n">
        <f aca="false">IF('Raw Data'!S69="",0,'Raw Data'!S69)</f>
        <v>0</v>
      </c>
      <c r="O56" s="12" t="n">
        <f aca="false">IF('Raw Data'!T69="",0,'Raw Data'!T69)</f>
        <v>0</v>
      </c>
      <c r="P56" s="12" t="n">
        <f aca="false">IF('Raw Data'!U69="",0,'Raw Data'!U69)</f>
        <v>500</v>
      </c>
      <c r="Q56" s="12" t="n">
        <f aca="false">IF('Raw Data'!V69="",0,'Raw Data'!V69)</f>
        <v>500</v>
      </c>
      <c r="R56" s="12" t="n">
        <f aca="false">IF('Raw Data'!W69="",0,'Raw Data'!W69)</f>
        <v>500</v>
      </c>
      <c r="S56" s="12" t="n">
        <f aca="false">IF('Raw Data'!X69="",0,'Raw Data'!X69)</f>
        <v>500</v>
      </c>
      <c r="T56" s="12" t="n">
        <f aca="false">IF('Raw Data'!Y69="",0,'Raw Data'!Y69)</f>
        <v>500</v>
      </c>
      <c r="U56" s="12" t="n">
        <f aca="false">IF('Raw Data'!Z69="",0,'Raw Data'!Z69)</f>
        <v>500</v>
      </c>
      <c r="V56" s="12" t="n">
        <f aca="false">IF('Raw Data'!AA69="",0,'Raw Data'!AA69)</f>
        <v>500</v>
      </c>
      <c r="W56" s="12" t="n">
        <f aca="false">IF('Raw Data'!AB69="",0,'Raw Data'!AB69)</f>
        <v>500</v>
      </c>
      <c r="X56" s="12" t="n">
        <f aca="false">IF('Raw Data'!AC69="",0,'Raw Data'!AC69)</f>
        <v>500</v>
      </c>
      <c r="Y56" s="12" t="n">
        <f aca="false">IF('Raw Data'!AD69="",0,'Raw Data'!AD69)</f>
        <v>500</v>
      </c>
      <c r="Z56" s="12" t="n">
        <f aca="false">IF('Raw Data'!AE69="",0,'Raw Data'!AE69)</f>
        <v>500</v>
      </c>
      <c r="AA56" s="12" t="n">
        <f aca="false">IF('Raw Data'!AF69="",0,'Raw Data'!AF69)</f>
        <v>500</v>
      </c>
      <c r="AB56" s="12" t="n">
        <f aca="false">IF('Raw Data'!AG69="",0,'Raw Data'!AG69)</f>
        <v>538.1975</v>
      </c>
      <c r="AC56" s="12" t="n">
        <f aca="false">IF('Raw Data'!AH69="",0,'Raw Data'!AH69)</f>
        <v>538.1975</v>
      </c>
      <c r="AD56" s="12" t="n">
        <f aca="false">IF('Raw Data'!AI69="",0,'Raw Data'!AI69)</f>
        <v>538.1975</v>
      </c>
      <c r="AE56" s="12" t="n">
        <f aca="false">IF('Raw Data'!AJ69="",0,'Raw Data'!AJ69)</f>
        <v>538.1975</v>
      </c>
      <c r="AF56" s="12" t="n">
        <f aca="false">IF('Raw Data'!AK69="",0,'Raw Data'!AK69)</f>
        <v>538.1975</v>
      </c>
      <c r="AG56" s="12" t="n">
        <f aca="false">IF('Raw Data'!AL69="",0,'Raw Data'!AL69)</f>
        <v>538.1975</v>
      </c>
      <c r="AH56" s="12" t="n">
        <f aca="false">IF('Raw Data'!AM69="",0,'Raw Data'!AM69)</f>
        <v>538.1975</v>
      </c>
      <c r="AI56" s="12" t="n">
        <f aca="false">IF('Raw Data'!AN69="",0,'Raw Data'!AN69)</f>
        <v>538.1975</v>
      </c>
      <c r="AJ56" s="12" t="n">
        <f aca="false">IF('Raw Data'!AO69="",0,'Raw Data'!AO69)</f>
        <v>538.1975</v>
      </c>
      <c r="AK56" s="12" t="n">
        <f aca="false">IF('Raw Data'!AP69="",0,'Raw Data'!AP69)</f>
        <v>538.1975</v>
      </c>
      <c r="AL56" s="12" t="n">
        <f aca="false">IF('Raw Data'!AQ69="",0,'Raw Data'!AQ69)</f>
        <v>538.1975</v>
      </c>
      <c r="AM56" s="12" t="n">
        <f aca="false">IF('Raw Data'!AR69="",0,'Raw Data'!AR69)</f>
        <v>538.1975</v>
      </c>
      <c r="AN56" s="12" t="n">
        <f aca="false">IF('Raw Data'!AS69="",0,'Raw Data'!AS69)</f>
        <v>75</v>
      </c>
      <c r="AO56" s="12" t="n">
        <f aca="false">IF('Raw Data'!AT69="",0,'Raw Data'!AT69)</f>
        <v>75</v>
      </c>
      <c r="AP56" s="12" t="n">
        <f aca="false">IF('Raw Data'!AU69="",0,'Raw Data'!AU69)</f>
        <v>75</v>
      </c>
      <c r="AQ56" s="12" t="n">
        <f aca="false">IF('Raw Data'!AV69="",0,'Raw Data'!AV69)</f>
        <v>75</v>
      </c>
      <c r="AR56" s="12" t="n">
        <f aca="false">IF('Raw Data'!AW69="",0,'Raw Data'!AW69)</f>
        <v>75</v>
      </c>
      <c r="AS56" s="12" t="n">
        <f aca="false">IF('Raw Data'!AX69="",0,'Raw Data'!AX69)</f>
        <v>75</v>
      </c>
      <c r="AT56" s="12" t="n">
        <f aca="false">IF('Raw Data'!AY69="",0,'Raw Data'!AY69)</f>
        <v>75</v>
      </c>
      <c r="AU56" s="12" t="n">
        <f aca="false">IF('Raw Data'!AZ69="",0,'Raw Data'!AZ69)</f>
        <v>75</v>
      </c>
      <c r="AV56" s="12" t="n">
        <f aca="false">IF('Raw Data'!BA69="",0,'Raw Data'!BA69)</f>
        <v>75</v>
      </c>
      <c r="AW56" s="12" t="n">
        <f aca="false">IF('Raw Data'!BB69="",0,'Raw Data'!BB69)</f>
        <v>75</v>
      </c>
      <c r="AX56" s="12" t="n">
        <f aca="false">IF('Raw Data'!BC69="",0,'Raw Data'!BC69)</f>
        <v>75</v>
      </c>
      <c r="AY56" s="12" t="n">
        <f aca="false">IF('Raw Data'!BD69="",0,'Raw Data'!BD69)</f>
        <v>75</v>
      </c>
      <c r="AZ56" s="12" t="n">
        <f aca="false">IF('Raw Data'!BE69="",0,'Raw Data'!BE69)</f>
        <v>308.701176470588</v>
      </c>
      <c r="BA56" s="12" t="n">
        <f aca="false">IF('Raw Data'!BF69="",0,'Raw Data'!BF69)</f>
        <v>308.701176470588</v>
      </c>
      <c r="BB56" s="12" t="n">
        <f aca="false">IF('Raw Data'!BG69="",0,'Raw Data'!BG69)</f>
        <v>308.701176470588</v>
      </c>
      <c r="BC56" s="12" t="n">
        <f aca="false">IF('Raw Data'!BH69="",0,'Raw Data'!BH69)</f>
        <v>308.701176470588</v>
      </c>
      <c r="BD56" s="12" t="n">
        <f aca="false">IF('Raw Data'!BI69="",0,'Raw Data'!BI69)</f>
        <v>308.701176470588</v>
      </c>
      <c r="BE56" s="12" t="n">
        <f aca="false">IF('Raw Data'!BJ69="",0,'Raw Data'!BJ69)</f>
        <v>683.701176470588</v>
      </c>
      <c r="BF56" s="12" t="n">
        <f aca="false">IF('Raw Data'!BK69="",0,'Raw Data'!BK69)</f>
        <v>683.701176470588</v>
      </c>
      <c r="BG56" s="12" t="n">
        <f aca="false">IF('Raw Data'!BL69="",0,'Raw Data'!BL69)</f>
        <v>683.701176470588</v>
      </c>
      <c r="BH56" s="12" t="n">
        <f aca="false">IF('Raw Data'!BM69="",0,'Raw Data'!BM69)</f>
        <v>683.701176470588</v>
      </c>
      <c r="BI56" s="12" t="n">
        <f aca="false">IF('Raw Data'!BN69="",0,'Raw Data'!BN69)</f>
        <v>683.701176470588</v>
      </c>
      <c r="BJ56" s="12" t="n">
        <f aca="false">IF('Raw Data'!BO69="",0,'Raw Data'!BO69)</f>
        <v>683.701176470588</v>
      </c>
      <c r="BK56" s="12" t="n">
        <f aca="false">IF('Raw Data'!BP69="",0,'Raw Data'!BP69)</f>
        <v>158.701176470588</v>
      </c>
      <c r="BL56" s="12" t="n">
        <f aca="false">IF('Raw Data'!BQ69="",0,'Raw Data'!BQ69)</f>
        <v>158.701176470588</v>
      </c>
      <c r="BM56" s="12" t="n">
        <f aca="false">IF('Raw Data'!BR69="",0,'Raw Data'!BR69)</f>
        <v>158.701176470588</v>
      </c>
      <c r="BN56" s="12" t="n">
        <f aca="false">IF('Raw Data'!BS69="",0,'Raw Data'!BS69)</f>
        <v>158.701176470588</v>
      </c>
      <c r="BO56" s="21" t="b">
        <f aca="false">FALSE()</f>
        <v>0</v>
      </c>
    </row>
    <row r="57" customFormat="false" ht="15" hidden="false" customHeight="false" outlineLevel="0" collapsed="false">
      <c r="A57" s="20" t="str">
        <f aca="false">'Raw Data'!A17</f>
        <v>Local Account #6 from GA</v>
      </c>
      <c r="B57" s="12" t="n">
        <f aca="false">IF('Raw Data'!G17="",0,'Raw Data'!G17)</f>
        <v>2266.66666666667</v>
      </c>
      <c r="C57" s="12" t="n">
        <f aca="false">IF('Raw Data'!H17="",0,'Raw Data'!H17)</f>
        <v>2266.66666666667</v>
      </c>
      <c r="D57" s="12" t="n">
        <f aca="false">IF('Raw Data'!I17="",0,'Raw Data'!I17)</f>
        <v>2266.66666666667</v>
      </c>
      <c r="E57" s="12" t="n">
        <f aca="false">IF('Raw Data'!J17="",0,'Raw Data'!J17)</f>
        <v>2266.66666666667</v>
      </c>
      <c r="F57" s="12" t="n">
        <f aca="false">IF('Raw Data'!K17="",0,'Raw Data'!K17)</f>
        <v>2266.66666666667</v>
      </c>
      <c r="G57" s="12" t="n">
        <f aca="false">IF('Raw Data'!L17="",0,'Raw Data'!L17)</f>
        <v>2600.01666666667</v>
      </c>
      <c r="H57" s="12" t="n">
        <f aca="false">IF('Raw Data'!M17="",0,'Raw Data'!M17)</f>
        <v>2600.01666666667</v>
      </c>
      <c r="I57" s="12" t="n">
        <f aca="false">IF('Raw Data'!N17="",0,'Raw Data'!N17)</f>
        <v>2600</v>
      </c>
      <c r="J57" s="12" t="n">
        <f aca="false">IF('Raw Data'!O17="",0,'Raw Data'!O17)</f>
        <v>2600</v>
      </c>
      <c r="K57" s="12" t="n">
        <f aca="false">IF('Raw Data'!P17="",0,'Raw Data'!P17)</f>
        <v>2600</v>
      </c>
      <c r="L57" s="12" t="n">
        <f aca="false">IF('Raw Data'!Q17="",0,'Raw Data'!Q17)</f>
        <v>2600</v>
      </c>
      <c r="M57" s="12" t="n">
        <f aca="false">IF('Raw Data'!R17="",0,'Raw Data'!R17)</f>
        <v>2600</v>
      </c>
      <c r="N57" s="12" t="n">
        <f aca="false">IF('Raw Data'!S17="",0,'Raw Data'!S17)</f>
        <v>2600</v>
      </c>
      <c r="O57" s="12" t="n">
        <f aca="false">IF('Raw Data'!T17="",0,'Raw Data'!T17)</f>
        <v>2600</v>
      </c>
      <c r="P57" s="12" t="n">
        <f aca="false">IF('Raw Data'!U17="",0,'Raw Data'!U17)</f>
        <v>2600</v>
      </c>
      <c r="Q57" s="12" t="n">
        <f aca="false">IF('Raw Data'!V17="",0,'Raw Data'!V17)</f>
        <v>2600</v>
      </c>
      <c r="R57" s="12" t="n">
        <f aca="false">IF('Raw Data'!W17="",0,'Raw Data'!W17)</f>
        <v>2600</v>
      </c>
      <c r="S57" s="12" t="n">
        <f aca="false">IF('Raw Data'!X17="",0,'Raw Data'!X17)</f>
        <v>2600</v>
      </c>
      <c r="T57" s="12" t="n">
        <f aca="false">IF('Raw Data'!Y17="",0,'Raw Data'!Y17)</f>
        <v>2600</v>
      </c>
      <c r="U57" s="12" t="n">
        <f aca="false">IF('Raw Data'!Z17="",0,'Raw Data'!Z17)</f>
        <v>2600</v>
      </c>
      <c r="V57" s="12" t="n">
        <f aca="false">IF('Raw Data'!AA17="",0,'Raw Data'!AA17)</f>
        <v>2600</v>
      </c>
      <c r="W57" s="12" t="n">
        <f aca="false">IF('Raw Data'!AB17="",0,'Raw Data'!AB17)</f>
        <v>2600</v>
      </c>
      <c r="X57" s="12" t="n">
        <f aca="false">IF('Raw Data'!AC17="",0,'Raw Data'!AC17)</f>
        <v>2600</v>
      </c>
      <c r="Y57" s="12" t="n">
        <f aca="false">IF('Raw Data'!AD17="",0,'Raw Data'!AD17)</f>
        <v>2600</v>
      </c>
      <c r="Z57" s="12" t="n">
        <f aca="false">IF('Raw Data'!AE17="",0,'Raw Data'!AE17)</f>
        <v>2600</v>
      </c>
      <c r="AA57" s="12" t="n">
        <f aca="false">IF('Raw Data'!AF17="",0,'Raw Data'!AF17)</f>
        <v>2600</v>
      </c>
      <c r="AB57" s="12" t="n">
        <f aca="false">IF('Raw Data'!AG17="",0,'Raw Data'!AG17)</f>
        <v>2600</v>
      </c>
      <c r="AC57" s="12" t="n">
        <f aca="false">IF('Raw Data'!AH17="",0,'Raw Data'!AH17)</f>
        <v>2600</v>
      </c>
      <c r="AD57" s="12" t="n">
        <f aca="false">IF('Raw Data'!AI17="",0,'Raw Data'!AI17)</f>
        <v>2600</v>
      </c>
      <c r="AE57" s="12" t="n">
        <f aca="false">IF('Raw Data'!AJ17="",0,'Raw Data'!AJ17)</f>
        <v>2600</v>
      </c>
      <c r="AF57" s="12" t="n">
        <f aca="false">IF('Raw Data'!AK17="",0,'Raw Data'!AK17)</f>
        <v>2600</v>
      </c>
      <c r="AG57" s="12" t="n">
        <f aca="false">IF('Raw Data'!AL17="",0,'Raw Data'!AL17)</f>
        <v>2736.25</v>
      </c>
      <c r="AH57" s="12" t="n">
        <f aca="false">IF('Raw Data'!AM17="",0,'Raw Data'!AM17)</f>
        <v>2736.25</v>
      </c>
      <c r="AI57" s="12" t="n">
        <f aca="false">IF('Raw Data'!AN17="",0,'Raw Data'!AN17)</f>
        <v>2736.25</v>
      </c>
      <c r="AJ57" s="12" t="n">
        <f aca="false">IF('Raw Data'!AO17="",0,'Raw Data'!AO17)</f>
        <v>2736.25</v>
      </c>
      <c r="AK57" s="12" t="n">
        <f aca="false">IF('Raw Data'!AP17="",0,'Raw Data'!AP17)</f>
        <v>2736.25</v>
      </c>
      <c r="AL57" s="12" t="n">
        <f aca="false">IF('Raw Data'!AQ17="",0,'Raw Data'!AQ17)</f>
        <v>2736.25</v>
      </c>
      <c r="AM57" s="12" t="n">
        <f aca="false">IF('Raw Data'!AR17="",0,'Raw Data'!AR17)</f>
        <v>2736.25</v>
      </c>
      <c r="AN57" s="12" t="n">
        <f aca="false">IF('Raw Data'!AS17="",0,'Raw Data'!AS17)</f>
        <v>2736.25</v>
      </c>
      <c r="AO57" s="12" t="n">
        <f aca="false">IF('Raw Data'!AT17="",0,'Raw Data'!AT17)</f>
        <v>2736.25</v>
      </c>
      <c r="AP57" s="12" t="n">
        <f aca="false">IF('Raw Data'!AU17="",0,'Raw Data'!AU17)</f>
        <v>2736.25</v>
      </c>
      <c r="AQ57" s="12" t="n">
        <f aca="false">IF('Raw Data'!AV17="",0,'Raw Data'!AV17)</f>
        <v>2736.25</v>
      </c>
      <c r="AR57" s="12" t="n">
        <f aca="false">IF('Raw Data'!AW17="",0,'Raw Data'!AW17)</f>
        <v>2736.25</v>
      </c>
      <c r="AS57" s="12" t="n">
        <f aca="false">IF('Raw Data'!AX17="",0,'Raw Data'!AX17)</f>
        <v>0</v>
      </c>
      <c r="AT57" s="12" t="n">
        <f aca="false">IF('Raw Data'!AY17="",0,'Raw Data'!AY17)</f>
        <v>0</v>
      </c>
      <c r="AU57" s="12" t="n">
        <f aca="false">IF('Raw Data'!AZ17="",0,'Raw Data'!AZ17)</f>
        <v>0</v>
      </c>
      <c r="AV57" s="12" t="n">
        <f aca="false">IF('Raw Data'!BA17="",0,'Raw Data'!BA17)</f>
        <v>0</v>
      </c>
      <c r="AW57" s="12" t="n">
        <f aca="false">IF('Raw Data'!BB17="",0,'Raw Data'!BB17)</f>
        <v>0</v>
      </c>
      <c r="AX57" s="12" t="n">
        <f aca="false">IF('Raw Data'!BC17="",0,'Raw Data'!BC17)</f>
        <v>0</v>
      </c>
      <c r="AY57" s="12" t="n">
        <f aca="false">IF('Raw Data'!BD17="",0,'Raw Data'!BD17)</f>
        <v>0</v>
      </c>
      <c r="AZ57" s="12" t="n">
        <f aca="false">IF('Raw Data'!BE17="",0,'Raw Data'!BE17)</f>
        <v>0</v>
      </c>
      <c r="BA57" s="12" t="n">
        <f aca="false">IF('Raw Data'!BF17="",0,'Raw Data'!BF17)</f>
        <v>0</v>
      </c>
      <c r="BB57" s="12" t="n">
        <f aca="false">IF('Raw Data'!BG17="",0,'Raw Data'!BG17)</f>
        <v>0</v>
      </c>
      <c r="BC57" s="12" t="n">
        <f aca="false">IF('Raw Data'!BH17="",0,'Raw Data'!BH17)</f>
        <v>0</v>
      </c>
      <c r="BD57" s="12" t="n">
        <f aca="false">IF('Raw Data'!BI17="",0,'Raw Data'!BI17)</f>
        <v>0</v>
      </c>
      <c r="BE57" s="12" t="n">
        <f aca="false">IF('Raw Data'!BJ17="",0,'Raw Data'!BJ17)</f>
        <v>0</v>
      </c>
      <c r="BF57" s="12" t="n">
        <f aca="false">IF('Raw Data'!BK17="",0,'Raw Data'!BK17)</f>
        <v>0</v>
      </c>
      <c r="BG57" s="12" t="n">
        <f aca="false">IF('Raw Data'!BL17="",0,'Raw Data'!BL17)</f>
        <v>0</v>
      </c>
      <c r="BH57" s="12" t="n">
        <f aca="false">IF('Raw Data'!BM17="",0,'Raw Data'!BM17)</f>
        <v>0</v>
      </c>
      <c r="BI57" s="12" t="n">
        <f aca="false">IF('Raw Data'!BN17="",0,'Raw Data'!BN17)</f>
        <v>0</v>
      </c>
      <c r="BJ57" s="12" t="n">
        <f aca="false">IF('Raw Data'!BO17="",0,'Raw Data'!BO17)</f>
        <v>0</v>
      </c>
      <c r="BK57" s="12" t="n">
        <f aca="false">IF('Raw Data'!BP17="",0,'Raw Data'!BP17)</f>
        <v>0</v>
      </c>
      <c r="BL57" s="12" t="n">
        <f aca="false">IF('Raw Data'!BQ17="",0,'Raw Data'!BQ17)</f>
        <v>0</v>
      </c>
      <c r="BM57" s="12" t="n">
        <f aca="false">IF('Raw Data'!BR17="",0,'Raw Data'!BR17)</f>
        <v>0</v>
      </c>
      <c r="BN57" s="12" t="n">
        <f aca="false">IF('Raw Data'!BS17="",0,'Raw Data'!BS17)</f>
        <v>0</v>
      </c>
      <c r="BO57" s="21" t="b">
        <f aca="false">FALSE()</f>
        <v>0</v>
      </c>
    </row>
    <row r="58" customFormat="false" ht="15" hidden="false" customHeight="false" outlineLevel="0" collapsed="false">
      <c r="A58" s="20" t="str">
        <f aca="false">'Raw Data'!A70</f>
        <v>Local Account #60 from CA</v>
      </c>
      <c r="B58" s="12" t="n">
        <f aca="false">IF('Raw Data'!G70="",0,'Raw Data'!G70)</f>
        <v>0</v>
      </c>
      <c r="C58" s="12" t="n">
        <f aca="false">IF('Raw Data'!H70="",0,'Raw Data'!H70)</f>
        <v>0</v>
      </c>
      <c r="D58" s="12" t="n">
        <f aca="false">IF('Raw Data'!I70="",0,'Raw Data'!I70)</f>
        <v>0</v>
      </c>
      <c r="E58" s="12" t="n">
        <f aca="false">IF('Raw Data'!J70="",0,'Raw Data'!J70)</f>
        <v>0</v>
      </c>
      <c r="F58" s="12" t="n">
        <f aca="false">IF('Raw Data'!K70="",0,'Raw Data'!K70)</f>
        <v>0</v>
      </c>
      <c r="G58" s="12" t="n">
        <f aca="false">IF('Raw Data'!L70="",0,'Raw Data'!L70)</f>
        <v>0</v>
      </c>
      <c r="H58" s="12" t="n">
        <f aca="false">IF('Raw Data'!M70="",0,'Raw Data'!M70)</f>
        <v>0</v>
      </c>
      <c r="I58" s="12" t="n">
        <f aca="false">IF('Raw Data'!N70="",0,'Raw Data'!N70)</f>
        <v>0</v>
      </c>
      <c r="J58" s="12" t="n">
        <f aca="false">IF('Raw Data'!O70="",0,'Raw Data'!O70)</f>
        <v>0</v>
      </c>
      <c r="K58" s="12" t="n">
        <f aca="false">IF('Raw Data'!P70="",0,'Raw Data'!P70)</f>
        <v>0</v>
      </c>
      <c r="L58" s="12" t="n">
        <f aca="false">IF('Raw Data'!Q70="",0,'Raw Data'!Q70)</f>
        <v>0</v>
      </c>
      <c r="M58" s="12" t="n">
        <f aca="false">IF('Raw Data'!R70="",0,'Raw Data'!R70)</f>
        <v>0</v>
      </c>
      <c r="N58" s="12" t="n">
        <f aca="false">IF('Raw Data'!S70="",0,'Raw Data'!S70)</f>
        <v>0</v>
      </c>
      <c r="O58" s="12" t="n">
        <f aca="false">IF('Raw Data'!T70="",0,'Raw Data'!T70)</f>
        <v>0</v>
      </c>
      <c r="P58" s="12" t="n">
        <f aca="false">IF('Raw Data'!U70="",0,'Raw Data'!U70)</f>
        <v>0</v>
      </c>
      <c r="Q58" s="12" t="n">
        <f aca="false">IF('Raw Data'!V70="",0,'Raw Data'!V70)</f>
        <v>0</v>
      </c>
      <c r="R58" s="12" t="n">
        <f aca="false">IF('Raw Data'!W70="",0,'Raw Data'!W70)</f>
        <v>0</v>
      </c>
      <c r="S58" s="12" t="n">
        <f aca="false">IF('Raw Data'!X70="",0,'Raw Data'!X70)</f>
        <v>0</v>
      </c>
      <c r="T58" s="12" t="n">
        <f aca="false">IF('Raw Data'!Y70="",0,'Raw Data'!Y70)</f>
        <v>0</v>
      </c>
      <c r="U58" s="12" t="n">
        <f aca="false">IF('Raw Data'!Z70="",0,'Raw Data'!Z70)</f>
        <v>0</v>
      </c>
      <c r="V58" s="12" t="n">
        <f aca="false">IF('Raw Data'!AA70="",0,'Raw Data'!AA70)</f>
        <v>0</v>
      </c>
      <c r="W58" s="12" t="n">
        <f aca="false">IF('Raw Data'!AB70="",0,'Raw Data'!AB70)</f>
        <v>0</v>
      </c>
      <c r="X58" s="12" t="n">
        <f aca="false">IF('Raw Data'!AC70="",0,'Raw Data'!AC70)</f>
        <v>466.666666666667</v>
      </c>
      <c r="Y58" s="12" t="n">
        <f aca="false">IF('Raw Data'!AD70="",0,'Raw Data'!AD70)</f>
        <v>466.666666666667</v>
      </c>
      <c r="Z58" s="12" t="n">
        <f aca="false">IF('Raw Data'!AE70="",0,'Raw Data'!AE70)</f>
        <v>466.666666666667</v>
      </c>
      <c r="AA58" s="12" t="n">
        <f aca="false">IF('Raw Data'!AF70="",0,'Raw Data'!AF70)</f>
        <v>466.666666666667</v>
      </c>
      <c r="AB58" s="12" t="n">
        <f aca="false">IF('Raw Data'!AG70="",0,'Raw Data'!AG70)</f>
        <v>466.666666666667</v>
      </c>
      <c r="AC58" s="12" t="n">
        <f aca="false">IF('Raw Data'!AH70="",0,'Raw Data'!AH70)</f>
        <v>466.666666666667</v>
      </c>
      <c r="AD58" s="12" t="n">
        <f aca="false">IF('Raw Data'!AI70="",0,'Raw Data'!AI70)</f>
        <v>466.666666666667</v>
      </c>
      <c r="AE58" s="12" t="n">
        <f aca="false">IF('Raw Data'!AJ70="",0,'Raw Data'!AJ70)</f>
        <v>466.666666666667</v>
      </c>
      <c r="AF58" s="12" t="n">
        <f aca="false">IF('Raw Data'!AK70="",0,'Raw Data'!AK70)</f>
        <v>466.666666666667</v>
      </c>
      <c r="AG58" s="12" t="n">
        <f aca="false">IF('Raw Data'!AL70="",0,'Raw Data'!AL70)</f>
        <v>466.666666666667</v>
      </c>
      <c r="AH58" s="12" t="n">
        <f aca="false">IF('Raw Data'!AM70="",0,'Raw Data'!AM70)</f>
        <v>466.666666666667</v>
      </c>
      <c r="AI58" s="12" t="n">
        <f aca="false">IF('Raw Data'!AN70="",0,'Raw Data'!AN70)</f>
        <v>466.666666666667</v>
      </c>
      <c r="AJ58" s="12" t="n">
        <f aca="false">IF('Raw Data'!AO70="",0,'Raw Data'!AO70)</f>
        <v>466.666666666667</v>
      </c>
      <c r="AK58" s="12" t="n">
        <f aca="false">IF('Raw Data'!AP70="",0,'Raw Data'!AP70)</f>
        <v>466.666666666667</v>
      </c>
      <c r="AL58" s="12" t="n">
        <f aca="false">IF('Raw Data'!AQ70="",0,'Raw Data'!AQ70)</f>
        <v>466.666666666667</v>
      </c>
      <c r="AM58" s="12" t="n">
        <f aca="false">IF('Raw Data'!AR70="",0,'Raw Data'!AR70)</f>
        <v>466.666666666667</v>
      </c>
      <c r="AN58" s="12" t="n">
        <f aca="false">IF('Raw Data'!AS70="",0,'Raw Data'!AS70)</f>
        <v>466.666666666667</v>
      </c>
      <c r="AO58" s="12" t="n">
        <f aca="false">IF('Raw Data'!AT70="",0,'Raw Data'!AT70)</f>
        <v>466.666666666667</v>
      </c>
      <c r="AP58" s="12" t="n">
        <f aca="false">IF('Raw Data'!AU70="",0,'Raw Data'!AU70)</f>
        <v>466.666666666667</v>
      </c>
      <c r="AQ58" s="12" t="n">
        <f aca="false">IF('Raw Data'!AV70="",0,'Raw Data'!AV70)</f>
        <v>466.666666666667</v>
      </c>
      <c r="AR58" s="12" t="n">
        <f aca="false">IF('Raw Data'!AW70="",0,'Raw Data'!AW70)</f>
        <v>466.666666666667</v>
      </c>
      <c r="AS58" s="12" t="n">
        <f aca="false">IF('Raw Data'!AX70="",0,'Raw Data'!AX70)</f>
        <v>466.666666666667</v>
      </c>
      <c r="AT58" s="12" t="n">
        <f aca="false">IF('Raw Data'!AY70="",0,'Raw Data'!AY70)</f>
        <v>466.666666666667</v>
      </c>
      <c r="AU58" s="12" t="n">
        <f aca="false">IF('Raw Data'!AZ70="",0,'Raw Data'!AZ70)</f>
        <v>466.666666666667</v>
      </c>
      <c r="AV58" s="12" t="n">
        <f aca="false">IF('Raw Data'!BA70="",0,'Raw Data'!BA70)</f>
        <v>466.666666666667</v>
      </c>
      <c r="AW58" s="12" t="n">
        <f aca="false">IF('Raw Data'!BB70="",0,'Raw Data'!BB70)</f>
        <v>466.666666666667</v>
      </c>
      <c r="AX58" s="12" t="n">
        <f aca="false">IF('Raw Data'!BC70="",0,'Raw Data'!BC70)</f>
        <v>466.666666666667</v>
      </c>
      <c r="AY58" s="12" t="n">
        <f aca="false">IF('Raw Data'!BD70="",0,'Raw Data'!BD70)</f>
        <v>466.666666666667</v>
      </c>
      <c r="AZ58" s="12" t="n">
        <f aca="false">IF('Raw Data'!BE70="",0,'Raw Data'!BE70)</f>
        <v>466.666666666667</v>
      </c>
      <c r="BA58" s="12" t="n">
        <f aca="false">IF('Raw Data'!BF70="",0,'Raw Data'!BF70)</f>
        <v>466.666666666667</v>
      </c>
      <c r="BB58" s="12" t="n">
        <f aca="false">IF('Raw Data'!BG70="",0,'Raw Data'!BG70)</f>
        <v>466.666666666667</v>
      </c>
      <c r="BC58" s="12" t="n">
        <f aca="false">IF('Raw Data'!BH70="",0,'Raw Data'!BH70)</f>
        <v>466.666666666667</v>
      </c>
      <c r="BD58" s="12" t="n">
        <f aca="false">IF('Raw Data'!BI70="",0,'Raw Data'!BI70)</f>
        <v>466.666666666667</v>
      </c>
      <c r="BE58" s="12" t="n">
        <f aca="false">IF('Raw Data'!BJ70="",0,'Raw Data'!BJ70)</f>
        <v>466.666666666667</v>
      </c>
      <c r="BF58" s="12" t="n">
        <f aca="false">IF('Raw Data'!BK70="",0,'Raw Data'!BK70)</f>
        <v>466.666666666667</v>
      </c>
      <c r="BG58" s="12" t="n">
        <f aca="false">IF('Raw Data'!BL70="",0,'Raw Data'!BL70)</f>
        <v>466.666666666667</v>
      </c>
      <c r="BH58" s="12" t="n">
        <f aca="false">IF('Raw Data'!BM70="",0,'Raw Data'!BM70)</f>
        <v>466.666666666667</v>
      </c>
      <c r="BI58" s="12" t="n">
        <f aca="false">IF('Raw Data'!BN70="",0,'Raw Data'!BN70)</f>
        <v>466.666666666667</v>
      </c>
      <c r="BJ58" s="12" t="n">
        <f aca="false">IF('Raw Data'!BO70="",0,'Raw Data'!BO70)</f>
        <v>466.666666666667</v>
      </c>
      <c r="BK58" s="12" t="n">
        <f aca="false">IF('Raw Data'!BP70="",0,'Raw Data'!BP70)</f>
        <v>466.666666666667</v>
      </c>
      <c r="BL58" s="12" t="n">
        <f aca="false">IF('Raw Data'!BQ70="",0,'Raw Data'!BQ70)</f>
        <v>466.666666666667</v>
      </c>
      <c r="BM58" s="12" t="n">
        <f aca="false">IF('Raw Data'!BR70="",0,'Raw Data'!BR70)</f>
        <v>466.666666666667</v>
      </c>
      <c r="BN58" s="12" t="n">
        <f aca="false">IF('Raw Data'!BS70="",0,'Raw Data'!BS70)</f>
        <v>466.666666666667</v>
      </c>
      <c r="BO58" s="21" t="b">
        <f aca="false">FALSE()</f>
        <v>0</v>
      </c>
    </row>
    <row r="59" customFormat="false" ht="15" hidden="false" customHeight="false" outlineLevel="0" collapsed="false">
      <c r="A59" s="20" t="str">
        <f aca="false">'Raw Data'!A71</f>
        <v>Local Account #61 from NC</v>
      </c>
      <c r="B59" s="12" t="n">
        <f aca="false">IF('Raw Data'!G71="",0,'Raw Data'!G71)</f>
        <v>0</v>
      </c>
      <c r="C59" s="12" t="n">
        <f aca="false">IF('Raw Data'!H71="",0,'Raw Data'!H71)</f>
        <v>0</v>
      </c>
      <c r="D59" s="12" t="n">
        <f aca="false">IF('Raw Data'!I71="",0,'Raw Data'!I71)</f>
        <v>0</v>
      </c>
      <c r="E59" s="12" t="n">
        <f aca="false">IF('Raw Data'!J71="",0,'Raw Data'!J71)</f>
        <v>0</v>
      </c>
      <c r="F59" s="12" t="n">
        <f aca="false">IF('Raw Data'!K71="",0,'Raw Data'!K71)</f>
        <v>0</v>
      </c>
      <c r="G59" s="12" t="n">
        <f aca="false">IF('Raw Data'!L71="",0,'Raw Data'!L71)</f>
        <v>0</v>
      </c>
      <c r="H59" s="12" t="n">
        <f aca="false">IF('Raw Data'!M71="",0,'Raw Data'!M71)</f>
        <v>0</v>
      </c>
      <c r="I59" s="12" t="n">
        <f aca="false">IF('Raw Data'!N71="",0,'Raw Data'!N71)</f>
        <v>0</v>
      </c>
      <c r="J59" s="12" t="n">
        <f aca="false">IF('Raw Data'!O71="",0,'Raw Data'!O71)</f>
        <v>0</v>
      </c>
      <c r="K59" s="12" t="n">
        <f aca="false">IF('Raw Data'!P71="",0,'Raw Data'!P71)</f>
        <v>125</v>
      </c>
      <c r="L59" s="12" t="n">
        <f aca="false">IF('Raw Data'!Q71="",0,'Raw Data'!Q71)</f>
        <v>125</v>
      </c>
      <c r="M59" s="12" t="n">
        <f aca="false">IF('Raw Data'!R71="",0,'Raw Data'!R71)</f>
        <v>125</v>
      </c>
      <c r="N59" s="12" t="n">
        <f aca="false">IF('Raw Data'!S71="",0,'Raw Data'!S71)</f>
        <v>125</v>
      </c>
      <c r="O59" s="12" t="n">
        <f aca="false">IF('Raw Data'!T71="",0,'Raw Data'!T71)</f>
        <v>125</v>
      </c>
      <c r="P59" s="12" t="n">
        <f aca="false">IF('Raw Data'!U71="",0,'Raw Data'!U71)</f>
        <v>125</v>
      </c>
      <c r="Q59" s="12" t="n">
        <f aca="false">IF('Raw Data'!V71="",0,'Raw Data'!V71)</f>
        <v>125</v>
      </c>
      <c r="R59" s="12" t="n">
        <f aca="false">IF('Raw Data'!W71="",0,'Raw Data'!W71)</f>
        <v>125</v>
      </c>
      <c r="S59" s="12" t="n">
        <f aca="false">IF('Raw Data'!X71="",0,'Raw Data'!X71)</f>
        <v>125</v>
      </c>
      <c r="T59" s="12" t="n">
        <f aca="false">IF('Raw Data'!Y71="",0,'Raw Data'!Y71)</f>
        <v>125</v>
      </c>
      <c r="U59" s="12" t="n">
        <f aca="false">IF('Raw Data'!Z71="",0,'Raw Data'!Z71)</f>
        <v>125</v>
      </c>
      <c r="V59" s="12" t="n">
        <f aca="false">IF('Raw Data'!AA71="",0,'Raw Data'!AA71)</f>
        <v>125</v>
      </c>
      <c r="W59" s="12" t="n">
        <f aca="false">IF('Raw Data'!AB71="",0,'Raw Data'!AB71)</f>
        <v>0</v>
      </c>
      <c r="X59" s="12" t="n">
        <f aca="false">IF('Raw Data'!AC71="",0,'Raw Data'!AC71)</f>
        <v>0</v>
      </c>
      <c r="Y59" s="12" t="n">
        <f aca="false">IF('Raw Data'!AD71="",0,'Raw Data'!AD71)</f>
        <v>0</v>
      </c>
      <c r="Z59" s="12" t="n">
        <f aca="false">IF('Raw Data'!AE71="",0,'Raw Data'!AE71)</f>
        <v>0</v>
      </c>
      <c r="AA59" s="12" t="n">
        <f aca="false">IF('Raw Data'!AF71="",0,'Raw Data'!AF71)</f>
        <v>0</v>
      </c>
      <c r="AB59" s="12" t="n">
        <f aca="false">IF('Raw Data'!AG71="",0,'Raw Data'!AG71)</f>
        <v>0</v>
      </c>
      <c r="AC59" s="12" t="n">
        <f aca="false">IF('Raw Data'!AH71="",0,'Raw Data'!AH71)</f>
        <v>0</v>
      </c>
      <c r="AD59" s="12" t="n">
        <f aca="false">IF('Raw Data'!AI71="",0,'Raw Data'!AI71)</f>
        <v>0</v>
      </c>
      <c r="AE59" s="12" t="n">
        <f aca="false">IF('Raw Data'!AJ71="",0,'Raw Data'!AJ71)</f>
        <v>0</v>
      </c>
      <c r="AF59" s="12" t="n">
        <f aca="false">IF('Raw Data'!AK71="",0,'Raw Data'!AK71)</f>
        <v>0</v>
      </c>
      <c r="AG59" s="12" t="n">
        <f aca="false">IF('Raw Data'!AL71="",0,'Raw Data'!AL71)</f>
        <v>0</v>
      </c>
      <c r="AH59" s="12" t="n">
        <f aca="false">IF('Raw Data'!AM71="",0,'Raw Data'!AM71)</f>
        <v>0</v>
      </c>
      <c r="AI59" s="12" t="n">
        <f aca="false">IF('Raw Data'!AN71="",0,'Raw Data'!AN71)</f>
        <v>0</v>
      </c>
      <c r="AJ59" s="12" t="n">
        <f aca="false">IF('Raw Data'!AO71="",0,'Raw Data'!AO71)</f>
        <v>0</v>
      </c>
      <c r="AK59" s="12" t="n">
        <f aca="false">IF('Raw Data'!AP71="",0,'Raw Data'!AP71)</f>
        <v>0</v>
      </c>
      <c r="AL59" s="12" t="n">
        <f aca="false">IF('Raw Data'!AQ71="",0,'Raw Data'!AQ71)</f>
        <v>0</v>
      </c>
      <c r="AM59" s="12" t="n">
        <f aca="false">IF('Raw Data'!AR71="",0,'Raw Data'!AR71)</f>
        <v>0</v>
      </c>
      <c r="AN59" s="12" t="n">
        <f aca="false">IF('Raw Data'!AS71="",0,'Raw Data'!AS71)</f>
        <v>0</v>
      </c>
      <c r="AO59" s="12" t="n">
        <f aca="false">IF('Raw Data'!AT71="",0,'Raw Data'!AT71)</f>
        <v>0</v>
      </c>
      <c r="AP59" s="12" t="n">
        <f aca="false">IF('Raw Data'!AU71="",0,'Raw Data'!AU71)</f>
        <v>0</v>
      </c>
      <c r="AQ59" s="12" t="n">
        <f aca="false">IF('Raw Data'!AV71="",0,'Raw Data'!AV71)</f>
        <v>0</v>
      </c>
      <c r="AR59" s="12" t="n">
        <f aca="false">IF('Raw Data'!AW71="",0,'Raw Data'!AW71)</f>
        <v>0</v>
      </c>
      <c r="AS59" s="12" t="n">
        <f aca="false">IF('Raw Data'!AX71="",0,'Raw Data'!AX71)</f>
        <v>0</v>
      </c>
      <c r="AT59" s="12" t="n">
        <f aca="false">IF('Raw Data'!AY71="",0,'Raw Data'!AY71)</f>
        <v>0</v>
      </c>
      <c r="AU59" s="12" t="n">
        <f aca="false">IF('Raw Data'!AZ71="",0,'Raw Data'!AZ71)</f>
        <v>0</v>
      </c>
      <c r="AV59" s="12" t="n">
        <f aca="false">IF('Raw Data'!BA71="",0,'Raw Data'!BA71)</f>
        <v>0</v>
      </c>
      <c r="AW59" s="12" t="n">
        <f aca="false">IF('Raw Data'!BB71="",0,'Raw Data'!BB71)</f>
        <v>0</v>
      </c>
      <c r="AX59" s="12" t="n">
        <f aca="false">IF('Raw Data'!BC71="",0,'Raw Data'!BC71)</f>
        <v>0</v>
      </c>
      <c r="AY59" s="12" t="n">
        <f aca="false">IF('Raw Data'!BD71="",0,'Raw Data'!BD71)</f>
        <v>0</v>
      </c>
      <c r="AZ59" s="12" t="n">
        <f aca="false">IF('Raw Data'!BE71="",0,'Raw Data'!BE71)</f>
        <v>0</v>
      </c>
      <c r="BA59" s="12" t="n">
        <f aca="false">IF('Raw Data'!BF71="",0,'Raw Data'!BF71)</f>
        <v>0</v>
      </c>
      <c r="BB59" s="12" t="n">
        <f aca="false">IF('Raw Data'!BG71="",0,'Raw Data'!BG71)</f>
        <v>0</v>
      </c>
      <c r="BC59" s="12" t="n">
        <f aca="false">IF('Raw Data'!BH71="",0,'Raw Data'!BH71)</f>
        <v>0</v>
      </c>
      <c r="BD59" s="12" t="n">
        <f aca="false">IF('Raw Data'!BI71="",0,'Raw Data'!BI71)</f>
        <v>0</v>
      </c>
      <c r="BE59" s="12" t="n">
        <f aca="false">IF('Raw Data'!BJ71="",0,'Raw Data'!BJ71)</f>
        <v>0</v>
      </c>
      <c r="BF59" s="12" t="n">
        <f aca="false">IF('Raw Data'!BK71="",0,'Raw Data'!BK71)</f>
        <v>0</v>
      </c>
      <c r="BG59" s="12" t="n">
        <f aca="false">IF('Raw Data'!BL71="",0,'Raw Data'!BL71)</f>
        <v>0</v>
      </c>
      <c r="BH59" s="12" t="n">
        <f aca="false">IF('Raw Data'!BM71="",0,'Raw Data'!BM71)</f>
        <v>0</v>
      </c>
      <c r="BI59" s="12" t="n">
        <f aca="false">IF('Raw Data'!BN71="",0,'Raw Data'!BN71)</f>
        <v>0</v>
      </c>
      <c r="BJ59" s="12" t="n">
        <f aca="false">IF('Raw Data'!BO71="",0,'Raw Data'!BO71)</f>
        <v>0</v>
      </c>
      <c r="BK59" s="12" t="n">
        <f aca="false">IF('Raw Data'!BP71="",0,'Raw Data'!BP71)</f>
        <v>0</v>
      </c>
      <c r="BL59" s="12" t="n">
        <f aca="false">IF('Raw Data'!BQ71="",0,'Raw Data'!BQ71)</f>
        <v>0</v>
      </c>
      <c r="BM59" s="12" t="n">
        <f aca="false">IF('Raw Data'!BR71="",0,'Raw Data'!BR71)</f>
        <v>0</v>
      </c>
      <c r="BN59" s="12" t="n">
        <f aca="false">IF('Raw Data'!BS71="",0,'Raw Data'!BS71)</f>
        <v>0</v>
      </c>
      <c r="BO59" s="21" t="b">
        <f aca="false">FALSE()</f>
        <v>0</v>
      </c>
    </row>
    <row r="60" customFormat="false" ht="15" hidden="false" customHeight="false" outlineLevel="0" collapsed="false">
      <c r="A60" s="20" t="str">
        <f aca="false">'Raw Data'!A72</f>
        <v>Local Account #62 from CA</v>
      </c>
      <c r="B60" s="12" t="n">
        <f aca="false">IF('Raw Data'!G72="",0,'Raw Data'!G72)</f>
        <v>400</v>
      </c>
      <c r="C60" s="12" t="n">
        <f aca="false">IF('Raw Data'!H72="",0,'Raw Data'!H72)</f>
        <v>400</v>
      </c>
      <c r="D60" s="12" t="n">
        <f aca="false">IF('Raw Data'!I72="",0,'Raw Data'!I72)</f>
        <v>400</v>
      </c>
      <c r="E60" s="12" t="n">
        <f aca="false">IF('Raw Data'!J72="",0,'Raw Data'!J72)</f>
        <v>400</v>
      </c>
      <c r="F60" s="12" t="n">
        <f aca="false">IF('Raw Data'!K72="",0,'Raw Data'!K72)</f>
        <v>400</v>
      </c>
      <c r="G60" s="12" t="n">
        <f aca="false">IF('Raw Data'!L72="",0,'Raw Data'!L72)</f>
        <v>400</v>
      </c>
      <c r="H60" s="12" t="n">
        <f aca="false">IF('Raw Data'!M72="",0,'Raw Data'!M72)</f>
        <v>400</v>
      </c>
      <c r="I60" s="12" t="n">
        <f aca="false">IF('Raw Data'!N72="",0,'Raw Data'!N72)</f>
        <v>400</v>
      </c>
      <c r="J60" s="12" t="n">
        <f aca="false">IF('Raw Data'!O72="",0,'Raw Data'!O72)</f>
        <v>400</v>
      </c>
      <c r="K60" s="12" t="n">
        <f aca="false">IF('Raw Data'!P72="",0,'Raw Data'!P72)</f>
        <v>400</v>
      </c>
      <c r="L60" s="12" t="n">
        <f aca="false">IF('Raw Data'!Q72="",0,'Raw Data'!Q72)</f>
        <v>400</v>
      </c>
      <c r="M60" s="12" t="n">
        <f aca="false">IF('Raw Data'!R72="",0,'Raw Data'!R72)</f>
        <v>400</v>
      </c>
      <c r="N60" s="12" t="n">
        <f aca="false">IF('Raw Data'!S72="",0,'Raw Data'!S72)</f>
        <v>400</v>
      </c>
      <c r="O60" s="12" t="n">
        <f aca="false">IF('Raw Data'!T72="",0,'Raw Data'!T72)</f>
        <v>400</v>
      </c>
      <c r="P60" s="12" t="n">
        <f aca="false">IF('Raw Data'!U72="",0,'Raw Data'!U72)</f>
        <v>400</v>
      </c>
      <c r="Q60" s="12" t="n">
        <f aca="false">IF('Raw Data'!V72="",0,'Raw Data'!V72)</f>
        <v>400</v>
      </c>
      <c r="R60" s="12" t="n">
        <f aca="false">IF('Raw Data'!W72="",0,'Raw Data'!W72)</f>
        <v>400</v>
      </c>
      <c r="S60" s="12" t="n">
        <f aca="false">IF('Raw Data'!X72="",0,'Raw Data'!X72)</f>
        <v>400</v>
      </c>
      <c r="T60" s="12" t="n">
        <f aca="false">IF('Raw Data'!Y72="",0,'Raw Data'!Y72)</f>
        <v>400</v>
      </c>
      <c r="U60" s="12" t="n">
        <f aca="false">IF('Raw Data'!Z72="",0,'Raw Data'!Z72)</f>
        <v>400</v>
      </c>
      <c r="V60" s="12" t="n">
        <f aca="false">IF('Raw Data'!AA72="",0,'Raw Data'!AA72)</f>
        <v>400</v>
      </c>
      <c r="W60" s="12" t="n">
        <f aca="false">IF('Raw Data'!AB72="",0,'Raw Data'!AB72)</f>
        <v>400</v>
      </c>
      <c r="X60" s="12" t="n">
        <f aca="false">IF('Raw Data'!AC72="",0,'Raw Data'!AC72)</f>
        <v>400</v>
      </c>
      <c r="Y60" s="12" t="n">
        <f aca="false">IF('Raw Data'!AD72="",0,'Raw Data'!AD72)</f>
        <v>400</v>
      </c>
      <c r="Z60" s="12" t="n">
        <f aca="false">IF('Raw Data'!AE72="",0,'Raw Data'!AE72)</f>
        <v>400</v>
      </c>
      <c r="AA60" s="12" t="n">
        <f aca="false">IF('Raw Data'!AF72="",0,'Raw Data'!AF72)</f>
        <v>400</v>
      </c>
      <c r="AB60" s="12" t="n">
        <f aca="false">IF('Raw Data'!AG72="",0,'Raw Data'!AG72)</f>
        <v>400</v>
      </c>
      <c r="AC60" s="12" t="n">
        <f aca="false">IF('Raw Data'!AH72="",0,'Raw Data'!AH72)</f>
        <v>400</v>
      </c>
      <c r="AD60" s="12" t="n">
        <f aca="false">IF('Raw Data'!AI72="",0,'Raw Data'!AI72)</f>
        <v>400</v>
      </c>
      <c r="AE60" s="12" t="n">
        <f aca="false">IF('Raw Data'!AJ72="",0,'Raw Data'!AJ72)</f>
        <v>400</v>
      </c>
      <c r="AF60" s="12" t="n">
        <f aca="false">IF('Raw Data'!AK72="",0,'Raw Data'!AK72)</f>
        <v>500</v>
      </c>
      <c r="AG60" s="12" t="n">
        <f aca="false">IF('Raw Data'!AL72="",0,'Raw Data'!AL72)</f>
        <v>500</v>
      </c>
      <c r="AH60" s="12" t="n">
        <f aca="false">IF('Raw Data'!AM72="",0,'Raw Data'!AM72)</f>
        <v>500</v>
      </c>
      <c r="AI60" s="12" t="n">
        <f aca="false">IF('Raw Data'!AN72="",0,'Raw Data'!AN72)</f>
        <v>500</v>
      </c>
      <c r="AJ60" s="12" t="n">
        <f aca="false">IF('Raw Data'!AO72="",0,'Raw Data'!AO72)</f>
        <v>500</v>
      </c>
      <c r="AK60" s="12" t="n">
        <f aca="false">IF('Raw Data'!AP72="",0,'Raw Data'!AP72)</f>
        <v>500</v>
      </c>
      <c r="AL60" s="12" t="n">
        <f aca="false">IF('Raw Data'!AQ72="",0,'Raw Data'!AQ72)</f>
        <v>500</v>
      </c>
      <c r="AM60" s="12" t="n">
        <f aca="false">IF('Raw Data'!AR72="",0,'Raw Data'!AR72)</f>
        <v>500</v>
      </c>
      <c r="AN60" s="12" t="n">
        <f aca="false">IF('Raw Data'!AS72="",0,'Raw Data'!AS72)</f>
        <v>500</v>
      </c>
      <c r="AO60" s="12" t="n">
        <f aca="false">IF('Raw Data'!AT72="",0,'Raw Data'!AT72)</f>
        <v>500</v>
      </c>
      <c r="AP60" s="12" t="n">
        <f aca="false">IF('Raw Data'!AU72="",0,'Raw Data'!AU72)</f>
        <v>500</v>
      </c>
      <c r="AQ60" s="12" t="n">
        <f aca="false">IF('Raw Data'!AV72="",0,'Raw Data'!AV72)</f>
        <v>500</v>
      </c>
      <c r="AR60" s="12" t="n">
        <f aca="false">IF('Raw Data'!AW72="",0,'Raw Data'!AW72)</f>
        <v>700</v>
      </c>
      <c r="AS60" s="12" t="n">
        <f aca="false">IF('Raw Data'!AX72="",0,'Raw Data'!AX72)</f>
        <v>700</v>
      </c>
      <c r="AT60" s="12" t="n">
        <f aca="false">IF('Raw Data'!AY72="",0,'Raw Data'!AY72)</f>
        <v>700</v>
      </c>
      <c r="AU60" s="12" t="n">
        <f aca="false">IF('Raw Data'!AZ72="",0,'Raw Data'!AZ72)</f>
        <v>700</v>
      </c>
      <c r="AV60" s="12" t="n">
        <f aca="false">IF('Raw Data'!BA72="",0,'Raw Data'!BA72)</f>
        <v>700</v>
      </c>
      <c r="AW60" s="12" t="n">
        <f aca="false">IF('Raw Data'!BB72="",0,'Raw Data'!BB72)</f>
        <v>700</v>
      </c>
      <c r="AX60" s="12" t="n">
        <f aca="false">IF('Raw Data'!BC72="",0,'Raw Data'!BC72)</f>
        <v>700</v>
      </c>
      <c r="AY60" s="12" t="n">
        <f aca="false">IF('Raw Data'!BD72="",0,'Raw Data'!BD72)</f>
        <v>700</v>
      </c>
      <c r="AZ60" s="12" t="n">
        <f aca="false">IF('Raw Data'!BE72="",0,'Raw Data'!BE72)</f>
        <v>700</v>
      </c>
      <c r="BA60" s="12" t="n">
        <f aca="false">IF('Raw Data'!BF72="",0,'Raw Data'!BF72)</f>
        <v>700</v>
      </c>
      <c r="BB60" s="12" t="n">
        <f aca="false">IF('Raw Data'!BG72="",0,'Raw Data'!BG72)</f>
        <v>700</v>
      </c>
      <c r="BC60" s="12" t="n">
        <f aca="false">IF('Raw Data'!BH72="",0,'Raw Data'!BH72)</f>
        <v>700</v>
      </c>
      <c r="BD60" s="12" t="n">
        <f aca="false">IF('Raw Data'!BI72="",0,'Raw Data'!BI72)</f>
        <v>1200</v>
      </c>
      <c r="BE60" s="12" t="n">
        <f aca="false">IF('Raw Data'!BJ72="",0,'Raw Data'!BJ72)</f>
        <v>1200</v>
      </c>
      <c r="BF60" s="12" t="n">
        <f aca="false">IF('Raw Data'!BK72="",0,'Raw Data'!BK72)</f>
        <v>1200</v>
      </c>
      <c r="BG60" s="12" t="n">
        <f aca="false">IF('Raw Data'!BL72="",0,'Raw Data'!BL72)</f>
        <v>1200</v>
      </c>
      <c r="BH60" s="12" t="n">
        <f aca="false">IF('Raw Data'!BM72="",0,'Raw Data'!BM72)</f>
        <v>1200</v>
      </c>
      <c r="BI60" s="12" t="n">
        <f aca="false">IF('Raw Data'!BN72="",0,'Raw Data'!BN72)</f>
        <v>1200</v>
      </c>
      <c r="BJ60" s="12" t="n">
        <f aca="false">IF('Raw Data'!BO72="",0,'Raw Data'!BO72)</f>
        <v>1200</v>
      </c>
      <c r="BK60" s="12" t="n">
        <f aca="false">IF('Raw Data'!BP72="",0,'Raw Data'!BP72)</f>
        <v>1200</v>
      </c>
      <c r="BL60" s="12" t="n">
        <f aca="false">IF('Raw Data'!BQ72="",0,'Raw Data'!BQ72)</f>
        <v>1200</v>
      </c>
      <c r="BM60" s="12" t="n">
        <f aca="false">IF('Raw Data'!BR72="",0,'Raw Data'!BR72)</f>
        <v>1200</v>
      </c>
      <c r="BN60" s="12" t="n">
        <f aca="false">IF('Raw Data'!BS72="",0,'Raw Data'!BS72)</f>
        <v>1200</v>
      </c>
      <c r="BO60" s="21" t="b">
        <f aca="false">FALSE()</f>
        <v>0</v>
      </c>
    </row>
    <row r="61" customFormat="false" ht="15" hidden="false" customHeight="false" outlineLevel="0" collapsed="false">
      <c r="A61" s="20" t="str">
        <f aca="false">'Raw Data'!A73</f>
        <v>Local Account #63 from KY</v>
      </c>
      <c r="B61" s="12" t="n">
        <f aca="false">IF('Raw Data'!G73="",0,'Raw Data'!G73)</f>
        <v>0</v>
      </c>
      <c r="C61" s="12" t="n">
        <f aca="false">IF('Raw Data'!H73="",0,'Raw Data'!H73)</f>
        <v>0</v>
      </c>
      <c r="D61" s="12" t="n">
        <f aca="false">IF('Raw Data'!I73="",0,'Raw Data'!I73)</f>
        <v>0</v>
      </c>
      <c r="E61" s="12" t="n">
        <f aca="false">IF('Raw Data'!J73="",0,'Raw Data'!J73)</f>
        <v>0</v>
      </c>
      <c r="F61" s="12" t="n">
        <f aca="false">IF('Raw Data'!K73="",0,'Raw Data'!K73)</f>
        <v>0</v>
      </c>
      <c r="G61" s="12" t="n">
        <f aca="false">IF('Raw Data'!L73="",0,'Raw Data'!L73)</f>
        <v>0</v>
      </c>
      <c r="H61" s="12" t="n">
        <f aca="false">IF('Raw Data'!M73="",0,'Raw Data'!M73)</f>
        <v>0</v>
      </c>
      <c r="I61" s="12" t="n">
        <f aca="false">IF('Raw Data'!N73="",0,'Raw Data'!N73)</f>
        <v>0</v>
      </c>
      <c r="J61" s="12" t="n">
        <f aca="false">IF('Raw Data'!O73="",0,'Raw Data'!O73)</f>
        <v>0</v>
      </c>
      <c r="K61" s="12" t="n">
        <f aca="false">IF('Raw Data'!P73="",0,'Raw Data'!P73)</f>
        <v>0</v>
      </c>
      <c r="L61" s="12" t="n">
        <f aca="false">IF('Raw Data'!Q73="",0,'Raw Data'!Q73)</f>
        <v>0</v>
      </c>
      <c r="M61" s="12" t="n">
        <f aca="false">IF('Raw Data'!R73="",0,'Raw Data'!R73)</f>
        <v>0</v>
      </c>
      <c r="N61" s="12" t="n">
        <f aca="false">IF('Raw Data'!S73="",0,'Raw Data'!S73)</f>
        <v>0</v>
      </c>
      <c r="O61" s="12" t="n">
        <f aca="false">IF('Raw Data'!T73="",0,'Raw Data'!T73)</f>
        <v>0</v>
      </c>
      <c r="P61" s="12" t="n">
        <f aca="false">IF('Raw Data'!U73="",0,'Raw Data'!U73)</f>
        <v>0</v>
      </c>
      <c r="Q61" s="12" t="n">
        <f aca="false">IF('Raw Data'!V73="",0,'Raw Data'!V73)</f>
        <v>0</v>
      </c>
      <c r="R61" s="12" t="n">
        <f aca="false">IF('Raw Data'!W73="",0,'Raw Data'!W73)</f>
        <v>0</v>
      </c>
      <c r="S61" s="12" t="n">
        <f aca="false">IF('Raw Data'!X73="",0,'Raw Data'!X73)</f>
        <v>0</v>
      </c>
      <c r="T61" s="12" t="n">
        <f aca="false">IF('Raw Data'!Y73="",0,'Raw Data'!Y73)</f>
        <v>0</v>
      </c>
      <c r="U61" s="12" t="n">
        <f aca="false">IF('Raw Data'!Z73="",0,'Raw Data'!Z73)</f>
        <v>0</v>
      </c>
      <c r="V61" s="12" t="n">
        <f aca="false">IF('Raw Data'!AA73="",0,'Raw Data'!AA73)</f>
        <v>0</v>
      </c>
      <c r="W61" s="12" t="n">
        <f aca="false">IF('Raw Data'!AB73="",0,'Raw Data'!AB73)</f>
        <v>0</v>
      </c>
      <c r="X61" s="12" t="n">
        <f aca="false">IF('Raw Data'!AC73="",0,'Raw Data'!AC73)</f>
        <v>0</v>
      </c>
      <c r="Y61" s="12" t="n">
        <f aca="false">IF('Raw Data'!AD73="",0,'Raw Data'!AD73)</f>
        <v>0</v>
      </c>
      <c r="Z61" s="12" t="n">
        <f aca="false">IF('Raw Data'!AE73="",0,'Raw Data'!AE73)</f>
        <v>0</v>
      </c>
      <c r="AA61" s="12" t="n">
        <f aca="false">IF('Raw Data'!AF73="",0,'Raw Data'!AF73)</f>
        <v>0</v>
      </c>
      <c r="AB61" s="12" t="n">
        <f aca="false">IF('Raw Data'!AG73="",0,'Raw Data'!AG73)</f>
        <v>0</v>
      </c>
      <c r="AC61" s="12" t="n">
        <f aca="false">IF('Raw Data'!AH73="",0,'Raw Data'!AH73)</f>
        <v>0</v>
      </c>
      <c r="AD61" s="12" t="n">
        <f aca="false">IF('Raw Data'!AI73="",0,'Raw Data'!AI73)</f>
        <v>0</v>
      </c>
      <c r="AE61" s="12" t="n">
        <f aca="false">IF('Raw Data'!AJ73="",0,'Raw Data'!AJ73)</f>
        <v>0</v>
      </c>
      <c r="AF61" s="12" t="n">
        <f aca="false">IF('Raw Data'!AK73="",0,'Raw Data'!AK73)</f>
        <v>0</v>
      </c>
      <c r="AG61" s="12" t="n">
        <f aca="false">IF('Raw Data'!AL73="",0,'Raw Data'!AL73)</f>
        <v>0</v>
      </c>
      <c r="AH61" s="12" t="n">
        <f aca="false">IF('Raw Data'!AM73="",0,'Raw Data'!AM73)</f>
        <v>0</v>
      </c>
      <c r="AI61" s="12" t="n">
        <f aca="false">IF('Raw Data'!AN73="",0,'Raw Data'!AN73)</f>
        <v>0</v>
      </c>
      <c r="AJ61" s="12" t="n">
        <f aca="false">IF('Raw Data'!AO73="",0,'Raw Data'!AO73)</f>
        <v>0</v>
      </c>
      <c r="AK61" s="12" t="n">
        <f aca="false">IF('Raw Data'!AP73="",0,'Raw Data'!AP73)</f>
        <v>0</v>
      </c>
      <c r="AL61" s="12" t="n">
        <f aca="false">IF('Raw Data'!AQ73="",0,'Raw Data'!AQ73)</f>
        <v>0</v>
      </c>
      <c r="AM61" s="12" t="n">
        <f aca="false">IF('Raw Data'!AR73="",0,'Raw Data'!AR73)</f>
        <v>0</v>
      </c>
      <c r="AN61" s="12" t="n">
        <f aca="false">IF('Raw Data'!AS73="",0,'Raw Data'!AS73)</f>
        <v>0</v>
      </c>
      <c r="AO61" s="12" t="n">
        <f aca="false">IF('Raw Data'!AT73="",0,'Raw Data'!AT73)</f>
        <v>0</v>
      </c>
      <c r="AP61" s="12" t="n">
        <f aca="false">IF('Raw Data'!AU73="",0,'Raw Data'!AU73)</f>
        <v>0</v>
      </c>
      <c r="AQ61" s="12" t="n">
        <f aca="false">IF('Raw Data'!AV73="",0,'Raw Data'!AV73)</f>
        <v>0</v>
      </c>
      <c r="AR61" s="12" t="n">
        <f aca="false">IF('Raw Data'!AW73="",0,'Raw Data'!AW73)</f>
        <v>0</v>
      </c>
      <c r="AS61" s="12" t="n">
        <f aca="false">IF('Raw Data'!AX73="",0,'Raw Data'!AX73)</f>
        <v>0</v>
      </c>
      <c r="AT61" s="12" t="n">
        <f aca="false">IF('Raw Data'!AY73="",0,'Raw Data'!AY73)</f>
        <v>0</v>
      </c>
      <c r="AU61" s="12" t="n">
        <f aca="false">IF('Raw Data'!AZ73="",0,'Raw Data'!AZ73)</f>
        <v>432.692307692308</v>
      </c>
      <c r="AV61" s="12" t="n">
        <f aca="false">IF('Raw Data'!BA73="",0,'Raw Data'!BA73)</f>
        <v>432.692307692308</v>
      </c>
      <c r="AW61" s="12" t="n">
        <f aca="false">IF('Raw Data'!BB73="",0,'Raw Data'!BB73)</f>
        <v>432.692307692308</v>
      </c>
      <c r="AX61" s="12" t="n">
        <f aca="false">IF('Raw Data'!BC73="",0,'Raw Data'!BC73)</f>
        <v>432.692307692308</v>
      </c>
      <c r="AY61" s="12" t="n">
        <f aca="false">IF('Raw Data'!BD73="",0,'Raw Data'!BD73)</f>
        <v>432.692307692308</v>
      </c>
      <c r="AZ61" s="12" t="n">
        <f aca="false">IF('Raw Data'!BE73="",0,'Raw Data'!BE73)</f>
        <v>432.692307692308</v>
      </c>
      <c r="BA61" s="12" t="n">
        <f aca="false">IF('Raw Data'!BF73="",0,'Raw Data'!BF73)</f>
        <v>432.692307692308</v>
      </c>
      <c r="BB61" s="12" t="n">
        <f aca="false">IF('Raw Data'!BG73="",0,'Raw Data'!BG73)</f>
        <v>432.692307692308</v>
      </c>
      <c r="BC61" s="12" t="n">
        <f aca="false">IF('Raw Data'!BH73="",0,'Raw Data'!BH73)</f>
        <v>432.692307692308</v>
      </c>
      <c r="BD61" s="12" t="n">
        <f aca="false">IF('Raw Data'!BI73="",0,'Raw Data'!BI73)</f>
        <v>432.692307692308</v>
      </c>
      <c r="BE61" s="12" t="n">
        <f aca="false">IF('Raw Data'!BJ73="",0,'Raw Data'!BJ73)</f>
        <v>432.692307692308</v>
      </c>
      <c r="BF61" s="12" t="n">
        <f aca="false">IF('Raw Data'!BK73="",0,'Raw Data'!BK73)</f>
        <v>432.692307692308</v>
      </c>
      <c r="BG61" s="12" t="n">
        <f aca="false">IF('Raw Data'!BL73="",0,'Raw Data'!BL73)</f>
        <v>57.6923076923077</v>
      </c>
      <c r="BH61" s="12" t="n">
        <f aca="false">IF('Raw Data'!BM73="",0,'Raw Data'!BM73)</f>
        <v>583.333333333333</v>
      </c>
      <c r="BI61" s="12" t="n">
        <f aca="false">IF('Raw Data'!BN73="",0,'Raw Data'!BN73)</f>
        <v>583.333333333333</v>
      </c>
      <c r="BJ61" s="12" t="n">
        <f aca="false">IF('Raw Data'!BO73="",0,'Raw Data'!BO73)</f>
        <v>583.333333333333</v>
      </c>
      <c r="BK61" s="12" t="n">
        <f aca="false">IF('Raw Data'!BP73="",0,'Raw Data'!BP73)</f>
        <v>583.333333333333</v>
      </c>
      <c r="BL61" s="12" t="n">
        <f aca="false">IF('Raw Data'!BQ73="",0,'Raw Data'!BQ73)</f>
        <v>583.333333333333</v>
      </c>
      <c r="BM61" s="12" t="n">
        <f aca="false">IF('Raw Data'!BR73="",0,'Raw Data'!BR73)</f>
        <v>583.333333333333</v>
      </c>
      <c r="BN61" s="12" t="n">
        <f aca="false">IF('Raw Data'!BS73="",0,'Raw Data'!BS73)</f>
        <v>583.333333333333</v>
      </c>
      <c r="BO61" s="21" t="b">
        <f aca="false">FALSE()</f>
        <v>0</v>
      </c>
    </row>
    <row r="62" customFormat="false" ht="15" hidden="false" customHeight="false" outlineLevel="0" collapsed="false">
      <c r="A62" s="20" t="str">
        <f aca="false">'Raw Data'!A74</f>
        <v>Local Account #64 from KY</v>
      </c>
      <c r="B62" s="12" t="n">
        <f aca="false">IF('Raw Data'!G74="",0,'Raw Data'!G74)</f>
        <v>0</v>
      </c>
      <c r="C62" s="12" t="n">
        <f aca="false">IF('Raw Data'!H74="",0,'Raw Data'!H74)</f>
        <v>0</v>
      </c>
      <c r="D62" s="12" t="n">
        <f aca="false">IF('Raw Data'!I74="",0,'Raw Data'!I74)</f>
        <v>0</v>
      </c>
      <c r="E62" s="12" t="n">
        <f aca="false">IF('Raw Data'!J74="",0,'Raw Data'!J74)</f>
        <v>0</v>
      </c>
      <c r="F62" s="12" t="n">
        <f aca="false">IF('Raw Data'!K74="",0,'Raw Data'!K74)</f>
        <v>0</v>
      </c>
      <c r="G62" s="12" t="n">
        <f aca="false">IF('Raw Data'!L74="",0,'Raw Data'!L74)</f>
        <v>0</v>
      </c>
      <c r="H62" s="12" t="n">
        <f aca="false">IF('Raw Data'!M74="",0,'Raw Data'!M74)</f>
        <v>0</v>
      </c>
      <c r="I62" s="12" t="n">
        <f aca="false">IF('Raw Data'!N74="",0,'Raw Data'!N74)</f>
        <v>0</v>
      </c>
      <c r="J62" s="12" t="n">
        <f aca="false">IF('Raw Data'!O74="",0,'Raw Data'!O74)</f>
        <v>0</v>
      </c>
      <c r="K62" s="12" t="n">
        <f aca="false">IF('Raw Data'!P74="",0,'Raw Data'!P74)</f>
        <v>0</v>
      </c>
      <c r="L62" s="12" t="n">
        <f aca="false">IF('Raw Data'!Q74="",0,'Raw Data'!Q74)</f>
        <v>0</v>
      </c>
      <c r="M62" s="12" t="n">
        <f aca="false">IF('Raw Data'!R74="",0,'Raw Data'!R74)</f>
        <v>0</v>
      </c>
      <c r="N62" s="12" t="n">
        <f aca="false">IF('Raw Data'!S74="",0,'Raw Data'!S74)</f>
        <v>0</v>
      </c>
      <c r="O62" s="12" t="n">
        <f aca="false">IF('Raw Data'!T74="",0,'Raw Data'!T74)</f>
        <v>0</v>
      </c>
      <c r="P62" s="12" t="n">
        <f aca="false">IF('Raw Data'!U74="",0,'Raw Data'!U74)</f>
        <v>0</v>
      </c>
      <c r="Q62" s="12" t="n">
        <f aca="false">IF('Raw Data'!V74="",0,'Raw Data'!V74)</f>
        <v>0</v>
      </c>
      <c r="R62" s="12" t="n">
        <f aca="false">IF('Raw Data'!W74="",0,'Raw Data'!W74)</f>
        <v>0</v>
      </c>
      <c r="S62" s="12" t="n">
        <f aca="false">IF('Raw Data'!X74="",0,'Raw Data'!X74)</f>
        <v>0</v>
      </c>
      <c r="T62" s="12" t="n">
        <f aca="false">IF('Raw Data'!Y74="",0,'Raw Data'!Y74)</f>
        <v>0</v>
      </c>
      <c r="U62" s="12" t="n">
        <f aca="false">IF('Raw Data'!Z74="",0,'Raw Data'!Z74)</f>
        <v>0</v>
      </c>
      <c r="V62" s="12" t="n">
        <f aca="false">IF('Raw Data'!AA74="",0,'Raw Data'!AA74)</f>
        <v>0</v>
      </c>
      <c r="W62" s="12" t="n">
        <f aca="false">IF('Raw Data'!AB74="",0,'Raw Data'!AB74)</f>
        <v>0</v>
      </c>
      <c r="X62" s="12" t="n">
        <f aca="false">IF('Raw Data'!AC74="",0,'Raw Data'!AC74)</f>
        <v>0</v>
      </c>
      <c r="Y62" s="12" t="n">
        <f aca="false">IF('Raw Data'!AD74="",0,'Raw Data'!AD74)</f>
        <v>0</v>
      </c>
      <c r="Z62" s="12" t="n">
        <f aca="false">IF('Raw Data'!AE74="",0,'Raw Data'!AE74)</f>
        <v>0</v>
      </c>
      <c r="AA62" s="12" t="n">
        <f aca="false">IF('Raw Data'!AF74="",0,'Raw Data'!AF74)</f>
        <v>0</v>
      </c>
      <c r="AB62" s="12" t="n">
        <f aca="false">IF('Raw Data'!AG74="",0,'Raw Data'!AG74)</f>
        <v>0</v>
      </c>
      <c r="AC62" s="12" t="n">
        <f aca="false">IF('Raw Data'!AH74="",0,'Raw Data'!AH74)</f>
        <v>0</v>
      </c>
      <c r="AD62" s="12" t="n">
        <f aca="false">IF('Raw Data'!AI74="",0,'Raw Data'!AI74)</f>
        <v>0</v>
      </c>
      <c r="AE62" s="12" t="n">
        <f aca="false">IF('Raw Data'!AJ74="",0,'Raw Data'!AJ74)</f>
        <v>0</v>
      </c>
      <c r="AF62" s="12" t="n">
        <f aca="false">IF('Raw Data'!AK74="",0,'Raw Data'!AK74)</f>
        <v>0</v>
      </c>
      <c r="AG62" s="12" t="n">
        <f aca="false">IF('Raw Data'!AL74="",0,'Raw Data'!AL74)</f>
        <v>0</v>
      </c>
      <c r="AH62" s="12" t="n">
        <f aca="false">IF('Raw Data'!AM74="",0,'Raw Data'!AM74)</f>
        <v>0</v>
      </c>
      <c r="AI62" s="12" t="n">
        <f aca="false">IF('Raw Data'!AN74="",0,'Raw Data'!AN74)</f>
        <v>0</v>
      </c>
      <c r="AJ62" s="12" t="n">
        <f aca="false">IF('Raw Data'!AO74="",0,'Raw Data'!AO74)</f>
        <v>0</v>
      </c>
      <c r="AK62" s="12" t="n">
        <f aca="false">IF('Raw Data'!AP74="",0,'Raw Data'!AP74)</f>
        <v>0</v>
      </c>
      <c r="AL62" s="12" t="n">
        <f aca="false">IF('Raw Data'!AQ74="",0,'Raw Data'!AQ74)</f>
        <v>0</v>
      </c>
      <c r="AM62" s="12" t="n">
        <f aca="false">IF('Raw Data'!AR74="",0,'Raw Data'!AR74)</f>
        <v>0</v>
      </c>
      <c r="AN62" s="12" t="n">
        <f aca="false">IF('Raw Data'!AS74="",0,'Raw Data'!AS74)</f>
        <v>0</v>
      </c>
      <c r="AO62" s="12" t="n">
        <f aca="false">IF('Raw Data'!AT74="",0,'Raw Data'!AT74)</f>
        <v>0</v>
      </c>
      <c r="AP62" s="12" t="n">
        <f aca="false">IF('Raw Data'!AU74="",0,'Raw Data'!AU74)</f>
        <v>0</v>
      </c>
      <c r="AQ62" s="12" t="n">
        <f aca="false">IF('Raw Data'!AV74="",0,'Raw Data'!AV74)</f>
        <v>0</v>
      </c>
      <c r="AR62" s="12" t="n">
        <f aca="false">IF('Raw Data'!AW74="",0,'Raw Data'!AW74)</f>
        <v>0</v>
      </c>
      <c r="AS62" s="12" t="n">
        <f aca="false">IF('Raw Data'!AX74="",0,'Raw Data'!AX74)</f>
        <v>0</v>
      </c>
      <c r="AT62" s="12" t="n">
        <f aca="false">IF('Raw Data'!AY74="",0,'Raw Data'!AY74)</f>
        <v>0</v>
      </c>
      <c r="AU62" s="12" t="n">
        <f aca="false">IF('Raw Data'!AZ74="",0,'Raw Data'!AZ74)</f>
        <v>0</v>
      </c>
      <c r="AV62" s="12" t="n">
        <f aca="false">IF('Raw Data'!BA74="",0,'Raw Data'!BA74)</f>
        <v>0</v>
      </c>
      <c r="AW62" s="12" t="n">
        <f aca="false">IF('Raw Data'!BB74="",0,'Raw Data'!BB74)</f>
        <v>0</v>
      </c>
      <c r="AX62" s="12" t="n">
        <f aca="false">IF('Raw Data'!BC74="",0,'Raw Data'!BC74)</f>
        <v>0</v>
      </c>
      <c r="AY62" s="12" t="n">
        <f aca="false">IF('Raw Data'!BD74="",0,'Raw Data'!BD74)</f>
        <v>0</v>
      </c>
      <c r="AZ62" s="12" t="n">
        <f aca="false">IF('Raw Data'!BE74="",0,'Raw Data'!BE74)</f>
        <v>125</v>
      </c>
      <c r="BA62" s="12" t="n">
        <f aca="false">IF('Raw Data'!BF74="",0,'Raw Data'!BF74)</f>
        <v>125</v>
      </c>
      <c r="BB62" s="12" t="n">
        <f aca="false">IF('Raw Data'!BG74="",0,'Raw Data'!BG74)</f>
        <v>125</v>
      </c>
      <c r="BC62" s="12" t="n">
        <f aca="false">IF('Raw Data'!BH74="",0,'Raw Data'!BH74)</f>
        <v>125</v>
      </c>
      <c r="BD62" s="12" t="n">
        <f aca="false">IF('Raw Data'!BI74="",0,'Raw Data'!BI74)</f>
        <v>125</v>
      </c>
      <c r="BE62" s="12" t="n">
        <f aca="false">IF('Raw Data'!BJ74="",0,'Raw Data'!BJ74)</f>
        <v>125</v>
      </c>
      <c r="BF62" s="12" t="n">
        <f aca="false">IF('Raw Data'!BK74="",0,'Raw Data'!BK74)</f>
        <v>125</v>
      </c>
      <c r="BG62" s="12" t="n">
        <f aca="false">IF('Raw Data'!BL74="",0,'Raw Data'!BL74)</f>
        <v>125</v>
      </c>
      <c r="BH62" s="12" t="n">
        <f aca="false">IF('Raw Data'!BM74="",0,'Raw Data'!BM74)</f>
        <v>125</v>
      </c>
      <c r="BI62" s="12" t="n">
        <f aca="false">IF('Raw Data'!BN74="",0,'Raw Data'!BN74)</f>
        <v>125</v>
      </c>
      <c r="BJ62" s="12" t="n">
        <f aca="false">IF('Raw Data'!BO74="",0,'Raw Data'!BO74)</f>
        <v>125</v>
      </c>
      <c r="BK62" s="12" t="n">
        <f aca="false">IF('Raw Data'!BP74="",0,'Raw Data'!BP74)</f>
        <v>125</v>
      </c>
      <c r="BL62" s="12" t="n">
        <f aca="false">IF('Raw Data'!BQ74="",0,'Raw Data'!BQ74)</f>
        <v>83.3333333333333</v>
      </c>
      <c r="BM62" s="12" t="n">
        <f aca="false">IF('Raw Data'!BR74="",0,'Raw Data'!BR74)</f>
        <v>83.3333333333333</v>
      </c>
      <c r="BN62" s="12" t="n">
        <f aca="false">IF('Raw Data'!BS74="",0,'Raw Data'!BS74)</f>
        <v>83.3333333333333</v>
      </c>
      <c r="BO62" s="21" t="b">
        <f aca="false">FALSE()</f>
        <v>0</v>
      </c>
    </row>
    <row r="63" customFormat="false" ht="15" hidden="false" customHeight="false" outlineLevel="0" collapsed="false">
      <c r="A63" s="20" t="str">
        <f aca="false">'Raw Data'!A75</f>
        <v>Local Account #65 from CT</v>
      </c>
      <c r="B63" s="12" t="n">
        <f aca="false">IF('Raw Data'!G75="",0,'Raw Data'!G75)</f>
        <v>800</v>
      </c>
      <c r="C63" s="12" t="n">
        <f aca="false">IF('Raw Data'!H75="",0,'Raw Data'!H75)</f>
        <v>800</v>
      </c>
      <c r="D63" s="12" t="n">
        <f aca="false">IF('Raw Data'!I75="",0,'Raw Data'!I75)</f>
        <v>800</v>
      </c>
      <c r="E63" s="12" t="n">
        <f aca="false">IF('Raw Data'!J75="",0,'Raw Data'!J75)</f>
        <v>0</v>
      </c>
      <c r="F63" s="12" t="n">
        <f aca="false">IF('Raw Data'!K75="",0,'Raw Data'!K75)</f>
        <v>0</v>
      </c>
      <c r="G63" s="12" t="n">
        <f aca="false">IF('Raw Data'!L75="",0,'Raw Data'!L75)</f>
        <v>0</v>
      </c>
      <c r="H63" s="12" t="n">
        <f aca="false">IF('Raw Data'!M75="",0,'Raw Data'!M75)</f>
        <v>0</v>
      </c>
      <c r="I63" s="12" t="n">
        <f aca="false">IF('Raw Data'!N75="",0,'Raw Data'!N75)</f>
        <v>0</v>
      </c>
      <c r="J63" s="12" t="n">
        <f aca="false">IF('Raw Data'!O75="",0,'Raw Data'!O75)</f>
        <v>0</v>
      </c>
      <c r="K63" s="12" t="n">
        <f aca="false">IF('Raw Data'!P75="",0,'Raw Data'!P75)</f>
        <v>0</v>
      </c>
      <c r="L63" s="12" t="n">
        <f aca="false">IF('Raw Data'!Q75="",0,'Raw Data'!Q75)</f>
        <v>0</v>
      </c>
      <c r="M63" s="12" t="n">
        <f aca="false">IF('Raw Data'!R75="",0,'Raw Data'!R75)</f>
        <v>0</v>
      </c>
      <c r="N63" s="12" t="n">
        <f aca="false">IF('Raw Data'!S75="",0,'Raw Data'!S75)</f>
        <v>0</v>
      </c>
      <c r="O63" s="12" t="n">
        <f aca="false">IF('Raw Data'!T75="",0,'Raw Data'!T75)</f>
        <v>0</v>
      </c>
      <c r="P63" s="12" t="n">
        <f aca="false">IF('Raw Data'!U75="",0,'Raw Data'!U75)</f>
        <v>0</v>
      </c>
      <c r="Q63" s="12" t="n">
        <f aca="false">IF('Raw Data'!V75="",0,'Raw Data'!V75)</f>
        <v>0</v>
      </c>
      <c r="R63" s="12" t="n">
        <f aca="false">IF('Raw Data'!W75="",0,'Raw Data'!W75)</f>
        <v>0</v>
      </c>
      <c r="S63" s="12" t="n">
        <f aca="false">IF('Raw Data'!X75="",0,'Raw Data'!X75)</f>
        <v>0</v>
      </c>
      <c r="T63" s="12" t="n">
        <f aca="false">IF('Raw Data'!Y75="",0,'Raw Data'!Y75)</f>
        <v>0</v>
      </c>
      <c r="U63" s="12" t="n">
        <f aca="false">IF('Raw Data'!Z75="",0,'Raw Data'!Z75)</f>
        <v>0</v>
      </c>
      <c r="V63" s="12" t="n">
        <f aca="false">IF('Raw Data'!AA75="",0,'Raw Data'!AA75)</f>
        <v>0</v>
      </c>
      <c r="W63" s="12" t="n">
        <f aca="false">IF('Raw Data'!AB75="",0,'Raw Data'!AB75)</f>
        <v>0</v>
      </c>
      <c r="X63" s="12" t="n">
        <f aca="false">IF('Raw Data'!AC75="",0,'Raw Data'!AC75)</f>
        <v>0</v>
      </c>
      <c r="Y63" s="12" t="n">
        <f aca="false">IF('Raw Data'!AD75="",0,'Raw Data'!AD75)</f>
        <v>0</v>
      </c>
      <c r="Z63" s="12" t="n">
        <f aca="false">IF('Raw Data'!AE75="",0,'Raw Data'!AE75)</f>
        <v>0</v>
      </c>
      <c r="AA63" s="12" t="n">
        <f aca="false">IF('Raw Data'!AF75="",0,'Raw Data'!AF75)</f>
        <v>0</v>
      </c>
      <c r="AB63" s="12" t="n">
        <f aca="false">IF('Raw Data'!AG75="",0,'Raw Data'!AG75)</f>
        <v>0</v>
      </c>
      <c r="AC63" s="12" t="n">
        <f aca="false">IF('Raw Data'!AH75="",0,'Raw Data'!AH75)</f>
        <v>0</v>
      </c>
      <c r="AD63" s="12" t="n">
        <f aca="false">IF('Raw Data'!AI75="",0,'Raw Data'!AI75)</f>
        <v>0</v>
      </c>
      <c r="AE63" s="12" t="n">
        <f aca="false">IF('Raw Data'!AJ75="",0,'Raw Data'!AJ75)</f>
        <v>0</v>
      </c>
      <c r="AF63" s="12" t="n">
        <f aca="false">IF('Raw Data'!AK75="",0,'Raw Data'!AK75)</f>
        <v>0</v>
      </c>
      <c r="AG63" s="12" t="n">
        <f aca="false">IF('Raw Data'!AL75="",0,'Raw Data'!AL75)</f>
        <v>0</v>
      </c>
      <c r="AH63" s="12" t="n">
        <f aca="false">IF('Raw Data'!AM75="",0,'Raw Data'!AM75)</f>
        <v>0</v>
      </c>
      <c r="AI63" s="12" t="n">
        <f aca="false">IF('Raw Data'!AN75="",0,'Raw Data'!AN75)</f>
        <v>0</v>
      </c>
      <c r="AJ63" s="12" t="n">
        <f aca="false">IF('Raw Data'!AO75="",0,'Raw Data'!AO75)</f>
        <v>0</v>
      </c>
      <c r="AK63" s="12" t="n">
        <f aca="false">IF('Raw Data'!AP75="",0,'Raw Data'!AP75)</f>
        <v>0</v>
      </c>
      <c r="AL63" s="12" t="n">
        <f aca="false">IF('Raw Data'!AQ75="",0,'Raw Data'!AQ75)</f>
        <v>0</v>
      </c>
      <c r="AM63" s="12" t="n">
        <f aca="false">IF('Raw Data'!AR75="",0,'Raw Data'!AR75)</f>
        <v>0</v>
      </c>
      <c r="AN63" s="12" t="n">
        <f aca="false">IF('Raw Data'!AS75="",0,'Raw Data'!AS75)</f>
        <v>0</v>
      </c>
      <c r="AO63" s="12" t="n">
        <f aca="false">IF('Raw Data'!AT75="",0,'Raw Data'!AT75)</f>
        <v>0</v>
      </c>
      <c r="AP63" s="12" t="n">
        <f aca="false">IF('Raw Data'!AU75="",0,'Raw Data'!AU75)</f>
        <v>0</v>
      </c>
      <c r="AQ63" s="12" t="n">
        <f aca="false">IF('Raw Data'!AV75="",0,'Raw Data'!AV75)</f>
        <v>0</v>
      </c>
      <c r="AR63" s="12" t="n">
        <f aca="false">IF('Raw Data'!AW75="",0,'Raw Data'!AW75)</f>
        <v>0</v>
      </c>
      <c r="AS63" s="12" t="n">
        <f aca="false">IF('Raw Data'!AX75="",0,'Raw Data'!AX75)</f>
        <v>0</v>
      </c>
      <c r="AT63" s="12" t="n">
        <f aca="false">IF('Raw Data'!AY75="",0,'Raw Data'!AY75)</f>
        <v>0</v>
      </c>
      <c r="AU63" s="12" t="n">
        <f aca="false">IF('Raw Data'!AZ75="",0,'Raw Data'!AZ75)</f>
        <v>0</v>
      </c>
      <c r="AV63" s="12" t="n">
        <f aca="false">IF('Raw Data'!BA75="",0,'Raw Data'!BA75)</f>
        <v>0</v>
      </c>
      <c r="AW63" s="12" t="n">
        <f aca="false">IF('Raw Data'!BB75="",0,'Raw Data'!BB75)</f>
        <v>0</v>
      </c>
      <c r="AX63" s="12" t="n">
        <f aca="false">IF('Raw Data'!BC75="",0,'Raw Data'!BC75)</f>
        <v>0</v>
      </c>
      <c r="AY63" s="12" t="n">
        <f aca="false">IF('Raw Data'!BD75="",0,'Raw Data'!BD75)</f>
        <v>0</v>
      </c>
      <c r="AZ63" s="12" t="n">
        <f aca="false">IF('Raw Data'!BE75="",0,'Raw Data'!BE75)</f>
        <v>0</v>
      </c>
      <c r="BA63" s="12" t="n">
        <f aca="false">IF('Raw Data'!BF75="",0,'Raw Data'!BF75)</f>
        <v>0</v>
      </c>
      <c r="BB63" s="12" t="n">
        <f aca="false">IF('Raw Data'!BG75="",0,'Raw Data'!BG75)</f>
        <v>0</v>
      </c>
      <c r="BC63" s="12" t="n">
        <f aca="false">IF('Raw Data'!BH75="",0,'Raw Data'!BH75)</f>
        <v>0</v>
      </c>
      <c r="BD63" s="12" t="n">
        <f aca="false">IF('Raw Data'!BI75="",0,'Raw Data'!BI75)</f>
        <v>0</v>
      </c>
      <c r="BE63" s="12" t="n">
        <f aca="false">IF('Raw Data'!BJ75="",0,'Raw Data'!BJ75)</f>
        <v>0</v>
      </c>
      <c r="BF63" s="12" t="n">
        <f aca="false">IF('Raw Data'!BK75="",0,'Raw Data'!BK75)</f>
        <v>0</v>
      </c>
      <c r="BG63" s="12" t="n">
        <f aca="false">IF('Raw Data'!BL75="",0,'Raw Data'!BL75)</f>
        <v>0</v>
      </c>
      <c r="BH63" s="12" t="n">
        <f aca="false">IF('Raw Data'!BM75="",0,'Raw Data'!BM75)</f>
        <v>0</v>
      </c>
      <c r="BI63" s="12" t="n">
        <f aca="false">IF('Raw Data'!BN75="",0,'Raw Data'!BN75)</f>
        <v>0</v>
      </c>
      <c r="BJ63" s="12" t="n">
        <f aca="false">IF('Raw Data'!BO75="",0,'Raw Data'!BO75)</f>
        <v>0</v>
      </c>
      <c r="BK63" s="12" t="n">
        <f aca="false">IF('Raw Data'!BP75="",0,'Raw Data'!BP75)</f>
        <v>0</v>
      </c>
      <c r="BL63" s="12" t="n">
        <f aca="false">IF('Raw Data'!BQ75="",0,'Raw Data'!BQ75)</f>
        <v>0</v>
      </c>
      <c r="BM63" s="12" t="n">
        <f aca="false">IF('Raw Data'!BR75="",0,'Raw Data'!BR75)</f>
        <v>0</v>
      </c>
      <c r="BN63" s="12" t="n">
        <f aca="false">IF('Raw Data'!BS75="",0,'Raw Data'!BS75)</f>
        <v>0</v>
      </c>
      <c r="BO63" s="21" t="b">
        <f aca="false">FALSE()</f>
        <v>0</v>
      </c>
    </row>
    <row r="64" customFormat="false" ht="15" hidden="false" customHeight="false" outlineLevel="0" collapsed="false">
      <c r="A64" s="20" t="str">
        <f aca="false">'Raw Data'!A76</f>
        <v>Local Account #66 from CA</v>
      </c>
      <c r="B64" s="12" t="n">
        <f aca="false">IF('Raw Data'!G76="",0,'Raw Data'!G76)</f>
        <v>400</v>
      </c>
      <c r="C64" s="12" t="n">
        <f aca="false">IF('Raw Data'!H76="",0,'Raw Data'!H76)</f>
        <v>400</v>
      </c>
      <c r="D64" s="12" t="n">
        <f aca="false">IF('Raw Data'!I76="",0,'Raw Data'!I76)</f>
        <v>400</v>
      </c>
      <c r="E64" s="12" t="n">
        <f aca="false">IF('Raw Data'!J76="",0,'Raw Data'!J76)</f>
        <v>1000</v>
      </c>
      <c r="F64" s="12" t="n">
        <f aca="false">IF('Raw Data'!K76="",0,'Raw Data'!K76)</f>
        <v>1000</v>
      </c>
      <c r="G64" s="12" t="n">
        <f aca="false">IF('Raw Data'!L76="",0,'Raw Data'!L76)</f>
        <v>1000</v>
      </c>
      <c r="H64" s="12" t="n">
        <f aca="false">IF('Raw Data'!M76="",0,'Raw Data'!M76)</f>
        <v>900</v>
      </c>
      <c r="I64" s="12" t="n">
        <f aca="false">IF('Raw Data'!N76="",0,'Raw Data'!N76)</f>
        <v>900</v>
      </c>
      <c r="J64" s="12" t="n">
        <f aca="false">IF('Raw Data'!O76="",0,'Raw Data'!O76)</f>
        <v>900</v>
      </c>
      <c r="K64" s="12" t="n">
        <f aca="false">IF('Raw Data'!P76="",0,'Raw Data'!P76)</f>
        <v>900</v>
      </c>
      <c r="L64" s="12" t="n">
        <f aca="false">IF('Raw Data'!Q76="",0,'Raw Data'!Q76)</f>
        <v>900</v>
      </c>
      <c r="M64" s="12" t="n">
        <f aca="false">IF('Raw Data'!R76="",0,'Raw Data'!R76)</f>
        <v>900</v>
      </c>
      <c r="N64" s="12" t="n">
        <f aca="false">IF('Raw Data'!S76="",0,'Raw Data'!S76)</f>
        <v>900</v>
      </c>
      <c r="O64" s="12" t="n">
        <f aca="false">IF('Raw Data'!T76="",0,'Raw Data'!T76)</f>
        <v>900</v>
      </c>
      <c r="P64" s="12" t="n">
        <f aca="false">IF('Raw Data'!U76="",0,'Raw Data'!U76)</f>
        <v>900</v>
      </c>
      <c r="Q64" s="12" t="n">
        <f aca="false">IF('Raw Data'!V76="",0,'Raw Data'!V76)</f>
        <v>900</v>
      </c>
      <c r="R64" s="12" t="n">
        <f aca="false">IF('Raw Data'!W76="",0,'Raw Data'!W76)</f>
        <v>900</v>
      </c>
      <c r="S64" s="12" t="n">
        <f aca="false">IF('Raw Data'!X76="",0,'Raw Data'!X76)</f>
        <v>900</v>
      </c>
      <c r="T64" s="12" t="n">
        <f aca="false">IF('Raw Data'!Y76="",0,'Raw Data'!Y76)</f>
        <v>1000</v>
      </c>
      <c r="U64" s="12" t="n">
        <f aca="false">IF('Raw Data'!Z76="",0,'Raw Data'!Z76)</f>
        <v>1000</v>
      </c>
      <c r="V64" s="12" t="n">
        <f aca="false">IF('Raw Data'!AA76="",0,'Raw Data'!AA76)</f>
        <v>1000</v>
      </c>
      <c r="W64" s="12" t="n">
        <f aca="false">IF('Raw Data'!AB76="",0,'Raw Data'!AB76)</f>
        <v>1000</v>
      </c>
      <c r="X64" s="12" t="n">
        <f aca="false">IF('Raw Data'!AC76="",0,'Raw Data'!AC76)</f>
        <v>1000</v>
      </c>
      <c r="Y64" s="12" t="n">
        <f aca="false">IF('Raw Data'!AD76="",0,'Raw Data'!AD76)</f>
        <v>1000</v>
      </c>
      <c r="Z64" s="12" t="n">
        <f aca="false">IF('Raw Data'!AE76="",0,'Raw Data'!AE76)</f>
        <v>1000</v>
      </c>
      <c r="AA64" s="12" t="n">
        <f aca="false">IF('Raw Data'!AF76="",0,'Raw Data'!AF76)</f>
        <v>1000</v>
      </c>
      <c r="AB64" s="12" t="n">
        <f aca="false">IF('Raw Data'!AG76="",0,'Raw Data'!AG76)</f>
        <v>1000</v>
      </c>
      <c r="AC64" s="12" t="n">
        <f aca="false">IF('Raw Data'!AH76="",0,'Raw Data'!AH76)</f>
        <v>1000</v>
      </c>
      <c r="AD64" s="12" t="n">
        <f aca="false">IF('Raw Data'!AI76="",0,'Raw Data'!AI76)</f>
        <v>1000</v>
      </c>
      <c r="AE64" s="12" t="n">
        <f aca="false">IF('Raw Data'!AJ76="",0,'Raw Data'!AJ76)</f>
        <v>1000</v>
      </c>
      <c r="AF64" s="12" t="n">
        <f aca="false">IF('Raw Data'!AK76="",0,'Raw Data'!AK76)</f>
        <v>1300</v>
      </c>
      <c r="AG64" s="12" t="n">
        <f aca="false">IF('Raw Data'!AL76="",0,'Raw Data'!AL76)</f>
        <v>1300</v>
      </c>
      <c r="AH64" s="12" t="n">
        <f aca="false">IF('Raw Data'!AM76="",0,'Raw Data'!AM76)</f>
        <v>1300</v>
      </c>
      <c r="AI64" s="12" t="n">
        <f aca="false">IF('Raw Data'!AN76="",0,'Raw Data'!AN76)</f>
        <v>1300</v>
      </c>
      <c r="AJ64" s="12" t="n">
        <f aca="false">IF('Raw Data'!AO76="",0,'Raw Data'!AO76)</f>
        <v>1300</v>
      </c>
      <c r="AK64" s="12" t="n">
        <f aca="false">IF('Raw Data'!AP76="",0,'Raw Data'!AP76)</f>
        <v>1300</v>
      </c>
      <c r="AL64" s="12" t="n">
        <f aca="false">IF('Raw Data'!AQ76="",0,'Raw Data'!AQ76)</f>
        <v>1300</v>
      </c>
      <c r="AM64" s="12" t="n">
        <f aca="false">IF('Raw Data'!AR76="",0,'Raw Data'!AR76)</f>
        <v>1300</v>
      </c>
      <c r="AN64" s="12" t="n">
        <f aca="false">IF('Raw Data'!AS76="",0,'Raw Data'!AS76)</f>
        <v>1300</v>
      </c>
      <c r="AO64" s="12" t="n">
        <f aca="false">IF('Raw Data'!AT76="",0,'Raw Data'!AT76)</f>
        <v>1300</v>
      </c>
      <c r="AP64" s="12" t="n">
        <f aca="false">IF('Raw Data'!AU76="",0,'Raw Data'!AU76)</f>
        <v>1300</v>
      </c>
      <c r="AQ64" s="12" t="n">
        <f aca="false">IF('Raw Data'!AV76="",0,'Raw Data'!AV76)</f>
        <v>1300</v>
      </c>
      <c r="AR64" s="12" t="n">
        <f aca="false">IF('Raw Data'!AW76="",0,'Raw Data'!AW76)</f>
        <v>1100</v>
      </c>
      <c r="AS64" s="12" t="n">
        <f aca="false">IF('Raw Data'!AX76="",0,'Raw Data'!AX76)</f>
        <v>1100</v>
      </c>
      <c r="AT64" s="12" t="n">
        <f aca="false">IF('Raw Data'!AY76="",0,'Raw Data'!AY76)</f>
        <v>1100</v>
      </c>
      <c r="AU64" s="12" t="n">
        <f aca="false">IF('Raw Data'!AZ76="",0,'Raw Data'!AZ76)</f>
        <v>1100</v>
      </c>
      <c r="AV64" s="12" t="n">
        <f aca="false">IF('Raw Data'!BA76="",0,'Raw Data'!BA76)</f>
        <v>1100</v>
      </c>
      <c r="AW64" s="12" t="n">
        <f aca="false">IF('Raw Data'!BB76="",0,'Raw Data'!BB76)</f>
        <v>1100</v>
      </c>
      <c r="AX64" s="12" t="n">
        <f aca="false">IF('Raw Data'!BC76="",0,'Raw Data'!BC76)</f>
        <v>1100</v>
      </c>
      <c r="AY64" s="12" t="n">
        <f aca="false">IF('Raw Data'!BD76="",0,'Raw Data'!BD76)</f>
        <v>1100</v>
      </c>
      <c r="AZ64" s="12" t="n">
        <f aca="false">IF('Raw Data'!BE76="",0,'Raw Data'!BE76)</f>
        <v>1100</v>
      </c>
      <c r="BA64" s="12" t="n">
        <f aca="false">IF('Raw Data'!BF76="",0,'Raw Data'!BF76)</f>
        <v>1100</v>
      </c>
      <c r="BB64" s="12" t="n">
        <f aca="false">IF('Raw Data'!BG76="",0,'Raw Data'!BG76)</f>
        <v>1100</v>
      </c>
      <c r="BC64" s="12" t="n">
        <f aca="false">IF('Raw Data'!BH76="",0,'Raw Data'!BH76)</f>
        <v>1100</v>
      </c>
      <c r="BD64" s="12" t="n">
        <f aca="false">IF('Raw Data'!BI76="",0,'Raw Data'!BI76)</f>
        <v>1000</v>
      </c>
      <c r="BE64" s="12" t="n">
        <f aca="false">IF('Raw Data'!BJ76="",0,'Raw Data'!BJ76)</f>
        <v>1000</v>
      </c>
      <c r="BF64" s="12" t="n">
        <f aca="false">IF('Raw Data'!BK76="",0,'Raw Data'!BK76)</f>
        <v>1000</v>
      </c>
      <c r="BG64" s="12" t="n">
        <f aca="false">IF('Raw Data'!BL76="",0,'Raw Data'!BL76)</f>
        <v>1000</v>
      </c>
      <c r="BH64" s="12" t="n">
        <f aca="false">IF('Raw Data'!BM76="",0,'Raw Data'!BM76)</f>
        <v>1000</v>
      </c>
      <c r="BI64" s="12" t="n">
        <f aca="false">IF('Raw Data'!BN76="",0,'Raw Data'!BN76)</f>
        <v>1000</v>
      </c>
      <c r="BJ64" s="12" t="n">
        <f aca="false">IF('Raw Data'!BO76="",0,'Raw Data'!BO76)</f>
        <v>1000</v>
      </c>
      <c r="BK64" s="12" t="n">
        <f aca="false">IF('Raw Data'!BP76="",0,'Raw Data'!BP76)</f>
        <v>1000</v>
      </c>
      <c r="BL64" s="12" t="n">
        <f aca="false">IF('Raw Data'!BQ76="",0,'Raw Data'!BQ76)</f>
        <v>1000</v>
      </c>
      <c r="BM64" s="12" t="n">
        <f aca="false">IF('Raw Data'!BR76="",0,'Raw Data'!BR76)</f>
        <v>1000</v>
      </c>
      <c r="BN64" s="12" t="n">
        <f aca="false">IF('Raw Data'!BS76="",0,'Raw Data'!BS76)</f>
        <v>1000</v>
      </c>
      <c r="BO64" s="21" t="b">
        <f aca="false">FALSE()</f>
        <v>0</v>
      </c>
    </row>
    <row r="65" customFormat="false" ht="15" hidden="false" customHeight="false" outlineLevel="0" collapsed="false">
      <c r="A65" s="20" t="str">
        <f aca="false">'Raw Data'!A77</f>
        <v>Local Account #67 from WA</v>
      </c>
      <c r="B65" s="12" t="n">
        <f aca="false">IF('Raw Data'!G77="",0,'Raw Data'!G77)</f>
        <v>0</v>
      </c>
      <c r="C65" s="12" t="n">
        <f aca="false">IF('Raw Data'!H77="",0,'Raw Data'!H77)</f>
        <v>0</v>
      </c>
      <c r="D65" s="12" t="n">
        <f aca="false">IF('Raw Data'!I77="",0,'Raw Data'!I77)</f>
        <v>0</v>
      </c>
      <c r="E65" s="12" t="n">
        <f aca="false">IF('Raw Data'!J77="",0,'Raw Data'!J77)</f>
        <v>0</v>
      </c>
      <c r="F65" s="12" t="n">
        <f aca="false">IF('Raw Data'!K77="",0,'Raw Data'!K77)</f>
        <v>0</v>
      </c>
      <c r="G65" s="12" t="n">
        <f aca="false">IF('Raw Data'!L77="",0,'Raw Data'!L77)</f>
        <v>1875</v>
      </c>
      <c r="H65" s="12" t="n">
        <f aca="false">IF('Raw Data'!M77="",0,'Raw Data'!M77)</f>
        <v>1875</v>
      </c>
      <c r="I65" s="12" t="n">
        <f aca="false">IF('Raw Data'!N77="",0,'Raw Data'!N77)</f>
        <v>1875</v>
      </c>
      <c r="J65" s="12" t="n">
        <f aca="false">IF('Raw Data'!O77="",0,'Raw Data'!O77)</f>
        <v>1875</v>
      </c>
      <c r="K65" s="12" t="n">
        <f aca="false">IF('Raw Data'!P77="",0,'Raw Data'!P77)</f>
        <v>1875</v>
      </c>
      <c r="L65" s="12" t="n">
        <f aca="false">IF('Raw Data'!Q77="",0,'Raw Data'!Q77)</f>
        <v>1875</v>
      </c>
      <c r="M65" s="12" t="n">
        <f aca="false">IF('Raw Data'!R77="",0,'Raw Data'!R77)</f>
        <v>1875</v>
      </c>
      <c r="N65" s="12" t="n">
        <f aca="false">IF('Raw Data'!S77="",0,'Raw Data'!S77)</f>
        <v>1875</v>
      </c>
      <c r="O65" s="12" t="n">
        <f aca="false">IF('Raw Data'!T77="",0,'Raw Data'!T77)</f>
        <v>2062.5</v>
      </c>
      <c r="P65" s="12" t="n">
        <f aca="false">IF('Raw Data'!U77="",0,'Raw Data'!U77)</f>
        <v>2062.5</v>
      </c>
      <c r="Q65" s="12" t="n">
        <f aca="false">IF('Raw Data'!V77="",0,'Raw Data'!V77)</f>
        <v>2062.5</v>
      </c>
      <c r="R65" s="12" t="n">
        <f aca="false">IF('Raw Data'!W77="",0,'Raw Data'!W77)</f>
        <v>2062.5</v>
      </c>
      <c r="S65" s="12" t="n">
        <f aca="false">IF('Raw Data'!X77="",0,'Raw Data'!X77)</f>
        <v>2062.5</v>
      </c>
      <c r="T65" s="12" t="n">
        <f aca="false">IF('Raw Data'!Y77="",0,'Raw Data'!Y77)</f>
        <v>2062.5</v>
      </c>
      <c r="U65" s="12" t="n">
        <f aca="false">IF('Raw Data'!Z77="",0,'Raw Data'!Z77)</f>
        <v>2062.5</v>
      </c>
      <c r="V65" s="12" t="n">
        <f aca="false">IF('Raw Data'!AA77="",0,'Raw Data'!AA77)</f>
        <v>2062.5</v>
      </c>
      <c r="W65" s="12" t="n">
        <f aca="false">IF('Raw Data'!AB77="",0,'Raw Data'!AB77)</f>
        <v>2062.5</v>
      </c>
      <c r="X65" s="12" t="n">
        <f aca="false">IF('Raw Data'!AC77="",0,'Raw Data'!AC77)</f>
        <v>2062.5</v>
      </c>
      <c r="Y65" s="12" t="n">
        <f aca="false">IF('Raw Data'!AD77="",0,'Raw Data'!AD77)</f>
        <v>2062.5</v>
      </c>
      <c r="Z65" s="12" t="n">
        <f aca="false">IF('Raw Data'!AE77="",0,'Raw Data'!AE77)</f>
        <v>2062.5</v>
      </c>
      <c r="AA65" s="12" t="n">
        <f aca="false">IF('Raw Data'!AF77="",0,'Raw Data'!AF77)</f>
        <v>4125</v>
      </c>
      <c r="AB65" s="12" t="n">
        <f aca="false">IF('Raw Data'!AG77="",0,'Raw Data'!AG77)</f>
        <v>4125</v>
      </c>
      <c r="AC65" s="12" t="n">
        <f aca="false">IF('Raw Data'!AH77="",0,'Raw Data'!AH77)</f>
        <v>4125</v>
      </c>
      <c r="AD65" s="12" t="n">
        <f aca="false">IF('Raw Data'!AI77="",0,'Raw Data'!AI77)</f>
        <v>4125</v>
      </c>
      <c r="AE65" s="12" t="n">
        <f aca="false">IF('Raw Data'!AJ77="",0,'Raw Data'!AJ77)</f>
        <v>4125</v>
      </c>
      <c r="AF65" s="12" t="n">
        <f aca="false">IF('Raw Data'!AK77="",0,'Raw Data'!AK77)</f>
        <v>4125</v>
      </c>
      <c r="AG65" s="12" t="n">
        <f aca="false">IF('Raw Data'!AL77="",0,'Raw Data'!AL77)</f>
        <v>4125</v>
      </c>
      <c r="AH65" s="12" t="n">
        <f aca="false">IF('Raw Data'!AM77="",0,'Raw Data'!AM77)</f>
        <v>4125</v>
      </c>
      <c r="AI65" s="12" t="n">
        <f aca="false">IF('Raw Data'!AN77="",0,'Raw Data'!AN77)</f>
        <v>4125</v>
      </c>
      <c r="AJ65" s="12" t="n">
        <f aca="false">IF('Raw Data'!AO77="",0,'Raw Data'!AO77)</f>
        <v>4125</v>
      </c>
      <c r="AK65" s="12" t="n">
        <f aca="false">IF('Raw Data'!AP77="",0,'Raw Data'!AP77)</f>
        <v>4125</v>
      </c>
      <c r="AL65" s="12" t="n">
        <f aca="false">IF('Raw Data'!AQ77="",0,'Raw Data'!AQ77)</f>
        <v>4125</v>
      </c>
      <c r="AM65" s="12" t="n">
        <f aca="false">IF('Raw Data'!AR77="",0,'Raw Data'!AR77)</f>
        <v>447.727272727273</v>
      </c>
      <c r="AN65" s="12" t="n">
        <f aca="false">IF('Raw Data'!AS77="",0,'Raw Data'!AS77)</f>
        <v>447.727272727273</v>
      </c>
      <c r="AO65" s="12" t="n">
        <f aca="false">IF('Raw Data'!AT77="",0,'Raw Data'!AT77)</f>
        <v>447.727272727273</v>
      </c>
      <c r="AP65" s="12" t="n">
        <f aca="false">IF('Raw Data'!AU77="",0,'Raw Data'!AU77)</f>
        <v>447.727272727273</v>
      </c>
      <c r="AQ65" s="12" t="n">
        <f aca="false">IF('Raw Data'!AV77="",0,'Raw Data'!AV77)</f>
        <v>447.727272727273</v>
      </c>
      <c r="AR65" s="12" t="n">
        <f aca="false">IF('Raw Data'!AW77="",0,'Raw Data'!AW77)</f>
        <v>447.727272727273</v>
      </c>
      <c r="AS65" s="12" t="n">
        <f aca="false">IF('Raw Data'!AX77="",0,'Raw Data'!AX77)</f>
        <v>447.727272727273</v>
      </c>
      <c r="AT65" s="12" t="n">
        <f aca="false">IF('Raw Data'!AY77="",0,'Raw Data'!AY77)</f>
        <v>447.727272727273</v>
      </c>
      <c r="AU65" s="12" t="n">
        <f aca="false">IF('Raw Data'!AZ77="",0,'Raw Data'!AZ77)</f>
        <v>2281.06060606061</v>
      </c>
      <c r="AV65" s="12" t="n">
        <f aca="false">IF('Raw Data'!BA77="",0,'Raw Data'!BA77)</f>
        <v>2281.06060606061</v>
      </c>
      <c r="AW65" s="12" t="n">
        <f aca="false">IF('Raw Data'!BB77="",0,'Raw Data'!BB77)</f>
        <v>3656.06060606061</v>
      </c>
      <c r="AX65" s="12" t="n">
        <f aca="false">IF('Raw Data'!BC77="",0,'Raw Data'!BC77)</f>
        <v>4812.5</v>
      </c>
      <c r="AY65" s="12" t="n">
        <f aca="false">IF('Raw Data'!BD77="",0,'Raw Data'!BD77)</f>
        <v>4812.5</v>
      </c>
      <c r="AZ65" s="12" t="n">
        <f aca="false">IF('Raw Data'!BE77="",0,'Raw Data'!BE77)</f>
        <v>4812.5</v>
      </c>
      <c r="BA65" s="12" t="n">
        <f aca="false">IF('Raw Data'!BF77="",0,'Raw Data'!BF77)</f>
        <v>5087.5</v>
      </c>
      <c r="BB65" s="12" t="n">
        <f aca="false">IF('Raw Data'!BG77="",0,'Raw Data'!BG77)</f>
        <v>5087.5</v>
      </c>
      <c r="BC65" s="12" t="n">
        <f aca="false">IF('Raw Data'!BH77="",0,'Raw Data'!BH77)</f>
        <v>5087.5</v>
      </c>
      <c r="BD65" s="12" t="n">
        <f aca="false">IF('Raw Data'!BI77="",0,'Raw Data'!BI77)</f>
        <v>5087.5</v>
      </c>
      <c r="BE65" s="12" t="n">
        <f aca="false">IF('Raw Data'!BJ77="",0,'Raw Data'!BJ77)</f>
        <v>5087.5</v>
      </c>
      <c r="BF65" s="12" t="n">
        <f aca="false">IF('Raw Data'!BK77="",0,'Raw Data'!BK77)</f>
        <v>5087.5</v>
      </c>
      <c r="BG65" s="12" t="n">
        <f aca="false">IF('Raw Data'!BL77="",0,'Raw Data'!BL77)</f>
        <v>5087.5</v>
      </c>
      <c r="BH65" s="12" t="n">
        <f aca="false">IF('Raw Data'!BM77="",0,'Raw Data'!BM77)</f>
        <v>5087.5</v>
      </c>
      <c r="BI65" s="12" t="n">
        <f aca="false">IF('Raw Data'!BN77="",0,'Raw Data'!BN77)</f>
        <v>5087.5</v>
      </c>
      <c r="BJ65" s="12" t="n">
        <f aca="false">IF('Raw Data'!BO77="",0,'Raw Data'!BO77)</f>
        <v>5087.5</v>
      </c>
      <c r="BK65" s="12" t="n">
        <f aca="false">IF('Raw Data'!BP77="",0,'Raw Data'!BP77)</f>
        <v>5087.5</v>
      </c>
      <c r="BL65" s="12" t="n">
        <f aca="false">IF('Raw Data'!BQ77="",0,'Raw Data'!BQ77)</f>
        <v>5087.5</v>
      </c>
      <c r="BM65" s="12" t="n">
        <f aca="false">IF('Raw Data'!BR77="",0,'Raw Data'!BR77)</f>
        <v>5087.5</v>
      </c>
      <c r="BN65" s="12" t="n">
        <f aca="false">IF('Raw Data'!BS77="",0,'Raw Data'!BS77)</f>
        <v>5087.5</v>
      </c>
      <c r="BO65" s="21" t="b">
        <f aca="false">FALSE()</f>
        <v>0</v>
      </c>
    </row>
    <row r="66" customFormat="false" ht="15" hidden="false" customHeight="false" outlineLevel="0" collapsed="false">
      <c r="A66" s="20" t="str">
        <f aca="false">'Raw Data'!A78</f>
        <v>Local Account #68 from FL</v>
      </c>
      <c r="B66" s="12" t="n">
        <f aca="false">IF('Raw Data'!G78="",0,'Raw Data'!G78)</f>
        <v>0</v>
      </c>
      <c r="C66" s="12" t="n">
        <f aca="false">IF('Raw Data'!H78="",0,'Raw Data'!H78)</f>
        <v>0</v>
      </c>
      <c r="D66" s="12" t="n">
        <f aca="false">IF('Raw Data'!I78="",0,'Raw Data'!I78)</f>
        <v>0</v>
      </c>
      <c r="E66" s="12" t="n">
        <f aca="false">IF('Raw Data'!J78="",0,'Raw Data'!J78)</f>
        <v>0</v>
      </c>
      <c r="F66" s="12" t="n">
        <f aca="false">IF('Raw Data'!K78="",0,'Raw Data'!K78)</f>
        <v>0</v>
      </c>
      <c r="G66" s="12" t="n">
        <f aca="false">IF('Raw Data'!L78="",0,'Raw Data'!L78)</f>
        <v>0</v>
      </c>
      <c r="H66" s="12" t="n">
        <f aca="false">IF('Raw Data'!M78="",0,'Raw Data'!M78)</f>
        <v>0</v>
      </c>
      <c r="I66" s="12" t="n">
        <f aca="false">IF('Raw Data'!N78="",0,'Raw Data'!N78)</f>
        <v>0</v>
      </c>
      <c r="J66" s="12" t="n">
        <f aca="false">IF('Raw Data'!O78="",0,'Raw Data'!O78)</f>
        <v>0</v>
      </c>
      <c r="K66" s="12" t="n">
        <f aca="false">IF('Raw Data'!P78="",0,'Raw Data'!P78)</f>
        <v>0</v>
      </c>
      <c r="L66" s="12" t="n">
        <f aca="false">IF('Raw Data'!Q78="",0,'Raw Data'!Q78)</f>
        <v>0</v>
      </c>
      <c r="M66" s="12" t="n">
        <f aca="false">IF('Raw Data'!R78="",0,'Raw Data'!R78)</f>
        <v>0</v>
      </c>
      <c r="N66" s="12" t="n">
        <f aca="false">IF('Raw Data'!S78="",0,'Raw Data'!S78)</f>
        <v>0</v>
      </c>
      <c r="O66" s="12" t="n">
        <f aca="false">IF('Raw Data'!T78="",0,'Raw Data'!T78)</f>
        <v>0</v>
      </c>
      <c r="P66" s="12" t="n">
        <f aca="false">IF('Raw Data'!U78="",0,'Raw Data'!U78)</f>
        <v>0</v>
      </c>
      <c r="Q66" s="12" t="n">
        <f aca="false">IF('Raw Data'!V78="",0,'Raw Data'!V78)</f>
        <v>0</v>
      </c>
      <c r="R66" s="12" t="n">
        <f aca="false">IF('Raw Data'!W78="",0,'Raw Data'!W78)</f>
        <v>0</v>
      </c>
      <c r="S66" s="12" t="n">
        <f aca="false">IF('Raw Data'!X78="",0,'Raw Data'!X78)</f>
        <v>0</v>
      </c>
      <c r="T66" s="12" t="n">
        <f aca="false">IF('Raw Data'!Y78="",0,'Raw Data'!Y78)</f>
        <v>0</v>
      </c>
      <c r="U66" s="12" t="n">
        <f aca="false">IF('Raw Data'!Z78="",0,'Raw Data'!Z78)</f>
        <v>0</v>
      </c>
      <c r="V66" s="12" t="n">
        <f aca="false">IF('Raw Data'!AA78="",0,'Raw Data'!AA78)</f>
        <v>0</v>
      </c>
      <c r="W66" s="12" t="n">
        <f aca="false">IF('Raw Data'!AB78="",0,'Raw Data'!AB78)</f>
        <v>0</v>
      </c>
      <c r="X66" s="12" t="n">
        <f aca="false">IF('Raw Data'!AC78="",0,'Raw Data'!AC78)</f>
        <v>0</v>
      </c>
      <c r="Y66" s="12" t="n">
        <f aca="false">IF('Raw Data'!AD78="",0,'Raw Data'!AD78)</f>
        <v>0</v>
      </c>
      <c r="Z66" s="12" t="n">
        <f aca="false">IF('Raw Data'!AE78="",0,'Raw Data'!AE78)</f>
        <v>0</v>
      </c>
      <c r="AA66" s="12" t="n">
        <f aca="false">IF('Raw Data'!AF78="",0,'Raw Data'!AF78)</f>
        <v>0</v>
      </c>
      <c r="AB66" s="12" t="n">
        <f aca="false">IF('Raw Data'!AG78="",0,'Raw Data'!AG78)</f>
        <v>0</v>
      </c>
      <c r="AC66" s="12" t="n">
        <f aca="false">IF('Raw Data'!AH78="",0,'Raw Data'!AH78)</f>
        <v>0</v>
      </c>
      <c r="AD66" s="12" t="n">
        <f aca="false">IF('Raw Data'!AI78="",0,'Raw Data'!AI78)</f>
        <v>0</v>
      </c>
      <c r="AE66" s="12" t="n">
        <f aca="false">IF('Raw Data'!AJ78="",0,'Raw Data'!AJ78)</f>
        <v>0</v>
      </c>
      <c r="AF66" s="12" t="n">
        <f aca="false">IF('Raw Data'!AK78="",0,'Raw Data'!AK78)</f>
        <v>0</v>
      </c>
      <c r="AG66" s="12" t="n">
        <f aca="false">IF('Raw Data'!AL78="",0,'Raw Data'!AL78)</f>
        <v>0</v>
      </c>
      <c r="AH66" s="12" t="n">
        <f aca="false">IF('Raw Data'!AM78="",0,'Raw Data'!AM78)</f>
        <v>0</v>
      </c>
      <c r="AI66" s="12" t="n">
        <f aca="false">IF('Raw Data'!AN78="",0,'Raw Data'!AN78)</f>
        <v>0</v>
      </c>
      <c r="AJ66" s="12" t="n">
        <f aca="false">IF('Raw Data'!AO78="",0,'Raw Data'!AO78)</f>
        <v>0</v>
      </c>
      <c r="AK66" s="12" t="n">
        <f aca="false">IF('Raw Data'!AP78="",0,'Raw Data'!AP78)</f>
        <v>0</v>
      </c>
      <c r="AL66" s="12" t="n">
        <f aca="false">IF('Raw Data'!AQ78="",0,'Raw Data'!AQ78)</f>
        <v>0</v>
      </c>
      <c r="AM66" s="12" t="n">
        <f aca="false">IF('Raw Data'!AR78="",0,'Raw Data'!AR78)</f>
        <v>0</v>
      </c>
      <c r="AN66" s="12" t="n">
        <f aca="false">IF('Raw Data'!AS78="",0,'Raw Data'!AS78)</f>
        <v>0</v>
      </c>
      <c r="AO66" s="12" t="n">
        <f aca="false">IF('Raw Data'!AT78="",0,'Raw Data'!AT78)</f>
        <v>0</v>
      </c>
      <c r="AP66" s="12" t="n">
        <f aca="false">IF('Raw Data'!AU78="",0,'Raw Data'!AU78)</f>
        <v>0</v>
      </c>
      <c r="AQ66" s="12" t="n">
        <f aca="false">IF('Raw Data'!AV78="",0,'Raw Data'!AV78)</f>
        <v>0</v>
      </c>
      <c r="AR66" s="12" t="n">
        <f aca="false">IF('Raw Data'!AW78="",0,'Raw Data'!AW78)</f>
        <v>0</v>
      </c>
      <c r="AS66" s="12" t="n">
        <f aca="false">IF('Raw Data'!AX78="",0,'Raw Data'!AX78)</f>
        <v>0</v>
      </c>
      <c r="AT66" s="12" t="n">
        <f aca="false">IF('Raw Data'!AY78="",0,'Raw Data'!AY78)</f>
        <v>0</v>
      </c>
      <c r="AU66" s="12" t="n">
        <f aca="false">IF('Raw Data'!AZ78="",0,'Raw Data'!AZ78)</f>
        <v>0</v>
      </c>
      <c r="AV66" s="12" t="n">
        <f aca="false">IF('Raw Data'!BA78="",0,'Raw Data'!BA78)</f>
        <v>0</v>
      </c>
      <c r="AW66" s="12" t="n">
        <f aca="false">IF('Raw Data'!BB78="",0,'Raw Data'!BB78)</f>
        <v>0</v>
      </c>
      <c r="AX66" s="12" t="n">
        <f aca="false">IF('Raw Data'!BC78="",0,'Raw Data'!BC78)</f>
        <v>0</v>
      </c>
      <c r="AY66" s="12" t="n">
        <f aca="false">IF('Raw Data'!BD78="",0,'Raw Data'!BD78)</f>
        <v>250</v>
      </c>
      <c r="AZ66" s="12" t="n">
        <f aca="false">IF('Raw Data'!BE78="",0,'Raw Data'!BE78)</f>
        <v>250</v>
      </c>
      <c r="BA66" s="12" t="n">
        <f aca="false">IF('Raw Data'!BF78="",0,'Raw Data'!BF78)</f>
        <v>250</v>
      </c>
      <c r="BB66" s="12" t="n">
        <f aca="false">IF('Raw Data'!BG78="",0,'Raw Data'!BG78)</f>
        <v>250</v>
      </c>
      <c r="BC66" s="12" t="n">
        <f aca="false">IF('Raw Data'!BH78="",0,'Raw Data'!BH78)</f>
        <v>250</v>
      </c>
      <c r="BD66" s="12" t="n">
        <f aca="false">IF('Raw Data'!BI78="",0,'Raw Data'!BI78)</f>
        <v>250</v>
      </c>
      <c r="BE66" s="12" t="n">
        <f aca="false">IF('Raw Data'!BJ78="",0,'Raw Data'!BJ78)</f>
        <v>250</v>
      </c>
      <c r="BF66" s="12" t="n">
        <f aca="false">IF('Raw Data'!BK78="",0,'Raw Data'!BK78)</f>
        <v>250</v>
      </c>
      <c r="BG66" s="12" t="n">
        <f aca="false">IF('Raw Data'!BL78="",0,'Raw Data'!BL78)</f>
        <v>250</v>
      </c>
      <c r="BH66" s="12" t="n">
        <f aca="false">IF('Raw Data'!BM78="",0,'Raw Data'!BM78)</f>
        <v>250</v>
      </c>
      <c r="BI66" s="12" t="n">
        <f aca="false">IF('Raw Data'!BN78="",0,'Raw Data'!BN78)</f>
        <v>250</v>
      </c>
      <c r="BJ66" s="12" t="n">
        <f aca="false">IF('Raw Data'!BO78="",0,'Raw Data'!BO78)</f>
        <v>250</v>
      </c>
      <c r="BK66" s="12" t="n">
        <f aca="false">IF('Raw Data'!BP78="",0,'Raw Data'!BP78)</f>
        <v>125</v>
      </c>
      <c r="BL66" s="12" t="n">
        <f aca="false">IF('Raw Data'!BQ78="",0,'Raw Data'!BQ78)</f>
        <v>125</v>
      </c>
      <c r="BM66" s="12" t="n">
        <f aca="false">IF('Raw Data'!BR78="",0,'Raw Data'!BR78)</f>
        <v>125</v>
      </c>
      <c r="BN66" s="12" t="n">
        <f aca="false">IF('Raw Data'!BS78="",0,'Raw Data'!BS78)</f>
        <v>125</v>
      </c>
      <c r="BO66" s="21" t="b">
        <f aca="false">FALSE()</f>
        <v>0</v>
      </c>
    </row>
    <row r="67" customFormat="false" ht="15" hidden="false" customHeight="false" outlineLevel="0" collapsed="false">
      <c r="A67" s="20" t="str">
        <f aca="false">'Raw Data'!A79</f>
        <v>Local Account #69 from PA</v>
      </c>
      <c r="B67" s="12" t="n">
        <f aca="false">IF('Raw Data'!G79="",0,'Raw Data'!G79)</f>
        <v>1602.6</v>
      </c>
      <c r="C67" s="12" t="n">
        <f aca="false">IF('Raw Data'!H79="",0,'Raw Data'!H79)</f>
        <v>1602.6</v>
      </c>
      <c r="D67" s="12" t="n">
        <f aca="false">IF('Raw Data'!I79="",0,'Raw Data'!I79)</f>
        <v>1602.6</v>
      </c>
      <c r="E67" s="12" t="n">
        <f aca="false">IF('Raw Data'!J79="",0,'Raw Data'!J79)</f>
        <v>1602.6</v>
      </c>
      <c r="F67" s="12" t="n">
        <f aca="false">IF('Raw Data'!K79="",0,'Raw Data'!K79)</f>
        <v>1602.6</v>
      </c>
      <c r="G67" s="12" t="n">
        <f aca="false">IF('Raw Data'!L79="",0,'Raw Data'!L79)</f>
        <v>1602.6</v>
      </c>
      <c r="H67" s="12" t="n">
        <f aca="false">IF('Raw Data'!M79="",0,'Raw Data'!M79)</f>
        <v>1602.6</v>
      </c>
      <c r="I67" s="12" t="n">
        <f aca="false">IF('Raw Data'!N79="",0,'Raw Data'!N79)</f>
        <v>1602.6</v>
      </c>
      <c r="J67" s="12" t="n">
        <f aca="false">IF('Raw Data'!O79="",0,'Raw Data'!O79)</f>
        <v>1602.6</v>
      </c>
      <c r="K67" s="12" t="n">
        <f aca="false">IF('Raw Data'!P79="",0,'Raw Data'!P79)</f>
        <v>1602.6</v>
      </c>
      <c r="L67" s="12" t="n">
        <f aca="false">IF('Raw Data'!Q79="",0,'Raw Data'!Q79)</f>
        <v>1602.6</v>
      </c>
      <c r="M67" s="12" t="n">
        <f aca="false">IF('Raw Data'!R79="",0,'Raw Data'!R79)</f>
        <v>1602.6</v>
      </c>
      <c r="N67" s="12" t="n">
        <f aca="false">IF('Raw Data'!S79="",0,'Raw Data'!S79)</f>
        <v>1602.6</v>
      </c>
      <c r="O67" s="12" t="n">
        <f aca="false">IF('Raw Data'!T79="",0,'Raw Data'!T79)</f>
        <v>1762.86</v>
      </c>
      <c r="P67" s="12" t="n">
        <f aca="false">IF('Raw Data'!U79="",0,'Raw Data'!U79)</f>
        <v>1762.86</v>
      </c>
      <c r="Q67" s="12" t="n">
        <f aca="false">IF('Raw Data'!V79="",0,'Raw Data'!V79)</f>
        <v>1762.86</v>
      </c>
      <c r="R67" s="12" t="n">
        <f aca="false">IF('Raw Data'!W79="",0,'Raw Data'!W79)</f>
        <v>1762.86</v>
      </c>
      <c r="S67" s="12" t="n">
        <f aca="false">IF('Raw Data'!X79="",0,'Raw Data'!X79)</f>
        <v>1762.86</v>
      </c>
      <c r="T67" s="12" t="n">
        <f aca="false">IF('Raw Data'!Y79="",0,'Raw Data'!Y79)</f>
        <v>1762.86</v>
      </c>
      <c r="U67" s="12" t="n">
        <f aca="false">IF('Raw Data'!Z79="",0,'Raw Data'!Z79)</f>
        <v>1762.86</v>
      </c>
      <c r="V67" s="12" t="n">
        <f aca="false">IF('Raw Data'!AA79="",0,'Raw Data'!AA79)</f>
        <v>1762.86</v>
      </c>
      <c r="W67" s="12" t="n">
        <f aca="false">IF('Raw Data'!AB79="",0,'Raw Data'!AB79)</f>
        <v>1762.86</v>
      </c>
      <c r="X67" s="12" t="n">
        <f aca="false">IF('Raw Data'!AC79="",0,'Raw Data'!AC79)</f>
        <v>1762.86</v>
      </c>
      <c r="Y67" s="12" t="n">
        <f aca="false">IF('Raw Data'!AD79="",0,'Raw Data'!AD79)</f>
        <v>1762.86</v>
      </c>
      <c r="Z67" s="12" t="n">
        <f aca="false">IF('Raw Data'!AE79="",0,'Raw Data'!AE79)</f>
        <v>1762.86</v>
      </c>
      <c r="AA67" s="12" t="n">
        <f aca="false">IF('Raw Data'!AF79="",0,'Raw Data'!AF79)</f>
        <v>1762.86</v>
      </c>
      <c r="AB67" s="12" t="n">
        <f aca="false">IF('Raw Data'!AG79="",0,'Raw Data'!AG79)</f>
        <v>1762.86</v>
      </c>
      <c r="AC67" s="12" t="n">
        <f aca="false">IF('Raw Data'!AH79="",0,'Raw Data'!AH79)</f>
        <v>1762.86</v>
      </c>
      <c r="AD67" s="12" t="n">
        <f aca="false">IF('Raw Data'!AI79="",0,'Raw Data'!AI79)</f>
        <v>1762.86</v>
      </c>
      <c r="AE67" s="12" t="n">
        <f aca="false">IF('Raw Data'!AJ79="",0,'Raw Data'!AJ79)</f>
        <v>1762.86</v>
      </c>
      <c r="AF67" s="12" t="n">
        <f aca="false">IF('Raw Data'!AK79="",0,'Raw Data'!AK79)</f>
        <v>1762.86</v>
      </c>
      <c r="AG67" s="12" t="n">
        <f aca="false">IF('Raw Data'!AL79="",0,'Raw Data'!AL79)</f>
        <v>1762.86</v>
      </c>
      <c r="AH67" s="12" t="n">
        <f aca="false">IF('Raw Data'!AM79="",0,'Raw Data'!AM79)</f>
        <v>1762.86</v>
      </c>
      <c r="AI67" s="12" t="n">
        <f aca="false">IF('Raw Data'!AN79="",0,'Raw Data'!AN79)</f>
        <v>1762.86</v>
      </c>
      <c r="AJ67" s="12" t="n">
        <f aca="false">IF('Raw Data'!AO79="",0,'Raw Data'!AO79)</f>
        <v>1762.86</v>
      </c>
      <c r="AK67" s="12" t="n">
        <f aca="false">IF('Raw Data'!AP79="",0,'Raw Data'!AP79)</f>
        <v>1762.86</v>
      </c>
      <c r="AL67" s="12" t="n">
        <f aca="false">IF('Raw Data'!AQ79="",0,'Raw Data'!AQ79)</f>
        <v>1762.86</v>
      </c>
      <c r="AM67" s="12" t="n">
        <f aca="false">IF('Raw Data'!AR79="",0,'Raw Data'!AR79)</f>
        <v>1762.86</v>
      </c>
      <c r="AN67" s="12" t="n">
        <f aca="false">IF('Raw Data'!AS79="",0,'Raw Data'!AS79)</f>
        <v>1762.86</v>
      </c>
      <c r="AO67" s="12" t="n">
        <f aca="false">IF('Raw Data'!AT79="",0,'Raw Data'!AT79)</f>
        <v>1762.86</v>
      </c>
      <c r="AP67" s="12" t="n">
        <f aca="false">IF('Raw Data'!AU79="",0,'Raw Data'!AU79)</f>
        <v>1762.86</v>
      </c>
      <c r="AQ67" s="12" t="n">
        <f aca="false">IF('Raw Data'!AV79="",0,'Raw Data'!AV79)</f>
        <v>1762.86</v>
      </c>
      <c r="AR67" s="12" t="n">
        <f aca="false">IF('Raw Data'!AW79="",0,'Raw Data'!AW79)</f>
        <v>1762.86</v>
      </c>
      <c r="AS67" s="12" t="n">
        <f aca="false">IF('Raw Data'!AX79="",0,'Raw Data'!AX79)</f>
        <v>1762.86</v>
      </c>
      <c r="AT67" s="12" t="n">
        <f aca="false">IF('Raw Data'!AY79="",0,'Raw Data'!AY79)</f>
        <v>1762.86</v>
      </c>
      <c r="AU67" s="12" t="n">
        <f aca="false">IF('Raw Data'!AZ79="",0,'Raw Data'!AZ79)</f>
        <v>1762.86</v>
      </c>
      <c r="AV67" s="12" t="n">
        <f aca="false">IF('Raw Data'!BA79="",0,'Raw Data'!BA79)</f>
        <v>1762.86</v>
      </c>
      <c r="AW67" s="12" t="n">
        <f aca="false">IF('Raw Data'!BB79="",0,'Raw Data'!BB79)</f>
        <v>1762.86</v>
      </c>
      <c r="AX67" s="12" t="n">
        <f aca="false">IF('Raw Data'!BC79="",0,'Raw Data'!BC79)</f>
        <v>1762.86</v>
      </c>
      <c r="AY67" s="12" t="n">
        <f aca="false">IF('Raw Data'!BD79="",0,'Raw Data'!BD79)</f>
        <v>1762.86</v>
      </c>
      <c r="AZ67" s="12" t="n">
        <f aca="false">IF('Raw Data'!BE79="",0,'Raw Data'!BE79)</f>
        <v>1762.86</v>
      </c>
      <c r="BA67" s="12" t="n">
        <f aca="false">IF('Raw Data'!BF79="",0,'Raw Data'!BF79)</f>
        <v>1762.86</v>
      </c>
      <c r="BB67" s="12" t="n">
        <f aca="false">IF('Raw Data'!BG79="",0,'Raw Data'!BG79)</f>
        <v>1762.86</v>
      </c>
      <c r="BC67" s="12" t="n">
        <f aca="false">IF('Raw Data'!BH79="",0,'Raw Data'!BH79)</f>
        <v>1762.86</v>
      </c>
      <c r="BD67" s="12" t="n">
        <f aca="false">IF('Raw Data'!BI79="",0,'Raw Data'!BI79)</f>
        <v>1762.86</v>
      </c>
      <c r="BE67" s="12" t="n">
        <f aca="false">IF('Raw Data'!BJ79="",0,'Raw Data'!BJ79)</f>
        <v>1762.86</v>
      </c>
      <c r="BF67" s="12" t="n">
        <f aca="false">IF('Raw Data'!BK79="",0,'Raw Data'!BK79)</f>
        <v>1762.86</v>
      </c>
      <c r="BG67" s="12" t="n">
        <f aca="false">IF('Raw Data'!BL79="",0,'Raw Data'!BL79)</f>
        <v>1762.86</v>
      </c>
      <c r="BH67" s="12" t="n">
        <f aca="false">IF('Raw Data'!BM79="",0,'Raw Data'!BM79)</f>
        <v>1762.86</v>
      </c>
      <c r="BI67" s="12" t="n">
        <f aca="false">IF('Raw Data'!BN79="",0,'Raw Data'!BN79)</f>
        <v>1762.86</v>
      </c>
      <c r="BJ67" s="12" t="n">
        <f aca="false">IF('Raw Data'!BO79="",0,'Raw Data'!BO79)</f>
        <v>1762.86</v>
      </c>
      <c r="BK67" s="12" t="n">
        <f aca="false">IF('Raw Data'!BP79="",0,'Raw Data'!BP79)</f>
        <v>2259.20833333333</v>
      </c>
      <c r="BL67" s="12" t="n">
        <f aca="false">IF('Raw Data'!BQ79="",0,'Raw Data'!BQ79)</f>
        <v>2259.20833333333</v>
      </c>
      <c r="BM67" s="12" t="n">
        <f aca="false">IF('Raw Data'!BR79="",0,'Raw Data'!BR79)</f>
        <v>2259.20833333333</v>
      </c>
      <c r="BN67" s="12" t="n">
        <f aca="false">IF('Raw Data'!BS79="",0,'Raw Data'!BS79)</f>
        <v>2259.20833333333</v>
      </c>
      <c r="BO67" s="21" t="b">
        <f aca="false">FALSE()</f>
        <v>0</v>
      </c>
    </row>
    <row r="68" customFormat="false" ht="15" hidden="false" customHeight="false" outlineLevel="0" collapsed="false">
      <c r="A68" s="20" t="str">
        <f aca="false">'Raw Data'!A18</f>
        <v>Local Account #7 from MD</v>
      </c>
      <c r="B68" s="12" t="n">
        <f aca="false">IF('Raw Data'!G18="",0,'Raw Data'!G18)</f>
        <v>0</v>
      </c>
      <c r="C68" s="12" t="n">
        <f aca="false">IF('Raw Data'!H18="",0,'Raw Data'!H18)</f>
        <v>0</v>
      </c>
      <c r="D68" s="12" t="n">
        <f aca="false">IF('Raw Data'!I18="",0,'Raw Data'!I18)</f>
        <v>0</v>
      </c>
      <c r="E68" s="12" t="n">
        <f aca="false">IF('Raw Data'!J18="",0,'Raw Data'!J18)</f>
        <v>0</v>
      </c>
      <c r="F68" s="12" t="n">
        <f aca="false">IF('Raw Data'!K18="",0,'Raw Data'!K18)</f>
        <v>0</v>
      </c>
      <c r="G68" s="12" t="n">
        <f aca="false">IF('Raw Data'!L18="",0,'Raw Data'!L18)</f>
        <v>0</v>
      </c>
      <c r="H68" s="12" t="n">
        <f aca="false">IF('Raw Data'!M18="",0,'Raw Data'!M18)</f>
        <v>0</v>
      </c>
      <c r="I68" s="12" t="n">
        <f aca="false">IF('Raw Data'!N18="",0,'Raw Data'!N18)</f>
        <v>0</v>
      </c>
      <c r="J68" s="12" t="n">
        <f aca="false">IF('Raw Data'!O18="",0,'Raw Data'!O18)</f>
        <v>0</v>
      </c>
      <c r="K68" s="12" t="n">
        <f aca="false">IF('Raw Data'!P18="",0,'Raw Data'!P18)</f>
        <v>0</v>
      </c>
      <c r="L68" s="12" t="n">
        <f aca="false">IF('Raw Data'!Q18="",0,'Raw Data'!Q18)</f>
        <v>0</v>
      </c>
      <c r="M68" s="12" t="n">
        <f aca="false">IF('Raw Data'!R18="",0,'Raw Data'!R18)</f>
        <v>0</v>
      </c>
      <c r="N68" s="12" t="n">
        <f aca="false">IF('Raw Data'!S18="",0,'Raw Data'!S18)</f>
        <v>0</v>
      </c>
      <c r="O68" s="12" t="n">
        <f aca="false">IF('Raw Data'!T18="",0,'Raw Data'!T18)</f>
        <v>0</v>
      </c>
      <c r="P68" s="12" t="n">
        <f aca="false">IF('Raw Data'!U18="",0,'Raw Data'!U18)</f>
        <v>0</v>
      </c>
      <c r="Q68" s="12" t="n">
        <f aca="false">IF('Raw Data'!V18="",0,'Raw Data'!V18)</f>
        <v>0</v>
      </c>
      <c r="R68" s="12" t="n">
        <f aca="false">IF('Raw Data'!W18="",0,'Raw Data'!W18)</f>
        <v>0</v>
      </c>
      <c r="S68" s="12" t="n">
        <f aca="false">IF('Raw Data'!X18="",0,'Raw Data'!X18)</f>
        <v>0</v>
      </c>
      <c r="T68" s="12" t="n">
        <f aca="false">IF('Raw Data'!Y18="",0,'Raw Data'!Y18)</f>
        <v>0</v>
      </c>
      <c r="U68" s="12" t="n">
        <f aca="false">IF('Raw Data'!Z18="",0,'Raw Data'!Z18)</f>
        <v>104.166666666667</v>
      </c>
      <c r="V68" s="12" t="n">
        <f aca="false">IF('Raw Data'!AA18="",0,'Raw Data'!AA18)</f>
        <v>104.166666666667</v>
      </c>
      <c r="W68" s="12" t="n">
        <f aca="false">IF('Raw Data'!AB18="",0,'Raw Data'!AB18)</f>
        <v>104.166666666667</v>
      </c>
      <c r="X68" s="12" t="n">
        <f aca="false">IF('Raw Data'!AC18="",0,'Raw Data'!AC18)</f>
        <v>104.166666666667</v>
      </c>
      <c r="Y68" s="12" t="n">
        <f aca="false">IF('Raw Data'!AD18="",0,'Raw Data'!AD18)</f>
        <v>104.166666666667</v>
      </c>
      <c r="Z68" s="12" t="n">
        <f aca="false">IF('Raw Data'!AE18="",0,'Raw Data'!AE18)</f>
        <v>104.166666666667</v>
      </c>
      <c r="AA68" s="12" t="n">
        <f aca="false">IF('Raw Data'!AF18="",0,'Raw Data'!AF18)</f>
        <v>104.166666666667</v>
      </c>
      <c r="AB68" s="12" t="n">
        <f aca="false">IF('Raw Data'!AG18="",0,'Raw Data'!AG18)</f>
        <v>104.166666666667</v>
      </c>
      <c r="AC68" s="12" t="n">
        <f aca="false">IF('Raw Data'!AH18="",0,'Raw Data'!AH18)</f>
        <v>104.166666666667</v>
      </c>
      <c r="AD68" s="12" t="n">
        <f aca="false">IF('Raw Data'!AI18="",0,'Raw Data'!AI18)</f>
        <v>104.166666666667</v>
      </c>
      <c r="AE68" s="12" t="n">
        <f aca="false">IF('Raw Data'!AJ18="",0,'Raw Data'!AJ18)</f>
        <v>104.166666666667</v>
      </c>
      <c r="AF68" s="12" t="n">
        <f aca="false">IF('Raw Data'!AK18="",0,'Raw Data'!AK18)</f>
        <v>104.166666666667</v>
      </c>
      <c r="AG68" s="12" t="n">
        <f aca="false">IF('Raw Data'!AL18="",0,'Raw Data'!AL18)</f>
        <v>104.166666666667</v>
      </c>
      <c r="AH68" s="12" t="n">
        <f aca="false">IF('Raw Data'!AM18="",0,'Raw Data'!AM18)</f>
        <v>104.166666666667</v>
      </c>
      <c r="AI68" s="12" t="n">
        <f aca="false">IF('Raw Data'!AN18="",0,'Raw Data'!AN18)</f>
        <v>104.166666666667</v>
      </c>
      <c r="AJ68" s="12" t="n">
        <f aca="false">IF('Raw Data'!AO18="",0,'Raw Data'!AO18)</f>
        <v>104.166666666667</v>
      </c>
      <c r="AK68" s="12" t="n">
        <f aca="false">IF('Raw Data'!AP18="",0,'Raw Data'!AP18)</f>
        <v>104.166666666667</v>
      </c>
      <c r="AL68" s="12" t="n">
        <f aca="false">IF('Raw Data'!AQ18="",0,'Raw Data'!AQ18)</f>
        <v>104.166666666667</v>
      </c>
      <c r="AM68" s="12" t="n">
        <f aca="false">IF('Raw Data'!AR18="",0,'Raw Data'!AR18)</f>
        <v>104.166666666667</v>
      </c>
      <c r="AN68" s="12" t="n">
        <f aca="false">IF('Raw Data'!AS18="",0,'Raw Data'!AS18)</f>
        <v>104.166666666667</v>
      </c>
      <c r="AO68" s="12" t="n">
        <f aca="false">IF('Raw Data'!AT18="",0,'Raw Data'!AT18)</f>
        <v>104.166666666667</v>
      </c>
      <c r="AP68" s="12" t="n">
        <f aca="false">IF('Raw Data'!AU18="",0,'Raw Data'!AU18)</f>
        <v>104.166666666667</v>
      </c>
      <c r="AQ68" s="12" t="n">
        <f aca="false">IF('Raw Data'!AV18="",0,'Raw Data'!AV18)</f>
        <v>104.166666666667</v>
      </c>
      <c r="AR68" s="12" t="n">
        <f aca="false">IF('Raw Data'!AW18="",0,'Raw Data'!AW18)</f>
        <v>104.166666666667</v>
      </c>
      <c r="AS68" s="12" t="n">
        <f aca="false">IF('Raw Data'!AX18="",0,'Raw Data'!AX18)</f>
        <v>34.7233333333333</v>
      </c>
      <c r="AT68" s="12" t="n">
        <f aca="false">IF('Raw Data'!AY18="",0,'Raw Data'!AY18)</f>
        <v>34.7233333333333</v>
      </c>
      <c r="AU68" s="12" t="n">
        <f aca="false">IF('Raw Data'!AZ18="",0,'Raw Data'!AZ18)</f>
        <v>34.7233333333333</v>
      </c>
      <c r="AV68" s="12" t="n">
        <f aca="false">IF('Raw Data'!BA18="",0,'Raw Data'!BA18)</f>
        <v>34.7233333333333</v>
      </c>
      <c r="AW68" s="12" t="n">
        <f aca="false">IF('Raw Data'!BB18="",0,'Raw Data'!BB18)</f>
        <v>34.7233333333333</v>
      </c>
      <c r="AX68" s="12" t="n">
        <f aca="false">IF('Raw Data'!BC18="",0,'Raw Data'!BC18)</f>
        <v>34.7233333333333</v>
      </c>
      <c r="AY68" s="12" t="n">
        <f aca="false">IF('Raw Data'!BD18="",0,'Raw Data'!BD18)</f>
        <v>34.7233333333333</v>
      </c>
      <c r="AZ68" s="12" t="n">
        <f aca="false">IF('Raw Data'!BE18="",0,'Raw Data'!BE18)</f>
        <v>34.7233333333333</v>
      </c>
      <c r="BA68" s="12" t="n">
        <f aca="false">IF('Raw Data'!BF18="",0,'Raw Data'!BF18)</f>
        <v>451.393333333333</v>
      </c>
      <c r="BB68" s="12" t="n">
        <f aca="false">IF('Raw Data'!BG18="",0,'Raw Data'!BG18)</f>
        <v>555.563333333333</v>
      </c>
      <c r="BC68" s="12" t="n">
        <f aca="false">IF('Raw Data'!BH18="",0,'Raw Data'!BH18)</f>
        <v>555.563333333333</v>
      </c>
      <c r="BD68" s="12" t="n">
        <f aca="false">IF('Raw Data'!BI18="",0,'Raw Data'!BI18)</f>
        <v>555.563333333333</v>
      </c>
      <c r="BE68" s="12" t="n">
        <f aca="false">IF('Raw Data'!BJ18="",0,'Raw Data'!BJ18)</f>
        <v>703.106666666667</v>
      </c>
      <c r="BF68" s="12" t="n">
        <f aca="false">IF('Raw Data'!BK18="",0,'Raw Data'!BK18)</f>
        <v>703.106666666667</v>
      </c>
      <c r="BG68" s="12" t="n">
        <f aca="false">IF('Raw Data'!BL18="",0,'Raw Data'!BL18)</f>
        <v>703.106666666667</v>
      </c>
      <c r="BH68" s="12" t="n">
        <f aca="false">IF('Raw Data'!BM18="",0,'Raw Data'!BM18)</f>
        <v>703.106666666667</v>
      </c>
      <c r="BI68" s="12" t="n">
        <f aca="false">IF('Raw Data'!BN18="",0,'Raw Data'!BN18)</f>
        <v>703.106666666667</v>
      </c>
      <c r="BJ68" s="12" t="n">
        <f aca="false">IF('Raw Data'!BO18="",0,'Raw Data'!BO18)</f>
        <v>703.106666666667</v>
      </c>
      <c r="BK68" s="12" t="n">
        <f aca="false">IF('Raw Data'!BP18="",0,'Raw Data'!BP18)</f>
        <v>703.106666666667</v>
      </c>
      <c r="BL68" s="12" t="n">
        <f aca="false">IF('Raw Data'!BQ18="",0,'Raw Data'!BQ18)</f>
        <v>703.106666666667</v>
      </c>
      <c r="BM68" s="12" t="n">
        <f aca="false">IF('Raw Data'!BR18="",0,'Raw Data'!BR18)</f>
        <v>703.106666666667</v>
      </c>
      <c r="BN68" s="12" t="n">
        <f aca="false">IF('Raw Data'!BS18="",0,'Raw Data'!BS18)</f>
        <v>703.106666666667</v>
      </c>
      <c r="BO68" s="21" t="b">
        <f aca="false">FALSE()</f>
        <v>0</v>
      </c>
    </row>
    <row r="69" customFormat="false" ht="15" hidden="false" customHeight="false" outlineLevel="0" collapsed="false">
      <c r="A69" s="20" t="str">
        <f aca="false">'Raw Data'!A80</f>
        <v>Local Account #70 from PA</v>
      </c>
      <c r="B69" s="12" t="n">
        <f aca="false">IF('Raw Data'!G80="",0,'Raw Data'!G80)</f>
        <v>0</v>
      </c>
      <c r="C69" s="12" t="n">
        <f aca="false">IF('Raw Data'!H80="",0,'Raw Data'!H80)</f>
        <v>0</v>
      </c>
      <c r="D69" s="12" t="n">
        <f aca="false">IF('Raw Data'!I80="",0,'Raw Data'!I80)</f>
        <v>0</v>
      </c>
      <c r="E69" s="12" t="n">
        <f aca="false">IF('Raw Data'!J80="",0,'Raw Data'!J80)</f>
        <v>0</v>
      </c>
      <c r="F69" s="12" t="n">
        <f aca="false">IF('Raw Data'!K80="",0,'Raw Data'!K80)</f>
        <v>0</v>
      </c>
      <c r="G69" s="12" t="n">
        <f aca="false">IF('Raw Data'!L80="",0,'Raw Data'!L80)</f>
        <v>0</v>
      </c>
      <c r="H69" s="12" t="n">
        <f aca="false">IF('Raw Data'!M80="",0,'Raw Data'!M80)</f>
        <v>0</v>
      </c>
      <c r="I69" s="12" t="n">
        <f aca="false">IF('Raw Data'!N80="",0,'Raw Data'!N80)</f>
        <v>0</v>
      </c>
      <c r="J69" s="12" t="n">
        <f aca="false">IF('Raw Data'!O80="",0,'Raw Data'!O80)</f>
        <v>0</v>
      </c>
      <c r="K69" s="12" t="n">
        <f aca="false">IF('Raw Data'!P80="",0,'Raw Data'!P80)</f>
        <v>0</v>
      </c>
      <c r="L69" s="12" t="n">
        <f aca="false">IF('Raw Data'!Q80="",0,'Raw Data'!Q80)</f>
        <v>0</v>
      </c>
      <c r="M69" s="12" t="n">
        <f aca="false">IF('Raw Data'!R80="",0,'Raw Data'!R80)</f>
        <v>0</v>
      </c>
      <c r="N69" s="12" t="n">
        <f aca="false">IF('Raw Data'!S80="",0,'Raw Data'!S80)</f>
        <v>0</v>
      </c>
      <c r="O69" s="12" t="n">
        <f aca="false">IF('Raw Data'!T80="",0,'Raw Data'!T80)</f>
        <v>0</v>
      </c>
      <c r="P69" s="12" t="n">
        <f aca="false">IF('Raw Data'!U80="",0,'Raw Data'!U80)</f>
        <v>0</v>
      </c>
      <c r="Q69" s="12" t="n">
        <f aca="false">IF('Raw Data'!V80="",0,'Raw Data'!V80)</f>
        <v>0</v>
      </c>
      <c r="R69" s="12" t="n">
        <f aca="false">IF('Raw Data'!W80="",0,'Raw Data'!W80)</f>
        <v>0</v>
      </c>
      <c r="S69" s="12" t="n">
        <f aca="false">IF('Raw Data'!X80="",0,'Raw Data'!X80)</f>
        <v>0</v>
      </c>
      <c r="T69" s="12" t="n">
        <f aca="false">IF('Raw Data'!Y80="",0,'Raw Data'!Y80)</f>
        <v>0</v>
      </c>
      <c r="U69" s="12" t="n">
        <f aca="false">IF('Raw Data'!Z80="",0,'Raw Data'!Z80)</f>
        <v>0</v>
      </c>
      <c r="V69" s="12" t="n">
        <f aca="false">IF('Raw Data'!AA80="",0,'Raw Data'!AA80)</f>
        <v>0</v>
      </c>
      <c r="W69" s="12" t="n">
        <f aca="false">IF('Raw Data'!AB80="",0,'Raw Data'!AB80)</f>
        <v>0</v>
      </c>
      <c r="X69" s="12" t="n">
        <f aca="false">IF('Raw Data'!AC80="",0,'Raw Data'!AC80)</f>
        <v>0</v>
      </c>
      <c r="Y69" s="12" t="n">
        <f aca="false">IF('Raw Data'!AD80="",0,'Raw Data'!AD80)</f>
        <v>0</v>
      </c>
      <c r="Z69" s="12" t="n">
        <f aca="false">IF('Raw Data'!AE80="",0,'Raw Data'!AE80)</f>
        <v>0</v>
      </c>
      <c r="AA69" s="12" t="n">
        <f aca="false">IF('Raw Data'!AF80="",0,'Raw Data'!AF80)</f>
        <v>0</v>
      </c>
      <c r="AB69" s="12" t="n">
        <f aca="false">IF('Raw Data'!AG80="",0,'Raw Data'!AG80)</f>
        <v>0</v>
      </c>
      <c r="AC69" s="12" t="n">
        <f aca="false">IF('Raw Data'!AH80="",0,'Raw Data'!AH80)</f>
        <v>0</v>
      </c>
      <c r="AD69" s="12" t="n">
        <f aca="false">IF('Raw Data'!AI80="",0,'Raw Data'!AI80)</f>
        <v>0</v>
      </c>
      <c r="AE69" s="12" t="n">
        <f aca="false">IF('Raw Data'!AJ80="",0,'Raw Data'!AJ80)</f>
        <v>0</v>
      </c>
      <c r="AF69" s="12" t="n">
        <f aca="false">IF('Raw Data'!AK80="",0,'Raw Data'!AK80)</f>
        <v>0</v>
      </c>
      <c r="AG69" s="12" t="n">
        <f aca="false">IF('Raw Data'!AL80="",0,'Raw Data'!AL80)</f>
        <v>0</v>
      </c>
      <c r="AH69" s="12" t="n">
        <f aca="false">IF('Raw Data'!AM80="",0,'Raw Data'!AM80)</f>
        <v>0</v>
      </c>
      <c r="AI69" s="12" t="n">
        <f aca="false">IF('Raw Data'!AN80="",0,'Raw Data'!AN80)</f>
        <v>0</v>
      </c>
      <c r="AJ69" s="12" t="n">
        <f aca="false">IF('Raw Data'!AO80="",0,'Raw Data'!AO80)</f>
        <v>0</v>
      </c>
      <c r="AK69" s="12" t="n">
        <f aca="false">IF('Raw Data'!AP80="",0,'Raw Data'!AP80)</f>
        <v>0</v>
      </c>
      <c r="AL69" s="12" t="n">
        <f aca="false">IF('Raw Data'!AQ80="",0,'Raw Data'!AQ80)</f>
        <v>0</v>
      </c>
      <c r="AM69" s="12" t="n">
        <f aca="false">IF('Raw Data'!AR80="",0,'Raw Data'!AR80)</f>
        <v>0</v>
      </c>
      <c r="AN69" s="12" t="n">
        <f aca="false">IF('Raw Data'!AS80="",0,'Raw Data'!AS80)</f>
        <v>0</v>
      </c>
      <c r="AO69" s="12" t="n">
        <f aca="false">IF('Raw Data'!AT80="",0,'Raw Data'!AT80)</f>
        <v>0</v>
      </c>
      <c r="AP69" s="12" t="n">
        <f aca="false">IF('Raw Data'!AU80="",0,'Raw Data'!AU80)</f>
        <v>0</v>
      </c>
      <c r="AQ69" s="12" t="n">
        <f aca="false">IF('Raw Data'!AV80="",0,'Raw Data'!AV80)</f>
        <v>0</v>
      </c>
      <c r="AR69" s="12" t="n">
        <f aca="false">IF('Raw Data'!AW80="",0,'Raw Data'!AW80)</f>
        <v>0</v>
      </c>
      <c r="AS69" s="12" t="n">
        <f aca="false">IF('Raw Data'!AX80="",0,'Raw Data'!AX80)</f>
        <v>0</v>
      </c>
      <c r="AT69" s="12" t="n">
        <f aca="false">IF('Raw Data'!AY80="",0,'Raw Data'!AY80)</f>
        <v>0</v>
      </c>
      <c r="AU69" s="12" t="n">
        <f aca="false">IF('Raw Data'!AZ80="",0,'Raw Data'!AZ80)</f>
        <v>0</v>
      </c>
      <c r="AV69" s="12" t="n">
        <f aca="false">IF('Raw Data'!BA80="",0,'Raw Data'!BA80)</f>
        <v>5483.33333333333</v>
      </c>
      <c r="AW69" s="12" t="n">
        <f aca="false">IF('Raw Data'!BB80="",0,'Raw Data'!BB80)</f>
        <v>5483.33333333333</v>
      </c>
      <c r="AX69" s="12" t="n">
        <f aca="false">IF('Raw Data'!BC80="",0,'Raw Data'!BC80)</f>
        <v>5483.33333333333</v>
      </c>
      <c r="AY69" s="12" t="n">
        <f aca="false">IF('Raw Data'!BD80="",0,'Raw Data'!BD80)</f>
        <v>5483.33333333333</v>
      </c>
      <c r="AZ69" s="12" t="n">
        <f aca="false">IF('Raw Data'!BE80="",0,'Raw Data'!BE80)</f>
        <v>5483.33333333333</v>
      </c>
      <c r="BA69" s="12" t="n">
        <f aca="false">IF('Raw Data'!BF80="",0,'Raw Data'!BF80)</f>
        <v>7254.18047619048</v>
      </c>
      <c r="BB69" s="12" t="n">
        <f aca="false">IF('Raw Data'!BG80="",0,'Raw Data'!BG80)</f>
        <v>7254.18047619048</v>
      </c>
      <c r="BC69" s="12" t="n">
        <f aca="false">IF('Raw Data'!BH80="",0,'Raw Data'!BH80)</f>
        <v>7520.85047619048</v>
      </c>
      <c r="BD69" s="12" t="n">
        <f aca="false">IF('Raw Data'!BI80="",0,'Raw Data'!BI80)</f>
        <v>8041.70047619048</v>
      </c>
      <c r="BE69" s="12" t="n">
        <f aca="false">IF('Raw Data'!BJ80="",0,'Raw Data'!BJ80)</f>
        <v>8041.70047619048</v>
      </c>
      <c r="BF69" s="12" t="n">
        <f aca="false">IF('Raw Data'!BK80="",0,'Raw Data'!BK80)</f>
        <v>8041.70047619048</v>
      </c>
      <c r="BG69" s="12" t="n">
        <f aca="false">IF('Raw Data'!BL80="",0,'Raw Data'!BL80)</f>
        <v>8041.70047619048</v>
      </c>
      <c r="BH69" s="12" t="n">
        <f aca="false">IF('Raw Data'!BM80="",0,'Raw Data'!BM80)</f>
        <v>6708.33333333333</v>
      </c>
      <c r="BI69" s="12" t="n">
        <f aca="false">IF('Raw Data'!BN80="",0,'Raw Data'!BN80)</f>
        <v>6708.33333333333</v>
      </c>
      <c r="BJ69" s="12" t="n">
        <f aca="false">IF('Raw Data'!BO80="",0,'Raw Data'!BO80)</f>
        <v>8208.33333333333</v>
      </c>
      <c r="BK69" s="12" t="n">
        <f aca="false">IF('Raw Data'!BP80="",0,'Raw Data'!BP80)</f>
        <v>8208.33333333333</v>
      </c>
      <c r="BL69" s="12" t="n">
        <f aca="false">IF('Raw Data'!BQ80="",0,'Raw Data'!BQ80)</f>
        <v>8208.33333333333</v>
      </c>
      <c r="BM69" s="12" t="n">
        <f aca="false">IF('Raw Data'!BR80="",0,'Raw Data'!BR80)</f>
        <v>12558.3333333333</v>
      </c>
      <c r="BN69" s="12" t="n">
        <f aca="false">IF('Raw Data'!BS80="",0,'Raw Data'!BS80)</f>
        <v>12558.3333333333</v>
      </c>
      <c r="BO69" s="21" t="b">
        <f aca="false">FALSE()</f>
        <v>0</v>
      </c>
    </row>
    <row r="70" customFormat="false" ht="15" hidden="false" customHeight="false" outlineLevel="0" collapsed="false">
      <c r="A70" s="20" t="str">
        <f aca="false">'Raw Data'!A81</f>
        <v>Local Account #71 from NJ</v>
      </c>
      <c r="B70" s="12" t="n">
        <f aca="false">IF('Raw Data'!G81="",0,'Raw Data'!G81)</f>
        <v>5166.66666666667</v>
      </c>
      <c r="C70" s="12" t="n">
        <f aca="false">IF('Raw Data'!H81="",0,'Raw Data'!H81)</f>
        <v>5166.66666666667</v>
      </c>
      <c r="D70" s="12" t="n">
        <f aca="false">IF('Raw Data'!I81="",0,'Raw Data'!I81)</f>
        <v>5166.66666666667</v>
      </c>
      <c r="E70" s="12" t="n">
        <f aca="false">IF('Raw Data'!J81="",0,'Raw Data'!J81)</f>
        <v>5166.66666666667</v>
      </c>
      <c r="F70" s="12" t="n">
        <f aca="false">IF('Raw Data'!K81="",0,'Raw Data'!K81)</f>
        <v>5166.66666666667</v>
      </c>
      <c r="G70" s="12" t="n">
        <f aca="false">IF('Raw Data'!L81="",0,'Raw Data'!L81)</f>
        <v>5166.66666666667</v>
      </c>
      <c r="H70" s="12" t="n">
        <f aca="false">IF('Raw Data'!M81="",0,'Raw Data'!M81)</f>
        <v>5166.66666666667</v>
      </c>
      <c r="I70" s="12" t="n">
        <f aca="false">IF('Raw Data'!N81="",0,'Raw Data'!N81)</f>
        <v>5166.66666666667</v>
      </c>
      <c r="J70" s="12" t="n">
        <f aca="false">IF('Raw Data'!O81="",0,'Raw Data'!O81)</f>
        <v>5166.66666666667</v>
      </c>
      <c r="K70" s="12" t="n">
        <f aca="false">IF('Raw Data'!P81="",0,'Raw Data'!P81)</f>
        <v>5166.66666666667</v>
      </c>
      <c r="L70" s="12" t="n">
        <f aca="false">IF('Raw Data'!Q81="",0,'Raw Data'!Q81)</f>
        <v>5166.66666666667</v>
      </c>
      <c r="M70" s="12" t="n">
        <f aca="false">IF('Raw Data'!R81="",0,'Raw Data'!R81)</f>
        <v>5166.66666666667</v>
      </c>
      <c r="N70" s="12" t="n">
        <f aca="false">IF('Raw Data'!S81="",0,'Raw Data'!S81)</f>
        <v>5166.66666666667</v>
      </c>
      <c r="O70" s="12" t="n">
        <f aca="false">IF('Raw Data'!T81="",0,'Raw Data'!T81)</f>
        <v>5166.66666666667</v>
      </c>
      <c r="P70" s="12" t="n">
        <f aca="false">IF('Raw Data'!U81="",0,'Raw Data'!U81)</f>
        <v>5166.66666666667</v>
      </c>
      <c r="Q70" s="12" t="n">
        <f aca="false">IF('Raw Data'!V81="",0,'Raw Data'!V81)</f>
        <v>4566.66666666667</v>
      </c>
      <c r="R70" s="12" t="n">
        <f aca="false">IF('Raw Data'!W81="",0,'Raw Data'!W81)</f>
        <v>4566.66666666667</v>
      </c>
      <c r="S70" s="12" t="n">
        <f aca="false">IF('Raw Data'!X81="",0,'Raw Data'!X81)</f>
        <v>4566.66666666667</v>
      </c>
      <c r="T70" s="12" t="n">
        <f aca="false">IF('Raw Data'!Y81="",0,'Raw Data'!Y81)</f>
        <v>4566.66666666667</v>
      </c>
      <c r="U70" s="12" t="n">
        <f aca="false">IF('Raw Data'!Z81="",0,'Raw Data'!Z81)</f>
        <v>4566.66666666667</v>
      </c>
      <c r="V70" s="12" t="n">
        <f aca="false">IF('Raw Data'!AA81="",0,'Raw Data'!AA81)</f>
        <v>4566.66666666667</v>
      </c>
      <c r="W70" s="12" t="n">
        <f aca="false">IF('Raw Data'!AB81="",0,'Raw Data'!AB81)</f>
        <v>4566.66666666667</v>
      </c>
      <c r="X70" s="12" t="n">
        <f aca="false">IF('Raw Data'!AC81="",0,'Raw Data'!AC81)</f>
        <v>4566.66666666667</v>
      </c>
      <c r="Y70" s="12" t="n">
        <f aca="false">IF('Raw Data'!AD81="",0,'Raw Data'!AD81)</f>
        <v>4566.66666666667</v>
      </c>
      <c r="Z70" s="12" t="n">
        <f aca="false">IF('Raw Data'!AE81="",0,'Raw Data'!AE81)</f>
        <v>4666.66666666667</v>
      </c>
      <c r="AA70" s="12" t="n">
        <f aca="false">IF('Raw Data'!AF81="",0,'Raw Data'!AF81)</f>
        <v>4666.66666666667</v>
      </c>
      <c r="AB70" s="12" t="n">
        <f aca="false">IF('Raw Data'!AG81="",0,'Raw Data'!AG81)</f>
        <v>4666.66666666667</v>
      </c>
      <c r="AC70" s="12" t="n">
        <f aca="false">IF('Raw Data'!AH81="",0,'Raw Data'!AH81)</f>
        <v>4666.66666666667</v>
      </c>
      <c r="AD70" s="12" t="n">
        <f aca="false">IF('Raw Data'!AI81="",0,'Raw Data'!AI81)</f>
        <v>4666.66666666667</v>
      </c>
      <c r="AE70" s="12" t="n">
        <f aca="false">IF('Raw Data'!AJ81="",0,'Raw Data'!AJ81)</f>
        <v>4666.66666666667</v>
      </c>
      <c r="AF70" s="12" t="n">
        <f aca="false">IF('Raw Data'!AK81="",0,'Raw Data'!AK81)</f>
        <v>4666.66666666667</v>
      </c>
      <c r="AG70" s="12" t="n">
        <f aca="false">IF('Raw Data'!AL81="",0,'Raw Data'!AL81)</f>
        <v>4666.66666666667</v>
      </c>
      <c r="AH70" s="12" t="n">
        <f aca="false">IF('Raw Data'!AM81="",0,'Raw Data'!AM81)</f>
        <v>4666.66666666667</v>
      </c>
      <c r="AI70" s="12" t="n">
        <f aca="false">IF('Raw Data'!AN81="",0,'Raw Data'!AN81)</f>
        <v>4666.66666666667</v>
      </c>
      <c r="AJ70" s="12" t="n">
        <f aca="false">IF('Raw Data'!AO81="",0,'Raw Data'!AO81)</f>
        <v>4666.66666666667</v>
      </c>
      <c r="AK70" s="12" t="n">
        <f aca="false">IF('Raw Data'!AP81="",0,'Raw Data'!AP81)</f>
        <v>4666.66666666667</v>
      </c>
      <c r="AL70" s="12" t="n">
        <f aca="false">IF('Raw Data'!AQ81="",0,'Raw Data'!AQ81)</f>
        <v>4666.66666666667</v>
      </c>
      <c r="AM70" s="12" t="n">
        <f aca="false">IF('Raw Data'!AR81="",0,'Raw Data'!AR81)</f>
        <v>4666.66666666667</v>
      </c>
      <c r="AN70" s="12" t="n">
        <f aca="false">IF('Raw Data'!AS81="",0,'Raw Data'!AS81)</f>
        <v>4666.66666666667</v>
      </c>
      <c r="AO70" s="12" t="n">
        <f aca="false">IF('Raw Data'!AT81="",0,'Raw Data'!AT81)</f>
        <v>4666.66666666667</v>
      </c>
      <c r="AP70" s="12" t="n">
        <f aca="false">IF('Raw Data'!AU81="",0,'Raw Data'!AU81)</f>
        <v>4666.66666666667</v>
      </c>
      <c r="AQ70" s="12" t="n">
        <f aca="false">IF('Raw Data'!AV81="",0,'Raw Data'!AV81)</f>
        <v>4666.66666666667</v>
      </c>
      <c r="AR70" s="12" t="n">
        <f aca="false">IF('Raw Data'!AW81="",0,'Raw Data'!AW81)</f>
        <v>4666.66666666667</v>
      </c>
      <c r="AS70" s="12" t="n">
        <f aca="false">IF('Raw Data'!AX81="",0,'Raw Data'!AX81)</f>
        <v>4666.66666666667</v>
      </c>
      <c r="AT70" s="12" t="n">
        <f aca="false">IF('Raw Data'!AY81="",0,'Raw Data'!AY81)</f>
        <v>4666.66666666667</v>
      </c>
      <c r="AU70" s="12" t="n">
        <f aca="false">IF('Raw Data'!AZ81="",0,'Raw Data'!AZ81)</f>
        <v>4666.66666666667</v>
      </c>
      <c r="AV70" s="12" t="n">
        <f aca="false">IF('Raw Data'!BA81="",0,'Raw Data'!BA81)</f>
        <v>4666.66666666667</v>
      </c>
      <c r="AW70" s="12" t="n">
        <f aca="false">IF('Raw Data'!BB81="",0,'Raw Data'!BB81)</f>
        <v>4666.66666666667</v>
      </c>
      <c r="AX70" s="12" t="n">
        <f aca="false">IF('Raw Data'!BC81="",0,'Raw Data'!BC81)</f>
        <v>4666.66666666667</v>
      </c>
      <c r="AY70" s="12" t="n">
        <f aca="false">IF('Raw Data'!BD81="",0,'Raw Data'!BD81)</f>
        <v>4666.66666666667</v>
      </c>
      <c r="AZ70" s="12" t="n">
        <f aca="false">IF('Raw Data'!BE81="",0,'Raw Data'!BE81)</f>
        <v>4666.66666666667</v>
      </c>
      <c r="BA70" s="12" t="n">
        <f aca="false">IF('Raw Data'!BF81="",0,'Raw Data'!BF81)</f>
        <v>4666.66666666667</v>
      </c>
      <c r="BB70" s="12" t="n">
        <f aca="false">IF('Raw Data'!BG81="",0,'Raw Data'!BG81)</f>
        <v>4666.66666666667</v>
      </c>
      <c r="BC70" s="12" t="n">
        <f aca="false">IF('Raw Data'!BH81="",0,'Raw Data'!BH81)</f>
        <v>4666.66666666667</v>
      </c>
      <c r="BD70" s="12" t="n">
        <f aca="false">IF('Raw Data'!BI81="",0,'Raw Data'!BI81)</f>
        <v>4666.66666666667</v>
      </c>
      <c r="BE70" s="12" t="n">
        <f aca="false">IF('Raw Data'!BJ81="",0,'Raw Data'!BJ81)</f>
        <v>4666.66666666667</v>
      </c>
      <c r="BF70" s="12" t="n">
        <f aca="false">IF('Raw Data'!BK81="",0,'Raw Data'!BK81)</f>
        <v>4666.66666666667</v>
      </c>
      <c r="BG70" s="12" t="n">
        <f aca="false">IF('Raw Data'!BL81="",0,'Raw Data'!BL81)</f>
        <v>4666.66666666667</v>
      </c>
      <c r="BH70" s="12" t="n">
        <f aca="false">IF('Raw Data'!BM81="",0,'Raw Data'!BM81)</f>
        <v>4666.66666666667</v>
      </c>
      <c r="BI70" s="12" t="n">
        <f aca="false">IF('Raw Data'!BN81="",0,'Raw Data'!BN81)</f>
        <v>4666.66666666667</v>
      </c>
      <c r="BJ70" s="12" t="n">
        <f aca="false">IF('Raw Data'!BO81="",0,'Raw Data'!BO81)</f>
        <v>4666.66666666667</v>
      </c>
      <c r="BK70" s="12" t="n">
        <f aca="false">IF('Raw Data'!BP81="",0,'Raw Data'!BP81)</f>
        <v>4666.66666666667</v>
      </c>
      <c r="BL70" s="12" t="n">
        <f aca="false">IF('Raw Data'!BQ81="",0,'Raw Data'!BQ81)</f>
        <v>4666.66666666667</v>
      </c>
      <c r="BM70" s="12" t="n">
        <f aca="false">IF('Raw Data'!BR81="",0,'Raw Data'!BR81)</f>
        <v>4876.66666666667</v>
      </c>
      <c r="BN70" s="12" t="n">
        <f aca="false">IF('Raw Data'!BS81="",0,'Raw Data'!BS81)</f>
        <v>4876.66666666667</v>
      </c>
      <c r="BO70" s="21" t="b">
        <f aca="false">FALSE()</f>
        <v>0</v>
      </c>
    </row>
    <row r="71" customFormat="false" ht="15" hidden="false" customHeight="false" outlineLevel="0" collapsed="false">
      <c r="A71" s="20" t="str">
        <f aca="false">'Raw Data'!A82</f>
        <v>Local Account #72 from AZ</v>
      </c>
      <c r="B71" s="12" t="n">
        <f aca="false">IF('Raw Data'!G82="",0,'Raw Data'!G82)</f>
        <v>0</v>
      </c>
      <c r="C71" s="12" t="n">
        <f aca="false">IF('Raw Data'!H82="",0,'Raw Data'!H82)</f>
        <v>0</v>
      </c>
      <c r="D71" s="12" t="n">
        <f aca="false">IF('Raw Data'!I82="",0,'Raw Data'!I82)</f>
        <v>0</v>
      </c>
      <c r="E71" s="12" t="n">
        <f aca="false">IF('Raw Data'!J82="",0,'Raw Data'!J82)</f>
        <v>0</v>
      </c>
      <c r="F71" s="12" t="n">
        <f aca="false">IF('Raw Data'!K82="",0,'Raw Data'!K82)</f>
        <v>0</v>
      </c>
      <c r="G71" s="12" t="n">
        <f aca="false">IF('Raw Data'!L82="",0,'Raw Data'!L82)</f>
        <v>0</v>
      </c>
      <c r="H71" s="12" t="n">
        <f aca="false">IF('Raw Data'!M82="",0,'Raw Data'!M82)</f>
        <v>0</v>
      </c>
      <c r="I71" s="12" t="n">
        <f aca="false">IF('Raw Data'!N82="",0,'Raw Data'!N82)</f>
        <v>0</v>
      </c>
      <c r="J71" s="12" t="n">
        <f aca="false">IF('Raw Data'!O82="",0,'Raw Data'!O82)</f>
        <v>0</v>
      </c>
      <c r="K71" s="12" t="n">
        <f aca="false">IF('Raw Data'!P82="",0,'Raw Data'!P82)</f>
        <v>0</v>
      </c>
      <c r="L71" s="12" t="n">
        <f aca="false">IF('Raw Data'!Q82="",0,'Raw Data'!Q82)</f>
        <v>0</v>
      </c>
      <c r="M71" s="12" t="n">
        <f aca="false">IF('Raw Data'!R82="",0,'Raw Data'!R82)</f>
        <v>0</v>
      </c>
      <c r="N71" s="12" t="n">
        <f aca="false">IF('Raw Data'!S82="",0,'Raw Data'!S82)</f>
        <v>0</v>
      </c>
      <c r="O71" s="12" t="n">
        <f aca="false">IF('Raw Data'!T82="",0,'Raw Data'!T82)</f>
        <v>0</v>
      </c>
      <c r="P71" s="12" t="n">
        <f aca="false">IF('Raw Data'!U82="",0,'Raw Data'!U82)</f>
        <v>0</v>
      </c>
      <c r="Q71" s="12" t="n">
        <f aca="false">IF('Raw Data'!V82="",0,'Raw Data'!V82)</f>
        <v>0</v>
      </c>
      <c r="R71" s="12" t="n">
        <f aca="false">IF('Raw Data'!W82="",0,'Raw Data'!W82)</f>
        <v>0</v>
      </c>
      <c r="S71" s="12" t="n">
        <f aca="false">IF('Raw Data'!X82="",0,'Raw Data'!X82)</f>
        <v>0</v>
      </c>
      <c r="T71" s="12" t="n">
        <f aca="false">IF('Raw Data'!Y82="",0,'Raw Data'!Y82)</f>
        <v>0</v>
      </c>
      <c r="U71" s="12" t="n">
        <f aca="false">IF('Raw Data'!Z82="",0,'Raw Data'!Z82)</f>
        <v>0</v>
      </c>
      <c r="V71" s="12" t="n">
        <f aca="false">IF('Raw Data'!AA82="",0,'Raw Data'!AA82)</f>
        <v>0</v>
      </c>
      <c r="W71" s="12" t="n">
        <f aca="false">IF('Raw Data'!AB82="",0,'Raw Data'!AB82)</f>
        <v>0</v>
      </c>
      <c r="X71" s="12" t="n">
        <f aca="false">IF('Raw Data'!AC82="",0,'Raw Data'!AC82)</f>
        <v>0</v>
      </c>
      <c r="Y71" s="12" t="n">
        <f aca="false">IF('Raw Data'!AD82="",0,'Raw Data'!AD82)</f>
        <v>0</v>
      </c>
      <c r="Z71" s="12" t="n">
        <f aca="false">IF('Raw Data'!AE82="",0,'Raw Data'!AE82)</f>
        <v>14305.4166666667</v>
      </c>
      <c r="AA71" s="12" t="n">
        <f aca="false">IF('Raw Data'!AF82="",0,'Raw Data'!AF82)</f>
        <v>14305.4166666667</v>
      </c>
      <c r="AB71" s="12" t="n">
        <f aca="false">IF('Raw Data'!AG82="",0,'Raw Data'!AG82)</f>
        <v>14305.4166666667</v>
      </c>
      <c r="AC71" s="12" t="n">
        <f aca="false">IF('Raw Data'!AH82="",0,'Raw Data'!AH82)</f>
        <v>14305.4166666667</v>
      </c>
      <c r="AD71" s="12" t="n">
        <f aca="false">IF('Raw Data'!AI82="",0,'Raw Data'!AI82)</f>
        <v>14305.4166666667</v>
      </c>
      <c r="AE71" s="12" t="n">
        <f aca="false">IF('Raw Data'!AJ82="",0,'Raw Data'!AJ82)</f>
        <v>14305.4166666667</v>
      </c>
      <c r="AF71" s="12" t="n">
        <f aca="false">IF('Raw Data'!AK82="",0,'Raw Data'!AK82)</f>
        <v>14305.4166666667</v>
      </c>
      <c r="AG71" s="12" t="n">
        <f aca="false">IF('Raw Data'!AL82="",0,'Raw Data'!AL82)</f>
        <v>14305.4166666667</v>
      </c>
      <c r="AH71" s="12" t="n">
        <f aca="false">IF('Raw Data'!AM82="",0,'Raw Data'!AM82)</f>
        <v>14305.4166666667</v>
      </c>
      <c r="AI71" s="12" t="n">
        <f aca="false">IF('Raw Data'!AN82="",0,'Raw Data'!AN82)</f>
        <v>14305.4166666667</v>
      </c>
      <c r="AJ71" s="12" t="n">
        <f aca="false">IF('Raw Data'!AO82="",0,'Raw Data'!AO82)</f>
        <v>14305.4166666667</v>
      </c>
      <c r="AK71" s="12" t="n">
        <f aca="false">IF('Raw Data'!AP82="",0,'Raw Data'!AP82)</f>
        <v>14305.4166666667</v>
      </c>
      <c r="AL71" s="12" t="n">
        <f aca="false">IF('Raw Data'!AQ82="",0,'Raw Data'!AQ82)</f>
        <v>14305.4166666667</v>
      </c>
      <c r="AM71" s="12" t="n">
        <f aca="false">IF('Raw Data'!AR82="",0,'Raw Data'!AR82)</f>
        <v>14305.4166666667</v>
      </c>
      <c r="AN71" s="12" t="n">
        <f aca="false">IF('Raw Data'!AS82="",0,'Raw Data'!AS82)</f>
        <v>14305.4166666667</v>
      </c>
      <c r="AO71" s="12" t="n">
        <f aca="false">IF('Raw Data'!AT82="",0,'Raw Data'!AT82)</f>
        <v>14305.4166666667</v>
      </c>
      <c r="AP71" s="12" t="n">
        <f aca="false">IF('Raw Data'!AU82="",0,'Raw Data'!AU82)</f>
        <v>14305.4166666667</v>
      </c>
      <c r="AQ71" s="12" t="n">
        <f aca="false">IF('Raw Data'!AV82="",0,'Raw Data'!AV82)</f>
        <v>14305.4166666667</v>
      </c>
      <c r="AR71" s="12" t="n">
        <f aca="false">IF('Raw Data'!AW82="",0,'Raw Data'!AW82)</f>
        <v>14305.4166666667</v>
      </c>
      <c r="AS71" s="12" t="n">
        <f aca="false">IF('Raw Data'!AX82="",0,'Raw Data'!AX82)</f>
        <v>14305.4166666667</v>
      </c>
      <c r="AT71" s="12" t="n">
        <f aca="false">IF('Raw Data'!AY82="",0,'Raw Data'!AY82)</f>
        <v>14305.4166666667</v>
      </c>
      <c r="AU71" s="12" t="n">
        <f aca="false">IF('Raw Data'!AZ82="",0,'Raw Data'!AZ82)</f>
        <v>14305.4166666667</v>
      </c>
      <c r="AV71" s="12" t="n">
        <f aca="false">IF('Raw Data'!BA82="",0,'Raw Data'!BA82)</f>
        <v>14305.4166666667</v>
      </c>
      <c r="AW71" s="12" t="n">
        <f aca="false">IF('Raw Data'!BB82="",0,'Raw Data'!BB82)</f>
        <v>14305.4166666667</v>
      </c>
      <c r="AX71" s="12" t="n">
        <f aca="false">IF('Raw Data'!BC82="",0,'Raw Data'!BC82)</f>
        <v>14305.4166666667</v>
      </c>
      <c r="AY71" s="12" t="n">
        <f aca="false">IF('Raw Data'!BD82="",0,'Raw Data'!BD82)</f>
        <v>14305.4166666667</v>
      </c>
      <c r="AZ71" s="12" t="n">
        <f aca="false">IF('Raw Data'!BE82="",0,'Raw Data'!BE82)</f>
        <v>14305.4166666667</v>
      </c>
      <c r="BA71" s="12" t="n">
        <f aca="false">IF('Raw Data'!BF82="",0,'Raw Data'!BF82)</f>
        <v>14305.4166666667</v>
      </c>
      <c r="BB71" s="12" t="n">
        <f aca="false">IF('Raw Data'!BG82="",0,'Raw Data'!BG82)</f>
        <v>14305.4166666667</v>
      </c>
      <c r="BC71" s="12" t="n">
        <f aca="false">IF('Raw Data'!BH82="",0,'Raw Data'!BH82)</f>
        <v>14305.4166666667</v>
      </c>
      <c r="BD71" s="12" t="n">
        <f aca="false">IF('Raw Data'!BI82="",0,'Raw Data'!BI82)</f>
        <v>14305.4166666667</v>
      </c>
      <c r="BE71" s="12" t="n">
        <f aca="false">IF('Raw Data'!BJ82="",0,'Raw Data'!BJ82)</f>
        <v>14305.4166666667</v>
      </c>
      <c r="BF71" s="12" t="n">
        <f aca="false">IF('Raw Data'!BK82="",0,'Raw Data'!BK82)</f>
        <v>14305.4166666667</v>
      </c>
      <c r="BG71" s="12" t="n">
        <f aca="false">IF('Raw Data'!BL82="",0,'Raw Data'!BL82)</f>
        <v>14305.4166666667</v>
      </c>
      <c r="BH71" s="12" t="n">
        <f aca="false">IF('Raw Data'!BM82="",0,'Raw Data'!BM82)</f>
        <v>14305.4166666667</v>
      </c>
      <c r="BI71" s="12" t="n">
        <f aca="false">IF('Raw Data'!BN82="",0,'Raw Data'!BN82)</f>
        <v>14305.4166666667</v>
      </c>
      <c r="BJ71" s="12" t="n">
        <f aca="false">IF('Raw Data'!BO82="",0,'Raw Data'!BO82)</f>
        <v>14305.4166666667</v>
      </c>
      <c r="BK71" s="12" t="n">
        <f aca="false">IF('Raw Data'!BP82="",0,'Raw Data'!BP82)</f>
        <v>14305.4166666667</v>
      </c>
      <c r="BL71" s="12" t="n">
        <f aca="false">IF('Raw Data'!BQ82="",0,'Raw Data'!BQ82)</f>
        <v>14305.4166666667</v>
      </c>
      <c r="BM71" s="12" t="n">
        <f aca="false">IF('Raw Data'!BR82="",0,'Raw Data'!BR82)</f>
        <v>14305.4166666667</v>
      </c>
      <c r="BN71" s="12" t="n">
        <f aca="false">IF('Raw Data'!BS82="",0,'Raw Data'!BS82)</f>
        <v>14305.4166666667</v>
      </c>
      <c r="BO71" s="21" t="b">
        <f aca="false">FALSE()</f>
        <v>0</v>
      </c>
    </row>
    <row r="72" customFormat="false" ht="15" hidden="false" customHeight="false" outlineLevel="0" collapsed="false">
      <c r="A72" s="20" t="str">
        <f aca="false">'Raw Data'!A83</f>
        <v>Local Account #73 from CA</v>
      </c>
      <c r="B72" s="12" t="n">
        <f aca="false">IF('Raw Data'!G83="",0,'Raw Data'!G83)</f>
        <v>0</v>
      </c>
      <c r="C72" s="12" t="n">
        <f aca="false">IF('Raw Data'!H83="",0,'Raw Data'!H83)</f>
        <v>0</v>
      </c>
      <c r="D72" s="12" t="n">
        <f aca="false">IF('Raw Data'!I83="",0,'Raw Data'!I83)</f>
        <v>0</v>
      </c>
      <c r="E72" s="12" t="n">
        <f aca="false">IF('Raw Data'!J83="",0,'Raw Data'!J83)</f>
        <v>0</v>
      </c>
      <c r="F72" s="12" t="n">
        <f aca="false">IF('Raw Data'!K83="",0,'Raw Data'!K83)</f>
        <v>0</v>
      </c>
      <c r="G72" s="12" t="n">
        <f aca="false">IF('Raw Data'!L83="",0,'Raw Data'!L83)</f>
        <v>0</v>
      </c>
      <c r="H72" s="12" t="n">
        <f aca="false">IF('Raw Data'!M83="",0,'Raw Data'!M83)</f>
        <v>0</v>
      </c>
      <c r="I72" s="12" t="n">
        <f aca="false">IF('Raw Data'!N83="",0,'Raw Data'!N83)</f>
        <v>0</v>
      </c>
      <c r="J72" s="12" t="n">
        <f aca="false">IF('Raw Data'!O83="",0,'Raw Data'!O83)</f>
        <v>0</v>
      </c>
      <c r="K72" s="12" t="n">
        <f aca="false">IF('Raw Data'!P83="",0,'Raw Data'!P83)</f>
        <v>0</v>
      </c>
      <c r="L72" s="12" t="n">
        <f aca="false">IF('Raw Data'!Q83="",0,'Raw Data'!Q83)</f>
        <v>466.666666666667</v>
      </c>
      <c r="M72" s="12" t="n">
        <f aca="false">IF('Raw Data'!R83="",0,'Raw Data'!R83)</f>
        <v>466.666666666667</v>
      </c>
      <c r="N72" s="12" t="n">
        <f aca="false">IF('Raw Data'!S83="",0,'Raw Data'!S83)</f>
        <v>466.666666666667</v>
      </c>
      <c r="O72" s="12" t="n">
        <f aca="false">IF('Raw Data'!T83="",0,'Raw Data'!T83)</f>
        <v>466.666666666667</v>
      </c>
      <c r="P72" s="12" t="n">
        <f aca="false">IF('Raw Data'!U83="",0,'Raw Data'!U83)</f>
        <v>466.666666666667</v>
      </c>
      <c r="Q72" s="12" t="n">
        <f aca="false">IF('Raw Data'!V83="",0,'Raw Data'!V83)</f>
        <v>466.666666666667</v>
      </c>
      <c r="R72" s="12" t="n">
        <f aca="false">IF('Raw Data'!W83="",0,'Raw Data'!W83)</f>
        <v>466.666666666667</v>
      </c>
      <c r="S72" s="12" t="n">
        <f aca="false">IF('Raw Data'!X83="",0,'Raw Data'!X83)</f>
        <v>466.666666666667</v>
      </c>
      <c r="T72" s="12" t="n">
        <f aca="false">IF('Raw Data'!Y83="",0,'Raw Data'!Y83)</f>
        <v>466.666666666667</v>
      </c>
      <c r="U72" s="12" t="n">
        <f aca="false">IF('Raw Data'!Z83="",0,'Raw Data'!Z83)</f>
        <v>466.666666666667</v>
      </c>
      <c r="V72" s="12" t="n">
        <f aca="false">IF('Raw Data'!AA83="",0,'Raw Data'!AA83)</f>
        <v>466.666666666667</v>
      </c>
      <c r="W72" s="12" t="n">
        <f aca="false">IF('Raw Data'!AB83="",0,'Raw Data'!AB83)</f>
        <v>583.326666666667</v>
      </c>
      <c r="X72" s="12" t="n">
        <f aca="false">IF('Raw Data'!AC83="",0,'Raw Data'!AC83)</f>
        <v>583.333333333333</v>
      </c>
      <c r="Y72" s="12" t="n">
        <f aca="false">IF('Raw Data'!AD83="",0,'Raw Data'!AD83)</f>
        <v>583.333333333333</v>
      </c>
      <c r="Z72" s="12" t="n">
        <f aca="false">IF('Raw Data'!AE83="",0,'Raw Data'!AE83)</f>
        <v>583.333333333333</v>
      </c>
      <c r="AA72" s="12" t="n">
        <f aca="false">IF('Raw Data'!AF83="",0,'Raw Data'!AF83)</f>
        <v>583.333333333333</v>
      </c>
      <c r="AB72" s="12" t="n">
        <f aca="false">IF('Raw Data'!AG83="",0,'Raw Data'!AG83)</f>
        <v>583.333333333333</v>
      </c>
      <c r="AC72" s="12" t="n">
        <f aca="false">IF('Raw Data'!AH83="",0,'Raw Data'!AH83)</f>
        <v>583.333333333333</v>
      </c>
      <c r="AD72" s="12" t="n">
        <f aca="false">IF('Raw Data'!AI83="",0,'Raw Data'!AI83)</f>
        <v>583.333333333333</v>
      </c>
      <c r="AE72" s="12" t="n">
        <f aca="false">IF('Raw Data'!AJ83="",0,'Raw Data'!AJ83)</f>
        <v>583.333333333333</v>
      </c>
      <c r="AF72" s="12" t="n">
        <f aca="false">IF('Raw Data'!AK83="",0,'Raw Data'!AK83)</f>
        <v>583.333333333333</v>
      </c>
      <c r="AG72" s="12" t="n">
        <f aca="false">IF('Raw Data'!AL83="",0,'Raw Data'!AL83)</f>
        <v>583.333333333333</v>
      </c>
      <c r="AH72" s="12" t="n">
        <f aca="false">IF('Raw Data'!AM83="",0,'Raw Data'!AM83)</f>
        <v>583.333333333333</v>
      </c>
      <c r="AI72" s="12" t="n">
        <f aca="false">IF('Raw Data'!AN83="",0,'Raw Data'!AN83)</f>
        <v>583.333333333333</v>
      </c>
      <c r="AJ72" s="12" t="n">
        <f aca="false">IF('Raw Data'!AO83="",0,'Raw Data'!AO83)</f>
        <v>583.333333333333</v>
      </c>
      <c r="AK72" s="12" t="n">
        <f aca="false">IF('Raw Data'!AP83="",0,'Raw Data'!AP83)</f>
        <v>583.333333333333</v>
      </c>
      <c r="AL72" s="12" t="n">
        <f aca="false">IF('Raw Data'!AQ83="",0,'Raw Data'!AQ83)</f>
        <v>583.333333333333</v>
      </c>
      <c r="AM72" s="12" t="n">
        <f aca="false">IF('Raw Data'!AR83="",0,'Raw Data'!AR83)</f>
        <v>583.333333333333</v>
      </c>
      <c r="AN72" s="12" t="n">
        <f aca="false">IF('Raw Data'!AS83="",0,'Raw Data'!AS83)</f>
        <v>583.333333333333</v>
      </c>
      <c r="AO72" s="12" t="n">
        <f aca="false">IF('Raw Data'!AT83="",0,'Raw Data'!AT83)</f>
        <v>583.333333333333</v>
      </c>
      <c r="AP72" s="12" t="n">
        <f aca="false">IF('Raw Data'!AU83="",0,'Raw Data'!AU83)</f>
        <v>583.333333333333</v>
      </c>
      <c r="AQ72" s="12" t="n">
        <f aca="false">IF('Raw Data'!AV83="",0,'Raw Data'!AV83)</f>
        <v>583.333333333333</v>
      </c>
      <c r="AR72" s="12" t="n">
        <f aca="false">IF('Raw Data'!AW83="",0,'Raw Data'!AW83)</f>
        <v>583.333333333333</v>
      </c>
      <c r="AS72" s="12" t="n">
        <f aca="false">IF('Raw Data'!AX83="",0,'Raw Data'!AX83)</f>
        <v>583.333333333333</v>
      </c>
      <c r="AT72" s="12" t="n">
        <f aca="false">IF('Raw Data'!AY83="",0,'Raw Data'!AY83)</f>
        <v>583.333333333333</v>
      </c>
      <c r="AU72" s="12" t="n">
        <f aca="false">IF('Raw Data'!AZ83="",0,'Raw Data'!AZ83)</f>
        <v>583.333333333333</v>
      </c>
      <c r="AV72" s="12" t="n">
        <f aca="false">IF('Raw Data'!BA83="",0,'Raw Data'!BA83)</f>
        <v>0</v>
      </c>
      <c r="AW72" s="12" t="n">
        <f aca="false">IF('Raw Data'!BB83="",0,'Raw Data'!BB83)</f>
        <v>0</v>
      </c>
      <c r="AX72" s="12" t="n">
        <f aca="false">IF('Raw Data'!BC83="",0,'Raw Data'!BC83)</f>
        <v>0</v>
      </c>
      <c r="AY72" s="12" t="n">
        <f aca="false">IF('Raw Data'!BD83="",0,'Raw Data'!BD83)</f>
        <v>0</v>
      </c>
      <c r="AZ72" s="12" t="n">
        <f aca="false">IF('Raw Data'!BE83="",0,'Raw Data'!BE83)</f>
        <v>0</v>
      </c>
      <c r="BA72" s="12" t="n">
        <f aca="false">IF('Raw Data'!BF83="",0,'Raw Data'!BF83)</f>
        <v>0</v>
      </c>
      <c r="BB72" s="12" t="n">
        <f aca="false">IF('Raw Data'!BG83="",0,'Raw Data'!BG83)</f>
        <v>0</v>
      </c>
      <c r="BC72" s="12" t="n">
        <f aca="false">IF('Raw Data'!BH83="",0,'Raw Data'!BH83)</f>
        <v>0</v>
      </c>
      <c r="BD72" s="12" t="n">
        <f aca="false">IF('Raw Data'!BI83="",0,'Raw Data'!BI83)</f>
        <v>0</v>
      </c>
      <c r="BE72" s="12" t="n">
        <f aca="false">IF('Raw Data'!BJ83="",0,'Raw Data'!BJ83)</f>
        <v>0</v>
      </c>
      <c r="BF72" s="12" t="n">
        <f aca="false">IF('Raw Data'!BK83="",0,'Raw Data'!BK83)</f>
        <v>0</v>
      </c>
      <c r="BG72" s="12" t="n">
        <f aca="false">IF('Raw Data'!BL83="",0,'Raw Data'!BL83)</f>
        <v>0</v>
      </c>
      <c r="BH72" s="12" t="n">
        <f aca="false">IF('Raw Data'!BM83="",0,'Raw Data'!BM83)</f>
        <v>0</v>
      </c>
      <c r="BI72" s="12" t="n">
        <f aca="false">IF('Raw Data'!BN83="",0,'Raw Data'!BN83)</f>
        <v>0</v>
      </c>
      <c r="BJ72" s="12" t="n">
        <f aca="false">IF('Raw Data'!BO83="",0,'Raw Data'!BO83)</f>
        <v>0</v>
      </c>
      <c r="BK72" s="12" t="n">
        <f aca="false">IF('Raw Data'!BP83="",0,'Raw Data'!BP83)</f>
        <v>0</v>
      </c>
      <c r="BL72" s="12" t="n">
        <f aca="false">IF('Raw Data'!BQ83="",0,'Raw Data'!BQ83)</f>
        <v>0</v>
      </c>
      <c r="BM72" s="12" t="n">
        <f aca="false">IF('Raw Data'!BR83="",0,'Raw Data'!BR83)</f>
        <v>0</v>
      </c>
      <c r="BN72" s="12" t="n">
        <f aca="false">IF('Raw Data'!BS83="",0,'Raw Data'!BS83)</f>
        <v>0</v>
      </c>
      <c r="BO72" s="21" t="b">
        <f aca="false">FALSE()</f>
        <v>0</v>
      </c>
    </row>
    <row r="73" customFormat="false" ht="15" hidden="false" customHeight="false" outlineLevel="0" collapsed="false">
      <c r="A73" s="20" t="str">
        <f aca="false">'Raw Data'!A84</f>
        <v>Local Account #74 from CA</v>
      </c>
      <c r="B73" s="12" t="n">
        <f aca="false">IF('Raw Data'!G84="",0,'Raw Data'!G84)</f>
        <v>28746.0541666667</v>
      </c>
      <c r="C73" s="12" t="n">
        <f aca="false">IF('Raw Data'!H84="",0,'Raw Data'!H84)</f>
        <v>28746.0541666667</v>
      </c>
      <c r="D73" s="12" t="n">
        <f aca="false">IF('Raw Data'!I84="",0,'Raw Data'!I84)</f>
        <v>28746.0541666667</v>
      </c>
      <c r="E73" s="12" t="n">
        <f aca="false">IF('Raw Data'!J84="",0,'Raw Data'!J84)</f>
        <v>28746.0541666667</v>
      </c>
      <c r="F73" s="12" t="n">
        <f aca="false">IF('Raw Data'!K84="",0,'Raw Data'!K84)</f>
        <v>28746.0541666667</v>
      </c>
      <c r="G73" s="12" t="n">
        <f aca="false">IF('Raw Data'!L84="",0,'Raw Data'!L84)</f>
        <v>28746.0541666667</v>
      </c>
      <c r="H73" s="12" t="n">
        <f aca="false">IF('Raw Data'!M84="",0,'Raw Data'!M84)</f>
        <v>28746.0541666667</v>
      </c>
      <c r="I73" s="12" t="n">
        <f aca="false">IF('Raw Data'!N84="",0,'Raw Data'!N84)</f>
        <v>28746.0541666667</v>
      </c>
      <c r="J73" s="12" t="n">
        <f aca="false">IF('Raw Data'!O84="",0,'Raw Data'!O84)</f>
        <v>28525</v>
      </c>
      <c r="K73" s="12" t="n">
        <f aca="false">IF('Raw Data'!P84="",0,'Raw Data'!P84)</f>
        <v>28525</v>
      </c>
      <c r="L73" s="12" t="n">
        <f aca="false">IF('Raw Data'!Q84="",0,'Raw Data'!Q84)</f>
        <v>28525</v>
      </c>
      <c r="M73" s="12" t="n">
        <f aca="false">IF('Raw Data'!R84="",0,'Raw Data'!R84)</f>
        <v>28525</v>
      </c>
      <c r="N73" s="12" t="n">
        <f aca="false">IF('Raw Data'!S84="",0,'Raw Data'!S84)</f>
        <v>27514</v>
      </c>
      <c r="O73" s="12" t="n">
        <f aca="false">IF('Raw Data'!T84="",0,'Raw Data'!T84)</f>
        <v>27514</v>
      </c>
      <c r="P73" s="12" t="n">
        <f aca="false">IF('Raw Data'!U84="",0,'Raw Data'!U84)</f>
        <v>27514</v>
      </c>
      <c r="Q73" s="12" t="n">
        <f aca="false">IF('Raw Data'!V84="",0,'Raw Data'!V84)</f>
        <v>27514</v>
      </c>
      <c r="R73" s="12" t="n">
        <f aca="false">IF('Raw Data'!W84="",0,'Raw Data'!W84)</f>
        <v>27514</v>
      </c>
      <c r="S73" s="12" t="n">
        <f aca="false">IF('Raw Data'!X84="",0,'Raw Data'!X84)</f>
        <v>27514</v>
      </c>
      <c r="T73" s="12" t="n">
        <f aca="false">IF('Raw Data'!Y84="",0,'Raw Data'!Y84)</f>
        <v>27514</v>
      </c>
      <c r="U73" s="12" t="n">
        <f aca="false">IF('Raw Data'!Z84="",0,'Raw Data'!Z84)</f>
        <v>27514</v>
      </c>
      <c r="V73" s="12" t="n">
        <f aca="false">IF('Raw Data'!AA84="",0,'Raw Data'!AA84)</f>
        <v>27747.3333333333</v>
      </c>
      <c r="W73" s="12" t="n">
        <f aca="false">IF('Raw Data'!AB84="",0,'Raw Data'!AB84)</f>
        <v>27747.3333333333</v>
      </c>
      <c r="X73" s="12" t="n">
        <f aca="false">IF('Raw Data'!AC84="",0,'Raw Data'!AC84)</f>
        <v>27747.3333333333</v>
      </c>
      <c r="Y73" s="12" t="n">
        <f aca="false">IF('Raw Data'!AD84="",0,'Raw Data'!AD84)</f>
        <v>27747.3333333333</v>
      </c>
      <c r="Z73" s="12" t="n">
        <f aca="false">IF('Raw Data'!AE84="",0,'Raw Data'!AE84)</f>
        <v>30755.5208333333</v>
      </c>
      <c r="AA73" s="12" t="n">
        <f aca="false">IF('Raw Data'!AF84="",0,'Raw Data'!AF84)</f>
        <v>30755.5208333333</v>
      </c>
      <c r="AB73" s="12" t="n">
        <f aca="false">IF('Raw Data'!AG84="",0,'Raw Data'!AG84)</f>
        <v>30755.5208333333</v>
      </c>
      <c r="AC73" s="12" t="n">
        <f aca="false">IF('Raw Data'!AH84="",0,'Raw Data'!AH84)</f>
        <v>30755.5208333333</v>
      </c>
      <c r="AD73" s="12" t="n">
        <f aca="false">IF('Raw Data'!AI84="",0,'Raw Data'!AI84)</f>
        <v>30755.5208333333</v>
      </c>
      <c r="AE73" s="12" t="n">
        <f aca="false">IF('Raw Data'!AJ84="",0,'Raw Data'!AJ84)</f>
        <v>30755.5208333333</v>
      </c>
      <c r="AF73" s="12" t="n">
        <f aca="false">IF('Raw Data'!AK84="",0,'Raw Data'!AK84)</f>
        <v>30755.5208333333</v>
      </c>
      <c r="AG73" s="12" t="n">
        <f aca="false">IF('Raw Data'!AL84="",0,'Raw Data'!AL84)</f>
        <v>30755.5208333333</v>
      </c>
      <c r="AH73" s="12" t="n">
        <f aca="false">IF('Raw Data'!AM84="",0,'Raw Data'!AM84)</f>
        <v>30755.5208333333</v>
      </c>
      <c r="AI73" s="12" t="n">
        <f aca="false">IF('Raw Data'!AN84="",0,'Raw Data'!AN84)</f>
        <v>30755.5208333333</v>
      </c>
      <c r="AJ73" s="12" t="n">
        <f aca="false">IF('Raw Data'!AO84="",0,'Raw Data'!AO84)</f>
        <v>30755.5208333333</v>
      </c>
      <c r="AK73" s="12" t="n">
        <f aca="false">IF('Raw Data'!AP84="",0,'Raw Data'!AP84)</f>
        <v>30755.5208333333</v>
      </c>
      <c r="AL73" s="12" t="n">
        <f aca="false">IF('Raw Data'!AQ84="",0,'Raw Data'!AQ84)</f>
        <v>37130.5208333333</v>
      </c>
      <c r="AM73" s="12" t="n">
        <f aca="false">IF('Raw Data'!AR84="",0,'Raw Data'!AR84)</f>
        <v>37130.5208333333</v>
      </c>
      <c r="AN73" s="12" t="n">
        <f aca="false">IF('Raw Data'!AS84="",0,'Raw Data'!AS84)</f>
        <v>37130.5208333333</v>
      </c>
      <c r="AO73" s="12" t="n">
        <f aca="false">IF('Raw Data'!AT84="",0,'Raw Data'!AT84)</f>
        <v>37130.5208333333</v>
      </c>
      <c r="AP73" s="12" t="n">
        <f aca="false">IF('Raw Data'!AU84="",0,'Raw Data'!AU84)</f>
        <v>37130.5208333333</v>
      </c>
      <c r="AQ73" s="12" t="n">
        <f aca="false">IF('Raw Data'!AV84="",0,'Raw Data'!AV84)</f>
        <v>37130.5208333333</v>
      </c>
      <c r="AR73" s="12" t="n">
        <f aca="false">IF('Raw Data'!AW84="",0,'Raw Data'!AW84)</f>
        <v>37130.5208333333</v>
      </c>
      <c r="AS73" s="12" t="n">
        <f aca="false">IF('Raw Data'!AX84="",0,'Raw Data'!AX84)</f>
        <v>37130.5208333333</v>
      </c>
      <c r="AT73" s="12" t="n">
        <f aca="false">IF('Raw Data'!AY84="",0,'Raw Data'!AY84)</f>
        <v>37130.7833333333</v>
      </c>
      <c r="AU73" s="12" t="n">
        <f aca="false">IF('Raw Data'!AZ84="",0,'Raw Data'!AZ84)</f>
        <v>37130.7833333333</v>
      </c>
      <c r="AV73" s="12" t="n">
        <f aca="false">IF('Raw Data'!BA84="",0,'Raw Data'!BA84)</f>
        <v>37130.7833333333</v>
      </c>
      <c r="AW73" s="12" t="n">
        <f aca="false">IF('Raw Data'!BB84="",0,'Raw Data'!BB84)</f>
        <v>37130.7833333333</v>
      </c>
      <c r="AX73" s="12" t="n">
        <f aca="false">IF('Raw Data'!BC84="",0,'Raw Data'!BC84)</f>
        <v>37130.7833333333</v>
      </c>
      <c r="AY73" s="12" t="n">
        <f aca="false">IF('Raw Data'!BD84="",0,'Raw Data'!BD84)</f>
        <v>37130.7833333333</v>
      </c>
      <c r="AZ73" s="12" t="n">
        <f aca="false">IF('Raw Data'!BE84="",0,'Raw Data'!BE84)</f>
        <v>37130.7833333333</v>
      </c>
      <c r="BA73" s="12" t="n">
        <f aca="false">IF('Raw Data'!BF84="",0,'Raw Data'!BF84)</f>
        <v>37130.7833333333</v>
      </c>
      <c r="BB73" s="12" t="n">
        <f aca="false">IF('Raw Data'!BG84="",0,'Raw Data'!BG84)</f>
        <v>37130.7833333333</v>
      </c>
      <c r="BC73" s="12" t="n">
        <f aca="false">IF('Raw Data'!BH84="",0,'Raw Data'!BH84)</f>
        <v>37130.7833333333</v>
      </c>
      <c r="BD73" s="12" t="n">
        <f aca="false">IF('Raw Data'!BI84="",0,'Raw Data'!BI84)</f>
        <v>37130.7833333333</v>
      </c>
      <c r="BE73" s="12" t="n">
        <f aca="false">IF('Raw Data'!BJ84="",0,'Raw Data'!BJ84)</f>
        <v>37130.7833333333</v>
      </c>
      <c r="BF73" s="12" t="n">
        <f aca="false">IF('Raw Data'!BK84="",0,'Raw Data'!BK84)</f>
        <v>36897.1875</v>
      </c>
      <c r="BG73" s="12" t="n">
        <f aca="false">IF('Raw Data'!BL84="",0,'Raw Data'!BL84)</f>
        <v>36897.1875</v>
      </c>
      <c r="BH73" s="12" t="n">
        <f aca="false">IF('Raw Data'!BM84="",0,'Raw Data'!BM84)</f>
        <v>36897.1875</v>
      </c>
      <c r="BI73" s="12" t="n">
        <f aca="false">IF('Raw Data'!BN84="",0,'Raw Data'!BN84)</f>
        <v>36897.1875</v>
      </c>
      <c r="BJ73" s="12" t="n">
        <f aca="false">IF('Raw Data'!BO84="",0,'Raw Data'!BO84)</f>
        <v>37188.72125</v>
      </c>
      <c r="BK73" s="12" t="n">
        <f aca="false">IF('Raw Data'!BP84="",0,'Raw Data'!BP84)</f>
        <v>37188.72125</v>
      </c>
      <c r="BL73" s="12" t="n">
        <f aca="false">IF('Raw Data'!BQ84="",0,'Raw Data'!BQ84)</f>
        <v>37188.72125</v>
      </c>
      <c r="BM73" s="12" t="n">
        <f aca="false">IF('Raw Data'!BR84="",0,'Raw Data'!BR84)</f>
        <v>37188.72125</v>
      </c>
      <c r="BN73" s="12" t="n">
        <f aca="false">IF('Raw Data'!BS84="",0,'Raw Data'!BS84)</f>
        <v>37188.72125</v>
      </c>
      <c r="BO73" s="21" t="b">
        <f aca="false">FALSE()</f>
        <v>0</v>
      </c>
    </row>
    <row r="74" customFormat="false" ht="15" hidden="false" customHeight="false" outlineLevel="0" collapsed="false">
      <c r="A74" s="20" t="str">
        <f aca="false">'Raw Data'!A85</f>
        <v>Local Account #75 from CA</v>
      </c>
      <c r="B74" s="12" t="n">
        <f aca="false">IF('Raw Data'!G85="",0,'Raw Data'!G85)</f>
        <v>13091.125</v>
      </c>
      <c r="C74" s="12" t="n">
        <f aca="false">IF('Raw Data'!H85="",0,'Raw Data'!H85)</f>
        <v>13091.125</v>
      </c>
      <c r="D74" s="12" t="n">
        <f aca="false">IF('Raw Data'!I85="",0,'Raw Data'!I85)</f>
        <v>13091.125</v>
      </c>
      <c r="E74" s="12" t="n">
        <f aca="false">IF('Raw Data'!J85="",0,'Raw Data'!J85)</f>
        <v>13091.125</v>
      </c>
      <c r="F74" s="12" t="n">
        <f aca="false">IF('Raw Data'!K85="",0,'Raw Data'!K85)</f>
        <v>13091.125</v>
      </c>
      <c r="G74" s="12" t="n">
        <f aca="false">IF('Raw Data'!L85="",0,'Raw Data'!L85)</f>
        <v>13091.125</v>
      </c>
      <c r="H74" s="12" t="n">
        <f aca="false">IF('Raw Data'!M85="",0,'Raw Data'!M85)</f>
        <v>12066.6666666667</v>
      </c>
      <c r="I74" s="12" t="n">
        <f aca="false">IF('Raw Data'!N85="",0,'Raw Data'!N85)</f>
        <v>12066.6666666667</v>
      </c>
      <c r="J74" s="12" t="n">
        <f aca="false">IF('Raw Data'!O85="",0,'Raw Data'!O85)</f>
        <v>12066.6666666667</v>
      </c>
      <c r="K74" s="12" t="n">
        <f aca="false">IF('Raw Data'!P85="",0,'Raw Data'!P85)</f>
        <v>12066.6666666667</v>
      </c>
      <c r="L74" s="12" t="n">
        <f aca="false">IF('Raw Data'!Q85="",0,'Raw Data'!Q85)</f>
        <v>12066.6666666667</v>
      </c>
      <c r="M74" s="12" t="n">
        <f aca="false">IF('Raw Data'!R85="",0,'Raw Data'!R85)</f>
        <v>12066.6666666667</v>
      </c>
      <c r="N74" s="12" t="n">
        <f aca="false">IF('Raw Data'!S85="",0,'Raw Data'!S85)</f>
        <v>12066.6666666667</v>
      </c>
      <c r="O74" s="12" t="n">
        <f aca="false">IF('Raw Data'!T85="",0,'Raw Data'!T85)</f>
        <v>12066.6666666667</v>
      </c>
      <c r="P74" s="12" t="n">
        <f aca="false">IF('Raw Data'!U85="",0,'Raw Data'!U85)</f>
        <v>12066.6666666667</v>
      </c>
      <c r="Q74" s="12" t="n">
        <f aca="false">IF('Raw Data'!V85="",0,'Raw Data'!V85)</f>
        <v>12066.6666666667</v>
      </c>
      <c r="R74" s="12" t="n">
        <f aca="false">IF('Raw Data'!W85="",0,'Raw Data'!W85)</f>
        <v>12066.6666666667</v>
      </c>
      <c r="S74" s="12" t="n">
        <f aca="false">IF('Raw Data'!X85="",0,'Raw Data'!X85)</f>
        <v>12066.6666666667</v>
      </c>
      <c r="T74" s="12" t="n">
        <f aca="false">IF('Raw Data'!Y85="",0,'Raw Data'!Y85)</f>
        <v>13260.4166666667</v>
      </c>
      <c r="U74" s="12" t="n">
        <f aca="false">IF('Raw Data'!Z85="",0,'Raw Data'!Z85)</f>
        <v>13260.4166666667</v>
      </c>
      <c r="V74" s="12" t="n">
        <f aca="false">IF('Raw Data'!AA85="",0,'Raw Data'!AA85)</f>
        <v>13260.4166666667</v>
      </c>
      <c r="W74" s="12" t="n">
        <f aca="false">IF('Raw Data'!AB85="",0,'Raw Data'!AB85)</f>
        <v>13260.4166666667</v>
      </c>
      <c r="X74" s="12" t="n">
        <f aca="false">IF('Raw Data'!AC85="",0,'Raw Data'!AC85)</f>
        <v>13260.4166666667</v>
      </c>
      <c r="Y74" s="12" t="n">
        <f aca="false">IF('Raw Data'!AD85="",0,'Raw Data'!AD85)</f>
        <v>13260.4166666667</v>
      </c>
      <c r="Z74" s="12" t="n">
        <f aca="false">IF('Raw Data'!AE85="",0,'Raw Data'!AE85)</f>
        <v>13260.4166666667</v>
      </c>
      <c r="AA74" s="12" t="n">
        <f aca="false">IF('Raw Data'!AF85="",0,'Raw Data'!AF85)</f>
        <v>13260.4166666667</v>
      </c>
      <c r="AB74" s="12" t="n">
        <f aca="false">IF('Raw Data'!AG85="",0,'Raw Data'!AG85)</f>
        <v>13260.4166666667</v>
      </c>
      <c r="AC74" s="12" t="n">
        <f aca="false">IF('Raw Data'!AH85="",0,'Raw Data'!AH85)</f>
        <v>13260.4166666667</v>
      </c>
      <c r="AD74" s="12" t="n">
        <f aca="false">IF('Raw Data'!AI85="",0,'Raw Data'!AI85)</f>
        <v>13260.4166666667</v>
      </c>
      <c r="AE74" s="12" t="n">
        <f aca="false">IF('Raw Data'!AJ85="",0,'Raw Data'!AJ85)</f>
        <v>13260.4166666667</v>
      </c>
      <c r="AF74" s="12" t="n">
        <f aca="false">IF('Raw Data'!AK85="",0,'Raw Data'!AK85)</f>
        <v>13222.9166666667</v>
      </c>
      <c r="AG74" s="12" t="n">
        <f aca="false">IF('Raw Data'!AL85="",0,'Raw Data'!AL85)</f>
        <v>13222.9166666667</v>
      </c>
      <c r="AH74" s="12" t="n">
        <f aca="false">IF('Raw Data'!AM85="",0,'Raw Data'!AM85)</f>
        <v>13222.9166666667</v>
      </c>
      <c r="AI74" s="12" t="n">
        <f aca="false">IF('Raw Data'!AN85="",0,'Raw Data'!AN85)</f>
        <v>13222.9166666667</v>
      </c>
      <c r="AJ74" s="12" t="n">
        <f aca="false">IF('Raw Data'!AO85="",0,'Raw Data'!AO85)</f>
        <v>13222.9166666667</v>
      </c>
      <c r="AK74" s="12" t="n">
        <f aca="false">IF('Raw Data'!AP85="",0,'Raw Data'!AP85)</f>
        <v>13222.9166666667</v>
      </c>
      <c r="AL74" s="12" t="n">
        <f aca="false">IF('Raw Data'!AQ85="",0,'Raw Data'!AQ85)</f>
        <v>13222.9166666667</v>
      </c>
      <c r="AM74" s="12" t="n">
        <f aca="false">IF('Raw Data'!AR85="",0,'Raw Data'!AR85)</f>
        <v>13222.9166666667</v>
      </c>
      <c r="AN74" s="12" t="n">
        <f aca="false">IF('Raw Data'!AS85="",0,'Raw Data'!AS85)</f>
        <v>13222.9166666667</v>
      </c>
      <c r="AO74" s="12" t="n">
        <f aca="false">IF('Raw Data'!AT85="",0,'Raw Data'!AT85)</f>
        <v>13222.9166666667</v>
      </c>
      <c r="AP74" s="12" t="n">
        <f aca="false">IF('Raw Data'!AU85="",0,'Raw Data'!AU85)</f>
        <v>13222.9166666667</v>
      </c>
      <c r="AQ74" s="12" t="n">
        <f aca="false">IF('Raw Data'!AV85="",0,'Raw Data'!AV85)</f>
        <v>13222.9166666667</v>
      </c>
      <c r="AR74" s="12" t="n">
        <f aca="false">IF('Raw Data'!AW85="",0,'Raw Data'!AW85)</f>
        <v>13304.1666666667</v>
      </c>
      <c r="AS74" s="12" t="n">
        <f aca="false">IF('Raw Data'!AX85="",0,'Raw Data'!AX85)</f>
        <v>13304.1666666667</v>
      </c>
      <c r="AT74" s="12" t="n">
        <f aca="false">IF('Raw Data'!AY85="",0,'Raw Data'!AY85)</f>
        <v>13304.1666666667</v>
      </c>
      <c r="AU74" s="12" t="n">
        <f aca="false">IF('Raw Data'!AZ85="",0,'Raw Data'!AZ85)</f>
        <v>13304.1666666667</v>
      </c>
      <c r="AV74" s="12" t="n">
        <f aca="false">IF('Raw Data'!BA85="",0,'Raw Data'!BA85)</f>
        <v>13304.1666666667</v>
      </c>
      <c r="AW74" s="12" t="n">
        <f aca="false">IF('Raw Data'!BB85="",0,'Raw Data'!BB85)</f>
        <v>13304.1666666667</v>
      </c>
      <c r="AX74" s="12" t="n">
        <f aca="false">IF('Raw Data'!BC85="",0,'Raw Data'!BC85)</f>
        <v>13304.1666666667</v>
      </c>
      <c r="AY74" s="12" t="n">
        <f aca="false">IF('Raw Data'!BD85="",0,'Raw Data'!BD85)</f>
        <v>13304.1666666667</v>
      </c>
      <c r="AZ74" s="12" t="n">
        <f aca="false">IF('Raw Data'!BE85="",0,'Raw Data'!BE85)</f>
        <v>13304.1666666667</v>
      </c>
      <c r="BA74" s="12" t="n">
        <f aca="false">IF('Raw Data'!BF85="",0,'Raw Data'!BF85)</f>
        <v>13304.1666666667</v>
      </c>
      <c r="BB74" s="12" t="n">
        <f aca="false">IF('Raw Data'!BG85="",0,'Raw Data'!BG85)</f>
        <v>13304.1666666667</v>
      </c>
      <c r="BC74" s="12" t="n">
        <f aca="false">IF('Raw Data'!BH85="",0,'Raw Data'!BH85)</f>
        <v>13304.1666666667</v>
      </c>
      <c r="BD74" s="12" t="n">
        <f aca="false">IF('Raw Data'!BI85="",0,'Raw Data'!BI85)</f>
        <v>13304.1666666667</v>
      </c>
      <c r="BE74" s="12" t="n">
        <f aca="false">IF('Raw Data'!BJ85="",0,'Raw Data'!BJ85)</f>
        <v>13304.1666666667</v>
      </c>
      <c r="BF74" s="12" t="n">
        <f aca="false">IF('Raw Data'!BK85="",0,'Raw Data'!BK85)</f>
        <v>13304.1666666667</v>
      </c>
      <c r="BG74" s="12" t="n">
        <f aca="false">IF('Raw Data'!BL85="",0,'Raw Data'!BL85)</f>
        <v>13304.1666666667</v>
      </c>
      <c r="BH74" s="12" t="n">
        <f aca="false">IF('Raw Data'!BM85="",0,'Raw Data'!BM85)</f>
        <v>13304.1666666667</v>
      </c>
      <c r="BI74" s="12" t="n">
        <f aca="false">IF('Raw Data'!BN85="",0,'Raw Data'!BN85)</f>
        <v>13304.1666666667</v>
      </c>
      <c r="BJ74" s="12" t="n">
        <f aca="false">IF('Raw Data'!BO85="",0,'Raw Data'!BO85)</f>
        <v>13304.1666666667</v>
      </c>
      <c r="BK74" s="12" t="n">
        <f aca="false">IF('Raw Data'!BP85="",0,'Raw Data'!BP85)</f>
        <v>13304.1666666667</v>
      </c>
      <c r="BL74" s="12" t="n">
        <f aca="false">IF('Raw Data'!BQ85="",0,'Raw Data'!BQ85)</f>
        <v>13304.1666666667</v>
      </c>
      <c r="BM74" s="12" t="n">
        <f aca="false">IF('Raw Data'!BR85="",0,'Raw Data'!BR85)</f>
        <v>13304.1666666667</v>
      </c>
      <c r="BN74" s="12" t="n">
        <f aca="false">IF('Raw Data'!BS85="",0,'Raw Data'!BS85)</f>
        <v>13304.1666666667</v>
      </c>
      <c r="BO74" s="21" t="b">
        <f aca="false">FALSE()</f>
        <v>0</v>
      </c>
    </row>
    <row r="75" customFormat="false" ht="15" hidden="false" customHeight="false" outlineLevel="0" collapsed="false">
      <c r="A75" s="20" t="str">
        <f aca="false">'Raw Data'!A86</f>
        <v>Local Account #76 from CA</v>
      </c>
      <c r="B75" s="12" t="n">
        <f aca="false">IF('Raw Data'!G86="",0,'Raw Data'!G86)</f>
        <v>838.75</v>
      </c>
      <c r="C75" s="12" t="n">
        <f aca="false">IF('Raw Data'!H86="",0,'Raw Data'!H86)</f>
        <v>2723.15</v>
      </c>
      <c r="D75" s="12" t="n">
        <f aca="false">IF('Raw Data'!I86="",0,'Raw Data'!I86)</f>
        <v>2723.15</v>
      </c>
      <c r="E75" s="12" t="n">
        <f aca="false">IF('Raw Data'!J86="",0,'Raw Data'!J86)</f>
        <v>2723.15</v>
      </c>
      <c r="F75" s="12" t="n">
        <f aca="false">IF('Raw Data'!K86="",0,'Raw Data'!K86)</f>
        <v>5421.05</v>
      </c>
      <c r="G75" s="12" t="n">
        <f aca="false">IF('Raw Data'!L86="",0,'Raw Data'!L86)</f>
        <v>5421.05</v>
      </c>
      <c r="H75" s="12" t="n">
        <f aca="false">IF('Raw Data'!M86="",0,'Raw Data'!M86)</f>
        <v>5421.05</v>
      </c>
      <c r="I75" s="12" t="n">
        <f aca="false">IF('Raw Data'!N86="",0,'Raw Data'!N86)</f>
        <v>5421.05</v>
      </c>
      <c r="J75" s="12" t="n">
        <f aca="false">IF('Raw Data'!O86="",0,'Raw Data'!O86)</f>
        <v>5421.05</v>
      </c>
      <c r="K75" s="12" t="n">
        <f aca="false">IF('Raw Data'!P86="",0,'Raw Data'!P86)</f>
        <v>5421.05</v>
      </c>
      <c r="L75" s="12" t="n">
        <f aca="false">IF('Raw Data'!Q86="",0,'Raw Data'!Q86)</f>
        <v>5421.05</v>
      </c>
      <c r="M75" s="12" t="n">
        <f aca="false">IF('Raw Data'!R86="",0,'Raw Data'!R86)</f>
        <v>7738.38545977011</v>
      </c>
      <c r="N75" s="12" t="n">
        <f aca="false">IF('Raw Data'!S86="",0,'Raw Data'!S86)</f>
        <v>7738.38545977012</v>
      </c>
      <c r="O75" s="12" t="n">
        <f aca="false">IF('Raw Data'!T86="",0,'Raw Data'!T86)</f>
        <v>7738.38545977012</v>
      </c>
      <c r="P75" s="12" t="n">
        <f aca="false">IF('Raw Data'!U86="",0,'Raw Data'!U86)</f>
        <v>7738.38545977012</v>
      </c>
      <c r="Q75" s="12" t="n">
        <f aca="false">IF('Raw Data'!V86="",0,'Raw Data'!V86)</f>
        <v>8123.78545977012</v>
      </c>
      <c r="R75" s="12" t="n">
        <f aca="false">IF('Raw Data'!W86="",0,'Raw Data'!W86)</f>
        <v>8123.78545977012</v>
      </c>
      <c r="S75" s="12" t="n">
        <f aca="false">IF('Raw Data'!X86="",0,'Raw Data'!X86)</f>
        <v>8123.78545977012</v>
      </c>
      <c r="T75" s="12" t="n">
        <f aca="false">IF('Raw Data'!Y86="",0,'Raw Data'!Y86)</f>
        <v>8123.78545977012</v>
      </c>
      <c r="U75" s="12" t="n">
        <f aca="false">IF('Raw Data'!Z86="",0,'Raw Data'!Z86)</f>
        <v>8123.78545977012</v>
      </c>
      <c r="V75" s="12" t="n">
        <f aca="false">IF('Raw Data'!AA86="",0,'Raw Data'!AA86)</f>
        <v>8894.58545977011</v>
      </c>
      <c r="W75" s="12" t="n">
        <f aca="false">IF('Raw Data'!AB86="",0,'Raw Data'!AB86)</f>
        <v>8894.58545977011</v>
      </c>
      <c r="X75" s="12" t="n">
        <f aca="false">IF('Raw Data'!AC86="",0,'Raw Data'!AC86)</f>
        <v>8894.58545977011</v>
      </c>
      <c r="Y75" s="12" t="n">
        <f aca="false">IF('Raw Data'!AD86="",0,'Raw Data'!AD86)</f>
        <v>8512.5</v>
      </c>
      <c r="Z75" s="12" t="n">
        <f aca="false">IF('Raw Data'!AE86="",0,'Raw Data'!AE86)</f>
        <v>8512.5</v>
      </c>
      <c r="AA75" s="12" t="n">
        <f aca="false">IF('Raw Data'!AF86="",0,'Raw Data'!AF86)</f>
        <v>8512.5</v>
      </c>
      <c r="AB75" s="12" t="n">
        <f aca="false">IF('Raw Data'!AG86="",0,'Raw Data'!AG86)</f>
        <v>8512.5</v>
      </c>
      <c r="AC75" s="12" t="n">
        <f aca="false">IF('Raw Data'!AH86="",0,'Raw Data'!AH86)</f>
        <v>8512.5</v>
      </c>
      <c r="AD75" s="12" t="n">
        <f aca="false">IF('Raw Data'!AI86="",0,'Raw Data'!AI86)</f>
        <v>8512.5</v>
      </c>
      <c r="AE75" s="12" t="n">
        <f aca="false">IF('Raw Data'!AJ86="",0,'Raw Data'!AJ86)</f>
        <v>8512.5</v>
      </c>
      <c r="AF75" s="12" t="n">
        <f aca="false">IF('Raw Data'!AK86="",0,'Raw Data'!AK86)</f>
        <v>8512.5</v>
      </c>
      <c r="AG75" s="12" t="n">
        <f aca="false">IF('Raw Data'!AL86="",0,'Raw Data'!AL86)</f>
        <v>8512.5</v>
      </c>
      <c r="AH75" s="12" t="n">
        <f aca="false">IF('Raw Data'!AM86="",0,'Raw Data'!AM86)</f>
        <v>8512.5</v>
      </c>
      <c r="AI75" s="12" t="n">
        <f aca="false">IF('Raw Data'!AN86="",0,'Raw Data'!AN86)</f>
        <v>8512.5</v>
      </c>
      <c r="AJ75" s="12" t="n">
        <f aca="false">IF('Raw Data'!AO86="",0,'Raw Data'!AO86)</f>
        <v>8512.5</v>
      </c>
      <c r="AK75" s="12" t="n">
        <f aca="false">IF('Raw Data'!AP86="",0,'Raw Data'!AP86)</f>
        <v>12447.5525</v>
      </c>
      <c r="AL75" s="12" t="n">
        <f aca="false">IF('Raw Data'!AQ86="",0,'Raw Data'!AQ86)</f>
        <v>12447.5525</v>
      </c>
      <c r="AM75" s="12" t="n">
        <f aca="false">IF('Raw Data'!AR86="",0,'Raw Data'!AR86)</f>
        <v>12447.5525</v>
      </c>
      <c r="AN75" s="12" t="n">
        <f aca="false">IF('Raw Data'!AS86="",0,'Raw Data'!AS86)</f>
        <v>12447.5525</v>
      </c>
      <c r="AO75" s="12" t="n">
        <f aca="false">IF('Raw Data'!AT86="",0,'Raw Data'!AT86)</f>
        <v>12447.5525</v>
      </c>
      <c r="AP75" s="12" t="n">
        <f aca="false">IF('Raw Data'!AU86="",0,'Raw Data'!AU86)</f>
        <v>12447.5525</v>
      </c>
      <c r="AQ75" s="12" t="n">
        <f aca="false">IF('Raw Data'!AV86="",0,'Raw Data'!AV86)</f>
        <v>12447.5525</v>
      </c>
      <c r="AR75" s="12" t="n">
        <f aca="false">IF('Raw Data'!AW86="",0,'Raw Data'!AW86)</f>
        <v>12447.5525</v>
      </c>
      <c r="AS75" s="12" t="n">
        <f aca="false">IF('Raw Data'!AX86="",0,'Raw Data'!AX86)</f>
        <v>12447.5525</v>
      </c>
      <c r="AT75" s="12" t="n">
        <f aca="false">IF('Raw Data'!AY86="",0,'Raw Data'!AY86)</f>
        <v>12447.5525</v>
      </c>
      <c r="AU75" s="12" t="n">
        <f aca="false">IF('Raw Data'!AZ86="",0,'Raw Data'!AZ86)</f>
        <v>12447.5525</v>
      </c>
      <c r="AV75" s="12" t="n">
        <f aca="false">IF('Raw Data'!BA86="",0,'Raw Data'!BA86)</f>
        <v>12447.5525</v>
      </c>
      <c r="AW75" s="12" t="n">
        <f aca="false">IF('Raw Data'!BB86="",0,'Raw Data'!BB86)</f>
        <v>15449.6358333333</v>
      </c>
      <c r="AX75" s="12" t="n">
        <f aca="false">IF('Raw Data'!BC86="",0,'Raw Data'!BC86)</f>
        <v>15449.6358333333</v>
      </c>
      <c r="AY75" s="12" t="n">
        <f aca="false">IF('Raw Data'!BD86="",0,'Raw Data'!BD86)</f>
        <v>15449.6358333333</v>
      </c>
      <c r="AZ75" s="12" t="n">
        <f aca="false">IF('Raw Data'!BE86="",0,'Raw Data'!BE86)</f>
        <v>15449.6358333333</v>
      </c>
      <c r="BA75" s="12" t="n">
        <f aca="false">IF('Raw Data'!BF86="",0,'Raw Data'!BF86)</f>
        <v>15449.6358333333</v>
      </c>
      <c r="BB75" s="12" t="n">
        <f aca="false">IF('Raw Data'!BG86="",0,'Raw Data'!BG86)</f>
        <v>15449.6358333333</v>
      </c>
      <c r="BC75" s="12" t="n">
        <f aca="false">IF('Raw Data'!BH86="",0,'Raw Data'!BH86)</f>
        <v>15449.6358333333</v>
      </c>
      <c r="BD75" s="12" t="n">
        <f aca="false">IF('Raw Data'!BI86="",0,'Raw Data'!BI86)</f>
        <v>15449.6358333333</v>
      </c>
      <c r="BE75" s="12" t="n">
        <f aca="false">IF('Raw Data'!BJ86="",0,'Raw Data'!BJ86)</f>
        <v>15449.6358333333</v>
      </c>
      <c r="BF75" s="12" t="n">
        <f aca="false">IF('Raw Data'!BK86="",0,'Raw Data'!BK86)</f>
        <v>15449.6358333333</v>
      </c>
      <c r="BG75" s="12" t="n">
        <f aca="false">IF('Raw Data'!BL86="",0,'Raw Data'!BL86)</f>
        <v>15449.6358333333</v>
      </c>
      <c r="BH75" s="12" t="n">
        <f aca="false">IF('Raw Data'!BM86="",0,'Raw Data'!BM86)</f>
        <v>15449.6358333333</v>
      </c>
      <c r="BI75" s="12" t="n">
        <f aca="false">IF('Raw Data'!BN86="",0,'Raw Data'!BN86)</f>
        <v>15590.6108333333</v>
      </c>
      <c r="BJ75" s="12" t="n">
        <f aca="false">IF('Raw Data'!BO86="",0,'Raw Data'!BO86)</f>
        <v>15590.6108333333</v>
      </c>
      <c r="BK75" s="12" t="n">
        <f aca="false">IF('Raw Data'!BP86="",0,'Raw Data'!BP86)</f>
        <v>15590.6108333333</v>
      </c>
      <c r="BL75" s="12" t="n">
        <f aca="false">IF('Raw Data'!BQ86="",0,'Raw Data'!BQ86)</f>
        <v>15590.6108333333</v>
      </c>
      <c r="BM75" s="12" t="n">
        <f aca="false">IF('Raw Data'!BR86="",0,'Raw Data'!BR86)</f>
        <v>15590.6108333333</v>
      </c>
      <c r="BN75" s="12" t="n">
        <f aca="false">IF('Raw Data'!BS86="",0,'Raw Data'!BS86)</f>
        <v>15590.6108333333</v>
      </c>
      <c r="BO75" s="21" t="b">
        <f aca="false">FALSE()</f>
        <v>0</v>
      </c>
    </row>
    <row r="76" customFormat="false" ht="15" hidden="false" customHeight="false" outlineLevel="0" collapsed="false">
      <c r="A76" s="20" t="str">
        <f aca="false">'Raw Data'!A87</f>
        <v>Local Account #77 from MI</v>
      </c>
      <c r="B76" s="12" t="n">
        <f aca="false">IF('Raw Data'!G87="",0,'Raw Data'!G87)</f>
        <v>0</v>
      </c>
      <c r="C76" s="12" t="n">
        <f aca="false">IF('Raw Data'!H87="",0,'Raw Data'!H87)</f>
        <v>0</v>
      </c>
      <c r="D76" s="12" t="n">
        <f aca="false">IF('Raw Data'!I87="",0,'Raw Data'!I87)</f>
        <v>0</v>
      </c>
      <c r="E76" s="12" t="n">
        <f aca="false">IF('Raw Data'!J87="",0,'Raw Data'!J87)</f>
        <v>0</v>
      </c>
      <c r="F76" s="12" t="n">
        <f aca="false">IF('Raw Data'!K87="",0,'Raw Data'!K87)</f>
        <v>0</v>
      </c>
      <c r="G76" s="12" t="n">
        <f aca="false">IF('Raw Data'!L87="",0,'Raw Data'!L87)</f>
        <v>0</v>
      </c>
      <c r="H76" s="12" t="n">
        <f aca="false">IF('Raw Data'!M87="",0,'Raw Data'!M87)</f>
        <v>0</v>
      </c>
      <c r="I76" s="12" t="n">
        <f aca="false">IF('Raw Data'!N87="",0,'Raw Data'!N87)</f>
        <v>0</v>
      </c>
      <c r="J76" s="12" t="n">
        <f aca="false">IF('Raw Data'!O87="",0,'Raw Data'!O87)</f>
        <v>0</v>
      </c>
      <c r="K76" s="12" t="n">
        <f aca="false">IF('Raw Data'!P87="",0,'Raw Data'!P87)</f>
        <v>0</v>
      </c>
      <c r="L76" s="12" t="n">
        <f aca="false">IF('Raw Data'!Q87="",0,'Raw Data'!Q87)</f>
        <v>0</v>
      </c>
      <c r="M76" s="12" t="n">
        <f aca="false">IF('Raw Data'!R87="",0,'Raw Data'!R87)</f>
        <v>0</v>
      </c>
      <c r="N76" s="12" t="n">
        <f aca="false">IF('Raw Data'!S87="",0,'Raw Data'!S87)</f>
        <v>0</v>
      </c>
      <c r="O76" s="12" t="n">
        <f aca="false">IF('Raw Data'!T87="",0,'Raw Data'!T87)</f>
        <v>0</v>
      </c>
      <c r="P76" s="12" t="n">
        <f aca="false">IF('Raw Data'!U87="",0,'Raw Data'!U87)</f>
        <v>0</v>
      </c>
      <c r="Q76" s="12" t="n">
        <f aca="false">IF('Raw Data'!V87="",0,'Raw Data'!V87)</f>
        <v>0</v>
      </c>
      <c r="R76" s="12" t="n">
        <f aca="false">IF('Raw Data'!W87="",0,'Raw Data'!W87)</f>
        <v>0</v>
      </c>
      <c r="S76" s="12" t="n">
        <f aca="false">IF('Raw Data'!X87="",0,'Raw Data'!X87)</f>
        <v>0</v>
      </c>
      <c r="T76" s="12" t="n">
        <f aca="false">IF('Raw Data'!Y87="",0,'Raw Data'!Y87)</f>
        <v>0</v>
      </c>
      <c r="U76" s="12" t="n">
        <f aca="false">IF('Raw Data'!Z87="",0,'Raw Data'!Z87)</f>
        <v>0</v>
      </c>
      <c r="V76" s="12" t="n">
        <f aca="false">IF('Raw Data'!AA87="",0,'Raw Data'!AA87)</f>
        <v>0</v>
      </c>
      <c r="W76" s="12" t="n">
        <f aca="false">IF('Raw Data'!AB87="",0,'Raw Data'!AB87)</f>
        <v>0</v>
      </c>
      <c r="X76" s="12" t="n">
        <f aca="false">IF('Raw Data'!AC87="",0,'Raw Data'!AC87)</f>
        <v>0</v>
      </c>
      <c r="Y76" s="12" t="n">
        <f aca="false">IF('Raw Data'!AD87="",0,'Raw Data'!AD87)</f>
        <v>0</v>
      </c>
      <c r="Z76" s="12" t="n">
        <f aca="false">IF('Raw Data'!AE87="",0,'Raw Data'!AE87)</f>
        <v>0</v>
      </c>
      <c r="AA76" s="12" t="n">
        <f aca="false">IF('Raw Data'!AF87="",0,'Raw Data'!AF87)</f>
        <v>0</v>
      </c>
      <c r="AB76" s="12" t="n">
        <f aca="false">IF('Raw Data'!AG87="",0,'Raw Data'!AG87)</f>
        <v>0</v>
      </c>
      <c r="AC76" s="12" t="n">
        <f aca="false">IF('Raw Data'!AH87="",0,'Raw Data'!AH87)</f>
        <v>0</v>
      </c>
      <c r="AD76" s="12" t="n">
        <f aca="false">IF('Raw Data'!AI87="",0,'Raw Data'!AI87)</f>
        <v>0</v>
      </c>
      <c r="AE76" s="12" t="n">
        <f aca="false">IF('Raw Data'!AJ87="",0,'Raw Data'!AJ87)</f>
        <v>0</v>
      </c>
      <c r="AF76" s="12" t="n">
        <f aca="false">IF('Raw Data'!AK87="",0,'Raw Data'!AK87)</f>
        <v>0</v>
      </c>
      <c r="AG76" s="12" t="n">
        <f aca="false">IF('Raw Data'!AL87="",0,'Raw Data'!AL87)</f>
        <v>0</v>
      </c>
      <c r="AH76" s="12" t="n">
        <f aca="false">IF('Raw Data'!AM87="",0,'Raw Data'!AM87)</f>
        <v>0</v>
      </c>
      <c r="AI76" s="12" t="n">
        <f aca="false">IF('Raw Data'!AN87="",0,'Raw Data'!AN87)</f>
        <v>0</v>
      </c>
      <c r="AJ76" s="12" t="n">
        <f aca="false">IF('Raw Data'!AO87="",0,'Raw Data'!AO87)</f>
        <v>0</v>
      </c>
      <c r="AK76" s="12" t="n">
        <f aca="false">IF('Raw Data'!AP87="",0,'Raw Data'!AP87)</f>
        <v>2000</v>
      </c>
      <c r="AL76" s="12" t="n">
        <f aca="false">IF('Raw Data'!AQ87="",0,'Raw Data'!AQ87)</f>
        <v>2000</v>
      </c>
      <c r="AM76" s="12" t="n">
        <f aca="false">IF('Raw Data'!AR87="",0,'Raw Data'!AR87)</f>
        <v>2000</v>
      </c>
      <c r="AN76" s="12" t="n">
        <f aca="false">IF('Raw Data'!AS87="",0,'Raw Data'!AS87)</f>
        <v>2000</v>
      </c>
      <c r="AO76" s="12" t="n">
        <f aca="false">IF('Raw Data'!AT87="",0,'Raw Data'!AT87)</f>
        <v>2000</v>
      </c>
      <c r="AP76" s="12" t="n">
        <f aca="false">IF('Raw Data'!AU87="",0,'Raw Data'!AU87)</f>
        <v>2000</v>
      </c>
      <c r="AQ76" s="12" t="n">
        <f aca="false">IF('Raw Data'!AV87="",0,'Raw Data'!AV87)</f>
        <v>4000</v>
      </c>
      <c r="AR76" s="12" t="n">
        <f aca="false">IF('Raw Data'!AW87="",0,'Raw Data'!AW87)</f>
        <v>4000</v>
      </c>
      <c r="AS76" s="12" t="n">
        <f aca="false">IF('Raw Data'!AX87="",0,'Raw Data'!AX87)</f>
        <v>4000</v>
      </c>
      <c r="AT76" s="12" t="n">
        <f aca="false">IF('Raw Data'!AY87="",0,'Raw Data'!AY87)</f>
        <v>4000</v>
      </c>
      <c r="AU76" s="12" t="n">
        <f aca="false">IF('Raw Data'!AZ87="",0,'Raw Data'!AZ87)</f>
        <v>4000</v>
      </c>
      <c r="AV76" s="12" t="n">
        <f aca="false">IF('Raw Data'!BA87="",0,'Raw Data'!BA87)</f>
        <v>4000</v>
      </c>
      <c r="AW76" s="12" t="n">
        <f aca="false">IF('Raw Data'!BB87="",0,'Raw Data'!BB87)</f>
        <v>3250</v>
      </c>
      <c r="AX76" s="12" t="n">
        <f aca="false">IF('Raw Data'!BC87="",0,'Raw Data'!BC87)</f>
        <v>3250</v>
      </c>
      <c r="AY76" s="12" t="n">
        <f aca="false">IF('Raw Data'!BD87="",0,'Raw Data'!BD87)</f>
        <v>3250</v>
      </c>
      <c r="AZ76" s="12" t="n">
        <f aca="false">IF('Raw Data'!BE87="",0,'Raw Data'!BE87)</f>
        <v>3250</v>
      </c>
      <c r="BA76" s="12" t="n">
        <f aca="false">IF('Raw Data'!BF87="",0,'Raw Data'!BF87)</f>
        <v>3250</v>
      </c>
      <c r="BB76" s="12" t="n">
        <f aca="false">IF('Raw Data'!BG87="",0,'Raw Data'!BG87)</f>
        <v>3250</v>
      </c>
      <c r="BC76" s="12" t="n">
        <f aca="false">IF('Raw Data'!BH87="",0,'Raw Data'!BH87)</f>
        <v>3250</v>
      </c>
      <c r="BD76" s="12" t="n">
        <f aca="false">IF('Raw Data'!BI87="",0,'Raw Data'!BI87)</f>
        <v>3250</v>
      </c>
      <c r="BE76" s="12" t="n">
        <f aca="false">IF('Raw Data'!BJ87="",0,'Raw Data'!BJ87)</f>
        <v>3250</v>
      </c>
      <c r="BF76" s="12" t="n">
        <f aca="false">IF('Raw Data'!BK87="",0,'Raw Data'!BK87)</f>
        <v>3250</v>
      </c>
      <c r="BG76" s="12" t="n">
        <f aca="false">IF('Raw Data'!BL87="",0,'Raw Data'!BL87)</f>
        <v>3250</v>
      </c>
      <c r="BH76" s="12" t="n">
        <f aca="false">IF('Raw Data'!BM87="",0,'Raw Data'!BM87)</f>
        <v>3250</v>
      </c>
      <c r="BI76" s="12" t="n">
        <f aca="false">IF('Raw Data'!BN87="",0,'Raw Data'!BN87)</f>
        <v>3750</v>
      </c>
      <c r="BJ76" s="12" t="n">
        <f aca="false">IF('Raw Data'!BO87="",0,'Raw Data'!BO87)</f>
        <v>3750</v>
      </c>
      <c r="BK76" s="12" t="n">
        <f aca="false">IF('Raw Data'!BP87="",0,'Raw Data'!BP87)</f>
        <v>3750</v>
      </c>
      <c r="BL76" s="12" t="n">
        <f aca="false">IF('Raw Data'!BQ87="",0,'Raw Data'!BQ87)</f>
        <v>3750</v>
      </c>
      <c r="BM76" s="12" t="n">
        <f aca="false">IF('Raw Data'!BR87="",0,'Raw Data'!BR87)</f>
        <v>3750</v>
      </c>
      <c r="BN76" s="12" t="n">
        <f aca="false">IF('Raw Data'!BS87="",0,'Raw Data'!BS87)</f>
        <v>3750</v>
      </c>
      <c r="BO76" s="21" t="b">
        <f aca="false">FALSE()</f>
        <v>0</v>
      </c>
    </row>
    <row r="77" customFormat="false" ht="15" hidden="false" customHeight="false" outlineLevel="0" collapsed="false">
      <c r="A77" s="20" t="str">
        <f aca="false">'Raw Data'!A88</f>
        <v>Local Account #78 from CA</v>
      </c>
      <c r="B77" s="12" t="n">
        <f aca="false">IF('Raw Data'!G88="",0,'Raw Data'!G88)</f>
        <v>0</v>
      </c>
      <c r="C77" s="12" t="n">
        <f aca="false">IF('Raw Data'!H88="",0,'Raw Data'!H88)</f>
        <v>0</v>
      </c>
      <c r="D77" s="12" t="n">
        <f aca="false">IF('Raw Data'!I88="",0,'Raw Data'!I88)</f>
        <v>0</v>
      </c>
      <c r="E77" s="12" t="n">
        <f aca="false">IF('Raw Data'!J88="",0,'Raw Data'!J88)</f>
        <v>0</v>
      </c>
      <c r="F77" s="12" t="n">
        <f aca="false">IF('Raw Data'!K88="",0,'Raw Data'!K88)</f>
        <v>0</v>
      </c>
      <c r="G77" s="12" t="n">
        <f aca="false">IF('Raw Data'!L88="",0,'Raw Data'!L88)</f>
        <v>0</v>
      </c>
      <c r="H77" s="12" t="n">
        <f aca="false">IF('Raw Data'!M88="",0,'Raw Data'!M88)</f>
        <v>0</v>
      </c>
      <c r="I77" s="12" t="n">
        <f aca="false">IF('Raw Data'!N88="",0,'Raw Data'!N88)</f>
        <v>0</v>
      </c>
      <c r="J77" s="12" t="n">
        <f aca="false">IF('Raw Data'!O88="",0,'Raw Data'!O88)</f>
        <v>0</v>
      </c>
      <c r="K77" s="12" t="n">
        <f aca="false">IF('Raw Data'!P88="",0,'Raw Data'!P88)</f>
        <v>0</v>
      </c>
      <c r="L77" s="12" t="n">
        <f aca="false">IF('Raw Data'!Q88="",0,'Raw Data'!Q88)</f>
        <v>0</v>
      </c>
      <c r="M77" s="12" t="n">
        <f aca="false">IF('Raw Data'!R88="",0,'Raw Data'!R88)</f>
        <v>0</v>
      </c>
      <c r="N77" s="12" t="n">
        <f aca="false">IF('Raw Data'!S88="",0,'Raw Data'!S88)</f>
        <v>0</v>
      </c>
      <c r="O77" s="12" t="n">
        <f aca="false">IF('Raw Data'!T88="",0,'Raw Data'!T88)</f>
        <v>0</v>
      </c>
      <c r="P77" s="12" t="n">
        <f aca="false">IF('Raw Data'!U88="",0,'Raw Data'!U88)</f>
        <v>0</v>
      </c>
      <c r="Q77" s="12" t="n">
        <f aca="false">IF('Raw Data'!V88="",0,'Raw Data'!V88)</f>
        <v>0</v>
      </c>
      <c r="R77" s="12" t="n">
        <f aca="false">IF('Raw Data'!W88="",0,'Raw Data'!W88)</f>
        <v>0</v>
      </c>
      <c r="S77" s="12" t="n">
        <f aca="false">IF('Raw Data'!X88="",0,'Raw Data'!X88)</f>
        <v>0</v>
      </c>
      <c r="T77" s="12" t="n">
        <f aca="false">IF('Raw Data'!Y88="",0,'Raw Data'!Y88)</f>
        <v>0</v>
      </c>
      <c r="U77" s="12" t="n">
        <f aca="false">IF('Raw Data'!Z88="",0,'Raw Data'!Z88)</f>
        <v>0</v>
      </c>
      <c r="V77" s="12" t="n">
        <f aca="false">IF('Raw Data'!AA88="",0,'Raw Data'!AA88)</f>
        <v>0</v>
      </c>
      <c r="W77" s="12" t="n">
        <f aca="false">IF('Raw Data'!AB88="",0,'Raw Data'!AB88)</f>
        <v>0</v>
      </c>
      <c r="X77" s="12" t="n">
        <f aca="false">IF('Raw Data'!AC88="",0,'Raw Data'!AC88)</f>
        <v>0</v>
      </c>
      <c r="Y77" s="12" t="n">
        <f aca="false">IF('Raw Data'!AD88="",0,'Raw Data'!AD88)</f>
        <v>0</v>
      </c>
      <c r="Z77" s="12" t="n">
        <f aca="false">IF('Raw Data'!AE88="",0,'Raw Data'!AE88)</f>
        <v>0</v>
      </c>
      <c r="AA77" s="12" t="n">
        <f aca="false">IF('Raw Data'!AF88="",0,'Raw Data'!AF88)</f>
        <v>0</v>
      </c>
      <c r="AB77" s="12" t="n">
        <f aca="false">IF('Raw Data'!AG88="",0,'Raw Data'!AG88)</f>
        <v>0</v>
      </c>
      <c r="AC77" s="12" t="n">
        <f aca="false">IF('Raw Data'!AH88="",0,'Raw Data'!AH88)</f>
        <v>0</v>
      </c>
      <c r="AD77" s="12" t="n">
        <f aca="false">IF('Raw Data'!AI88="",0,'Raw Data'!AI88)</f>
        <v>0</v>
      </c>
      <c r="AE77" s="12" t="n">
        <f aca="false">IF('Raw Data'!AJ88="",0,'Raw Data'!AJ88)</f>
        <v>0</v>
      </c>
      <c r="AF77" s="12" t="n">
        <f aca="false">IF('Raw Data'!AK88="",0,'Raw Data'!AK88)</f>
        <v>0</v>
      </c>
      <c r="AG77" s="12" t="n">
        <f aca="false">IF('Raw Data'!AL88="",0,'Raw Data'!AL88)</f>
        <v>0</v>
      </c>
      <c r="AH77" s="12" t="n">
        <f aca="false">IF('Raw Data'!AM88="",0,'Raw Data'!AM88)</f>
        <v>0</v>
      </c>
      <c r="AI77" s="12" t="n">
        <f aca="false">IF('Raw Data'!AN88="",0,'Raw Data'!AN88)</f>
        <v>0</v>
      </c>
      <c r="AJ77" s="12" t="n">
        <f aca="false">IF('Raw Data'!AO88="",0,'Raw Data'!AO88)</f>
        <v>0</v>
      </c>
      <c r="AK77" s="12" t="n">
        <f aca="false">IF('Raw Data'!AP88="",0,'Raw Data'!AP88)</f>
        <v>0</v>
      </c>
      <c r="AL77" s="12" t="n">
        <f aca="false">IF('Raw Data'!AQ88="",0,'Raw Data'!AQ88)</f>
        <v>166.666666666667</v>
      </c>
      <c r="AM77" s="12" t="n">
        <f aca="false">IF('Raw Data'!AR88="",0,'Raw Data'!AR88)</f>
        <v>166.666666666667</v>
      </c>
      <c r="AN77" s="12" t="n">
        <f aca="false">IF('Raw Data'!AS88="",0,'Raw Data'!AS88)</f>
        <v>166.666666666667</v>
      </c>
      <c r="AO77" s="12" t="n">
        <f aca="false">IF('Raw Data'!AT88="",0,'Raw Data'!AT88)</f>
        <v>166.666666666667</v>
      </c>
      <c r="AP77" s="12" t="n">
        <f aca="false">IF('Raw Data'!AU88="",0,'Raw Data'!AU88)</f>
        <v>166.666666666667</v>
      </c>
      <c r="AQ77" s="12" t="n">
        <f aca="false">IF('Raw Data'!AV88="",0,'Raw Data'!AV88)</f>
        <v>166.666666666667</v>
      </c>
      <c r="AR77" s="12" t="n">
        <f aca="false">IF('Raw Data'!AW88="",0,'Raw Data'!AW88)</f>
        <v>166.666666666667</v>
      </c>
      <c r="AS77" s="12" t="n">
        <f aca="false">IF('Raw Data'!AX88="",0,'Raw Data'!AX88)</f>
        <v>166.666666666667</v>
      </c>
      <c r="AT77" s="12" t="n">
        <f aca="false">IF('Raw Data'!AY88="",0,'Raw Data'!AY88)</f>
        <v>166.666666666667</v>
      </c>
      <c r="AU77" s="12" t="n">
        <f aca="false">IF('Raw Data'!AZ88="",0,'Raw Data'!AZ88)</f>
        <v>500</v>
      </c>
      <c r="AV77" s="12" t="n">
        <f aca="false">IF('Raw Data'!BA88="",0,'Raw Data'!BA88)</f>
        <v>500</v>
      </c>
      <c r="AW77" s="12" t="n">
        <f aca="false">IF('Raw Data'!BB88="",0,'Raw Data'!BB88)</f>
        <v>500</v>
      </c>
      <c r="AX77" s="12" t="n">
        <f aca="false">IF('Raw Data'!BC88="",0,'Raw Data'!BC88)</f>
        <v>520.8325</v>
      </c>
      <c r="AY77" s="12" t="n">
        <f aca="false">IF('Raw Data'!BD88="",0,'Raw Data'!BD88)</f>
        <v>520.8325</v>
      </c>
      <c r="AZ77" s="12" t="n">
        <f aca="false">IF('Raw Data'!BE88="",0,'Raw Data'!BE88)</f>
        <v>520.8325</v>
      </c>
      <c r="BA77" s="12" t="n">
        <f aca="false">IF('Raw Data'!BF88="",0,'Raw Data'!BF88)</f>
        <v>520.8325</v>
      </c>
      <c r="BB77" s="12" t="n">
        <f aca="false">IF('Raw Data'!BG88="",0,'Raw Data'!BG88)</f>
        <v>604.16625</v>
      </c>
      <c r="BC77" s="12" t="n">
        <f aca="false">IF('Raw Data'!BH88="",0,'Raw Data'!BH88)</f>
        <v>604.16625</v>
      </c>
      <c r="BD77" s="12" t="n">
        <f aca="false">IF('Raw Data'!BI88="",0,'Raw Data'!BI88)</f>
        <v>604.16625</v>
      </c>
      <c r="BE77" s="12" t="n">
        <f aca="false">IF('Raw Data'!BJ88="",0,'Raw Data'!BJ88)</f>
        <v>604.16625</v>
      </c>
      <c r="BF77" s="12" t="n">
        <f aca="false">IF('Raw Data'!BK88="",0,'Raw Data'!BK88)</f>
        <v>604.16625</v>
      </c>
      <c r="BG77" s="12" t="n">
        <f aca="false">IF('Raw Data'!BL88="",0,'Raw Data'!BL88)</f>
        <v>604.16625</v>
      </c>
      <c r="BH77" s="12" t="n">
        <f aca="false">IF('Raw Data'!BM88="",0,'Raw Data'!BM88)</f>
        <v>604.16625</v>
      </c>
      <c r="BI77" s="12" t="n">
        <f aca="false">IF('Raw Data'!BN88="",0,'Raw Data'!BN88)</f>
        <v>604.16625</v>
      </c>
      <c r="BJ77" s="12" t="n">
        <f aca="false">IF('Raw Data'!BO88="",0,'Raw Data'!BO88)</f>
        <v>652.775</v>
      </c>
      <c r="BK77" s="12" t="n">
        <f aca="false">IF('Raw Data'!BP88="",0,'Raw Data'!BP88)</f>
        <v>652.775</v>
      </c>
      <c r="BL77" s="12" t="n">
        <f aca="false">IF('Raw Data'!BQ88="",0,'Raw Data'!BQ88)</f>
        <v>652.775</v>
      </c>
      <c r="BM77" s="12" t="n">
        <f aca="false">IF('Raw Data'!BR88="",0,'Raw Data'!BR88)</f>
        <v>652.775</v>
      </c>
      <c r="BN77" s="12" t="n">
        <f aca="false">IF('Raw Data'!BS88="",0,'Raw Data'!BS88)</f>
        <v>652.775</v>
      </c>
      <c r="BO77" s="21" t="b">
        <f aca="false">FALSE()</f>
        <v>0</v>
      </c>
    </row>
    <row r="78" customFormat="false" ht="15" hidden="false" customHeight="false" outlineLevel="0" collapsed="false">
      <c r="A78" s="20" t="str">
        <f aca="false">'Raw Data'!A89</f>
        <v>Local Account #79 from WA</v>
      </c>
      <c r="B78" s="12" t="n">
        <f aca="false">IF('Raw Data'!G89="",0,'Raw Data'!G89)</f>
        <v>0</v>
      </c>
      <c r="C78" s="12" t="n">
        <f aca="false">IF('Raw Data'!H89="",0,'Raw Data'!H89)</f>
        <v>0</v>
      </c>
      <c r="D78" s="12" t="n">
        <f aca="false">IF('Raw Data'!I89="",0,'Raw Data'!I89)</f>
        <v>0</v>
      </c>
      <c r="E78" s="12" t="n">
        <f aca="false">IF('Raw Data'!J89="",0,'Raw Data'!J89)</f>
        <v>0</v>
      </c>
      <c r="F78" s="12" t="n">
        <f aca="false">IF('Raw Data'!K89="",0,'Raw Data'!K89)</f>
        <v>0</v>
      </c>
      <c r="G78" s="12" t="n">
        <f aca="false">IF('Raw Data'!L89="",0,'Raw Data'!L89)</f>
        <v>0</v>
      </c>
      <c r="H78" s="12" t="n">
        <f aca="false">IF('Raw Data'!M89="",0,'Raw Data'!M89)</f>
        <v>0</v>
      </c>
      <c r="I78" s="12" t="n">
        <f aca="false">IF('Raw Data'!N89="",0,'Raw Data'!N89)</f>
        <v>0</v>
      </c>
      <c r="J78" s="12" t="n">
        <f aca="false">IF('Raw Data'!O89="",0,'Raw Data'!O89)</f>
        <v>0</v>
      </c>
      <c r="K78" s="12" t="n">
        <f aca="false">IF('Raw Data'!P89="",0,'Raw Data'!P89)</f>
        <v>0</v>
      </c>
      <c r="L78" s="12" t="n">
        <f aca="false">IF('Raw Data'!Q89="",0,'Raw Data'!Q89)</f>
        <v>0</v>
      </c>
      <c r="M78" s="12" t="n">
        <f aca="false">IF('Raw Data'!R89="",0,'Raw Data'!R89)</f>
        <v>0</v>
      </c>
      <c r="N78" s="12" t="n">
        <f aca="false">IF('Raw Data'!S89="",0,'Raw Data'!S89)</f>
        <v>0</v>
      </c>
      <c r="O78" s="12" t="n">
        <f aca="false">IF('Raw Data'!T89="",0,'Raw Data'!T89)</f>
        <v>0</v>
      </c>
      <c r="P78" s="12" t="n">
        <f aca="false">IF('Raw Data'!U89="",0,'Raw Data'!U89)</f>
        <v>0</v>
      </c>
      <c r="Q78" s="12" t="n">
        <f aca="false">IF('Raw Data'!V89="",0,'Raw Data'!V89)</f>
        <v>0</v>
      </c>
      <c r="R78" s="12" t="n">
        <f aca="false">IF('Raw Data'!W89="",0,'Raw Data'!W89)</f>
        <v>0</v>
      </c>
      <c r="S78" s="12" t="n">
        <f aca="false">IF('Raw Data'!X89="",0,'Raw Data'!X89)</f>
        <v>0</v>
      </c>
      <c r="T78" s="12" t="n">
        <f aca="false">IF('Raw Data'!Y89="",0,'Raw Data'!Y89)</f>
        <v>0</v>
      </c>
      <c r="U78" s="12" t="n">
        <f aca="false">IF('Raw Data'!Z89="",0,'Raw Data'!Z89)</f>
        <v>0</v>
      </c>
      <c r="V78" s="12" t="n">
        <f aca="false">IF('Raw Data'!AA89="",0,'Raw Data'!AA89)</f>
        <v>0</v>
      </c>
      <c r="W78" s="12" t="n">
        <f aca="false">IF('Raw Data'!AB89="",0,'Raw Data'!AB89)</f>
        <v>0</v>
      </c>
      <c r="X78" s="12" t="n">
        <f aca="false">IF('Raw Data'!AC89="",0,'Raw Data'!AC89)</f>
        <v>0</v>
      </c>
      <c r="Y78" s="12" t="n">
        <f aca="false">IF('Raw Data'!AD89="",0,'Raw Data'!AD89)</f>
        <v>0</v>
      </c>
      <c r="Z78" s="12" t="n">
        <f aca="false">IF('Raw Data'!AE89="",0,'Raw Data'!AE89)</f>
        <v>0</v>
      </c>
      <c r="AA78" s="12" t="n">
        <f aca="false">IF('Raw Data'!AF89="",0,'Raw Data'!AF89)</f>
        <v>0</v>
      </c>
      <c r="AB78" s="12" t="n">
        <f aca="false">IF('Raw Data'!AG89="",0,'Raw Data'!AG89)</f>
        <v>0</v>
      </c>
      <c r="AC78" s="12" t="n">
        <f aca="false">IF('Raw Data'!AH89="",0,'Raw Data'!AH89)</f>
        <v>0</v>
      </c>
      <c r="AD78" s="12" t="n">
        <f aca="false">IF('Raw Data'!AI89="",0,'Raw Data'!AI89)</f>
        <v>0</v>
      </c>
      <c r="AE78" s="12" t="n">
        <f aca="false">IF('Raw Data'!AJ89="",0,'Raw Data'!AJ89)</f>
        <v>0</v>
      </c>
      <c r="AF78" s="12" t="n">
        <f aca="false">IF('Raw Data'!AK89="",0,'Raw Data'!AK89)</f>
        <v>0</v>
      </c>
      <c r="AG78" s="12" t="n">
        <f aca="false">IF('Raw Data'!AL89="",0,'Raw Data'!AL89)</f>
        <v>0</v>
      </c>
      <c r="AH78" s="12" t="n">
        <f aca="false">IF('Raw Data'!AM89="",0,'Raw Data'!AM89)</f>
        <v>0</v>
      </c>
      <c r="AI78" s="12" t="n">
        <f aca="false">IF('Raw Data'!AN89="",0,'Raw Data'!AN89)</f>
        <v>0</v>
      </c>
      <c r="AJ78" s="12" t="n">
        <f aca="false">IF('Raw Data'!AO89="",0,'Raw Data'!AO89)</f>
        <v>0</v>
      </c>
      <c r="AK78" s="12" t="n">
        <f aca="false">IF('Raw Data'!AP89="",0,'Raw Data'!AP89)</f>
        <v>0</v>
      </c>
      <c r="AL78" s="12" t="n">
        <f aca="false">IF('Raw Data'!AQ89="",0,'Raw Data'!AQ89)</f>
        <v>0</v>
      </c>
      <c r="AM78" s="12" t="n">
        <f aca="false">IF('Raw Data'!AR89="",0,'Raw Data'!AR89)</f>
        <v>1375</v>
      </c>
      <c r="AN78" s="12" t="n">
        <f aca="false">IF('Raw Data'!AS89="",0,'Raw Data'!AS89)</f>
        <v>1375</v>
      </c>
      <c r="AO78" s="12" t="n">
        <f aca="false">IF('Raw Data'!AT89="",0,'Raw Data'!AT89)</f>
        <v>1375</v>
      </c>
      <c r="AP78" s="12" t="n">
        <f aca="false">IF('Raw Data'!AU89="",0,'Raw Data'!AU89)</f>
        <v>1375</v>
      </c>
      <c r="AQ78" s="12" t="n">
        <f aca="false">IF('Raw Data'!AV89="",0,'Raw Data'!AV89)</f>
        <v>1375</v>
      </c>
      <c r="AR78" s="12" t="n">
        <f aca="false">IF('Raw Data'!AW89="",0,'Raw Data'!AW89)</f>
        <v>1375</v>
      </c>
      <c r="AS78" s="12" t="n">
        <f aca="false">IF('Raw Data'!AX89="",0,'Raw Data'!AX89)</f>
        <v>1375</v>
      </c>
      <c r="AT78" s="12" t="n">
        <f aca="false">IF('Raw Data'!AY89="",0,'Raw Data'!AY89)</f>
        <v>1375</v>
      </c>
      <c r="AU78" s="12" t="n">
        <f aca="false">IF('Raw Data'!AZ89="",0,'Raw Data'!AZ89)</f>
        <v>1787.5</v>
      </c>
      <c r="AV78" s="12" t="n">
        <f aca="false">IF('Raw Data'!BA89="",0,'Raw Data'!BA89)</f>
        <v>1787.5</v>
      </c>
      <c r="AW78" s="12" t="n">
        <f aca="false">IF('Raw Data'!BB89="",0,'Raw Data'!BB89)</f>
        <v>1787.5</v>
      </c>
      <c r="AX78" s="12" t="n">
        <f aca="false">IF('Raw Data'!BC89="",0,'Raw Data'!BC89)</f>
        <v>1787.5</v>
      </c>
      <c r="AY78" s="12" t="n">
        <f aca="false">IF('Raw Data'!BD89="",0,'Raw Data'!BD89)</f>
        <v>1787.5</v>
      </c>
      <c r="AZ78" s="12" t="n">
        <f aca="false">IF('Raw Data'!BE89="",0,'Raw Data'!BE89)</f>
        <v>1787.5</v>
      </c>
      <c r="BA78" s="12" t="n">
        <f aca="false">IF('Raw Data'!BF89="",0,'Raw Data'!BF89)</f>
        <v>1787.5</v>
      </c>
      <c r="BB78" s="12" t="n">
        <f aca="false">IF('Raw Data'!BG89="",0,'Raw Data'!BG89)</f>
        <v>1787.5</v>
      </c>
      <c r="BC78" s="12" t="n">
        <f aca="false">IF('Raw Data'!BH89="",0,'Raw Data'!BH89)</f>
        <v>1787.5</v>
      </c>
      <c r="BD78" s="12" t="n">
        <f aca="false">IF('Raw Data'!BI89="",0,'Raw Data'!BI89)</f>
        <v>1787.5</v>
      </c>
      <c r="BE78" s="12" t="n">
        <f aca="false">IF('Raw Data'!BJ89="",0,'Raw Data'!BJ89)</f>
        <v>1787.5</v>
      </c>
      <c r="BF78" s="12" t="n">
        <f aca="false">IF('Raw Data'!BK89="",0,'Raw Data'!BK89)</f>
        <v>1787.5</v>
      </c>
      <c r="BG78" s="12" t="n">
        <f aca="false">IF('Raw Data'!BL89="",0,'Raw Data'!BL89)</f>
        <v>1787.5</v>
      </c>
      <c r="BH78" s="12" t="n">
        <f aca="false">IF('Raw Data'!BM89="",0,'Raw Data'!BM89)</f>
        <v>1787.5</v>
      </c>
      <c r="BI78" s="12" t="n">
        <f aca="false">IF('Raw Data'!BN89="",0,'Raw Data'!BN89)</f>
        <v>1787.5</v>
      </c>
      <c r="BJ78" s="12" t="n">
        <f aca="false">IF('Raw Data'!BO89="",0,'Raw Data'!BO89)</f>
        <v>1787.5</v>
      </c>
      <c r="BK78" s="12" t="n">
        <f aca="false">IF('Raw Data'!BP89="",0,'Raw Data'!BP89)</f>
        <v>137.5</v>
      </c>
      <c r="BL78" s="12" t="n">
        <f aca="false">IF('Raw Data'!BQ89="",0,'Raw Data'!BQ89)</f>
        <v>137.5</v>
      </c>
      <c r="BM78" s="12" t="n">
        <f aca="false">IF('Raw Data'!BR89="",0,'Raw Data'!BR89)</f>
        <v>137.5</v>
      </c>
      <c r="BN78" s="12" t="n">
        <f aca="false">IF('Raw Data'!BS89="",0,'Raw Data'!BS89)</f>
        <v>137.5</v>
      </c>
      <c r="BO78" s="21" t="b">
        <f aca="false">FALSE()</f>
        <v>0</v>
      </c>
    </row>
    <row r="79" customFormat="false" ht="15" hidden="false" customHeight="false" outlineLevel="0" collapsed="false">
      <c r="A79" s="20" t="str">
        <f aca="false">'Raw Data'!A19</f>
        <v>Local Account #8 from KY</v>
      </c>
      <c r="B79" s="12" t="n">
        <f aca="false">IF('Raw Data'!G19="",0,'Raw Data'!G19)</f>
        <v>0</v>
      </c>
      <c r="C79" s="12" t="n">
        <f aca="false">IF('Raw Data'!H19="",0,'Raw Data'!H19)</f>
        <v>0</v>
      </c>
      <c r="D79" s="12" t="n">
        <f aca="false">IF('Raw Data'!I19="",0,'Raw Data'!I19)</f>
        <v>0</v>
      </c>
      <c r="E79" s="12" t="n">
        <f aca="false">IF('Raw Data'!J19="",0,'Raw Data'!J19)</f>
        <v>0</v>
      </c>
      <c r="F79" s="12" t="n">
        <f aca="false">IF('Raw Data'!K19="",0,'Raw Data'!K19)</f>
        <v>0</v>
      </c>
      <c r="G79" s="12" t="n">
        <f aca="false">IF('Raw Data'!L19="",0,'Raw Data'!L19)</f>
        <v>0</v>
      </c>
      <c r="H79" s="12" t="n">
        <f aca="false">IF('Raw Data'!M19="",0,'Raw Data'!M19)</f>
        <v>0</v>
      </c>
      <c r="I79" s="12" t="n">
        <f aca="false">IF('Raw Data'!N19="",0,'Raw Data'!N19)</f>
        <v>0</v>
      </c>
      <c r="J79" s="12" t="n">
        <f aca="false">IF('Raw Data'!O19="",0,'Raw Data'!O19)</f>
        <v>0</v>
      </c>
      <c r="K79" s="12" t="n">
        <f aca="false">IF('Raw Data'!P19="",0,'Raw Data'!P19)</f>
        <v>0</v>
      </c>
      <c r="L79" s="12" t="n">
        <f aca="false">IF('Raw Data'!Q19="",0,'Raw Data'!Q19)</f>
        <v>0</v>
      </c>
      <c r="M79" s="12" t="n">
        <f aca="false">IF('Raw Data'!R19="",0,'Raw Data'!R19)</f>
        <v>0</v>
      </c>
      <c r="N79" s="12" t="n">
        <f aca="false">IF('Raw Data'!S19="",0,'Raw Data'!S19)</f>
        <v>0</v>
      </c>
      <c r="O79" s="12" t="n">
        <f aca="false">IF('Raw Data'!T19="",0,'Raw Data'!T19)</f>
        <v>0</v>
      </c>
      <c r="P79" s="12" t="n">
        <f aca="false">IF('Raw Data'!U19="",0,'Raw Data'!U19)</f>
        <v>0</v>
      </c>
      <c r="Q79" s="12" t="n">
        <f aca="false">IF('Raw Data'!V19="",0,'Raw Data'!V19)</f>
        <v>0</v>
      </c>
      <c r="R79" s="12" t="n">
        <f aca="false">IF('Raw Data'!W19="",0,'Raw Data'!W19)</f>
        <v>0</v>
      </c>
      <c r="S79" s="12" t="n">
        <f aca="false">IF('Raw Data'!X19="",0,'Raw Data'!X19)</f>
        <v>0</v>
      </c>
      <c r="T79" s="12" t="n">
        <f aca="false">IF('Raw Data'!Y19="",0,'Raw Data'!Y19)</f>
        <v>0</v>
      </c>
      <c r="U79" s="12" t="n">
        <f aca="false">IF('Raw Data'!Z19="",0,'Raw Data'!Z19)</f>
        <v>0</v>
      </c>
      <c r="V79" s="12" t="n">
        <f aca="false">IF('Raw Data'!AA19="",0,'Raw Data'!AA19)</f>
        <v>0</v>
      </c>
      <c r="W79" s="12" t="n">
        <f aca="false">IF('Raw Data'!AB19="",0,'Raw Data'!AB19)</f>
        <v>0</v>
      </c>
      <c r="X79" s="12" t="n">
        <f aca="false">IF('Raw Data'!AC19="",0,'Raw Data'!AC19)</f>
        <v>0</v>
      </c>
      <c r="Y79" s="12" t="n">
        <f aca="false">IF('Raw Data'!AD19="",0,'Raw Data'!AD19)</f>
        <v>0</v>
      </c>
      <c r="Z79" s="12" t="n">
        <f aca="false">IF('Raw Data'!AE19="",0,'Raw Data'!AE19)</f>
        <v>0</v>
      </c>
      <c r="AA79" s="12" t="n">
        <f aca="false">IF('Raw Data'!AF19="",0,'Raw Data'!AF19)</f>
        <v>0</v>
      </c>
      <c r="AB79" s="12" t="n">
        <f aca="false">IF('Raw Data'!AG19="",0,'Raw Data'!AG19)</f>
        <v>0</v>
      </c>
      <c r="AC79" s="12" t="n">
        <f aca="false">IF('Raw Data'!AH19="",0,'Raw Data'!AH19)</f>
        <v>0</v>
      </c>
      <c r="AD79" s="12" t="n">
        <f aca="false">IF('Raw Data'!AI19="",0,'Raw Data'!AI19)</f>
        <v>0</v>
      </c>
      <c r="AE79" s="12" t="n">
        <f aca="false">IF('Raw Data'!AJ19="",0,'Raw Data'!AJ19)</f>
        <v>0</v>
      </c>
      <c r="AF79" s="12" t="n">
        <f aca="false">IF('Raw Data'!AK19="",0,'Raw Data'!AK19)</f>
        <v>0</v>
      </c>
      <c r="AG79" s="12" t="n">
        <f aca="false">IF('Raw Data'!AL19="",0,'Raw Data'!AL19)</f>
        <v>0</v>
      </c>
      <c r="AH79" s="12" t="n">
        <f aca="false">IF('Raw Data'!AM19="",0,'Raw Data'!AM19)</f>
        <v>0</v>
      </c>
      <c r="AI79" s="12" t="n">
        <f aca="false">IF('Raw Data'!AN19="",0,'Raw Data'!AN19)</f>
        <v>0</v>
      </c>
      <c r="AJ79" s="12" t="n">
        <f aca="false">IF('Raw Data'!AO19="",0,'Raw Data'!AO19)</f>
        <v>0</v>
      </c>
      <c r="AK79" s="12" t="n">
        <f aca="false">IF('Raw Data'!AP19="",0,'Raw Data'!AP19)</f>
        <v>0</v>
      </c>
      <c r="AL79" s="12" t="n">
        <f aca="false">IF('Raw Data'!AQ19="",0,'Raw Data'!AQ19)</f>
        <v>0</v>
      </c>
      <c r="AM79" s="12" t="n">
        <f aca="false">IF('Raw Data'!AR19="",0,'Raw Data'!AR19)</f>
        <v>0</v>
      </c>
      <c r="AN79" s="12" t="n">
        <f aca="false">IF('Raw Data'!AS19="",0,'Raw Data'!AS19)</f>
        <v>0</v>
      </c>
      <c r="AO79" s="12" t="n">
        <f aca="false">IF('Raw Data'!AT19="",0,'Raw Data'!AT19)</f>
        <v>0</v>
      </c>
      <c r="AP79" s="12" t="n">
        <f aca="false">IF('Raw Data'!AU19="",0,'Raw Data'!AU19)</f>
        <v>0</v>
      </c>
      <c r="AQ79" s="12" t="n">
        <f aca="false">IF('Raw Data'!AV19="",0,'Raw Data'!AV19)</f>
        <v>0</v>
      </c>
      <c r="AR79" s="12" t="n">
        <f aca="false">IF('Raw Data'!AW19="",0,'Raw Data'!AW19)</f>
        <v>0</v>
      </c>
      <c r="AS79" s="12" t="n">
        <f aca="false">IF('Raw Data'!AX19="",0,'Raw Data'!AX19)</f>
        <v>0</v>
      </c>
      <c r="AT79" s="12" t="n">
        <f aca="false">IF('Raw Data'!AY19="",0,'Raw Data'!AY19)</f>
        <v>0</v>
      </c>
      <c r="AU79" s="12" t="n">
        <f aca="false">IF('Raw Data'!AZ19="",0,'Raw Data'!AZ19)</f>
        <v>0</v>
      </c>
      <c r="AV79" s="12" t="n">
        <f aca="false">IF('Raw Data'!BA19="",0,'Raw Data'!BA19)</f>
        <v>0</v>
      </c>
      <c r="AW79" s="12" t="n">
        <f aca="false">IF('Raw Data'!BB19="",0,'Raw Data'!BB19)</f>
        <v>0</v>
      </c>
      <c r="AX79" s="12" t="n">
        <f aca="false">IF('Raw Data'!BC19="",0,'Raw Data'!BC19)</f>
        <v>0</v>
      </c>
      <c r="AY79" s="12" t="n">
        <f aca="false">IF('Raw Data'!BD19="",0,'Raw Data'!BD19)</f>
        <v>0</v>
      </c>
      <c r="AZ79" s="12" t="n">
        <f aca="false">IF('Raw Data'!BE19="",0,'Raw Data'!BE19)</f>
        <v>125</v>
      </c>
      <c r="BA79" s="12" t="n">
        <f aca="false">IF('Raw Data'!BF19="",0,'Raw Data'!BF19)</f>
        <v>125</v>
      </c>
      <c r="BB79" s="12" t="n">
        <f aca="false">IF('Raw Data'!BG19="",0,'Raw Data'!BG19)</f>
        <v>125</v>
      </c>
      <c r="BC79" s="12" t="n">
        <f aca="false">IF('Raw Data'!BH19="",0,'Raw Data'!BH19)</f>
        <v>125</v>
      </c>
      <c r="BD79" s="12" t="n">
        <f aca="false">IF('Raw Data'!BI19="",0,'Raw Data'!BI19)</f>
        <v>125</v>
      </c>
      <c r="BE79" s="12" t="n">
        <f aca="false">IF('Raw Data'!BJ19="",0,'Raw Data'!BJ19)</f>
        <v>125</v>
      </c>
      <c r="BF79" s="12" t="n">
        <f aca="false">IF('Raw Data'!BK19="",0,'Raw Data'!BK19)</f>
        <v>125</v>
      </c>
      <c r="BG79" s="12" t="n">
        <f aca="false">IF('Raw Data'!BL19="",0,'Raw Data'!BL19)</f>
        <v>125</v>
      </c>
      <c r="BH79" s="12" t="n">
        <f aca="false">IF('Raw Data'!BM19="",0,'Raw Data'!BM19)</f>
        <v>125</v>
      </c>
      <c r="BI79" s="12" t="n">
        <f aca="false">IF('Raw Data'!BN19="",0,'Raw Data'!BN19)</f>
        <v>125</v>
      </c>
      <c r="BJ79" s="12" t="n">
        <f aca="false">IF('Raw Data'!BO19="",0,'Raw Data'!BO19)</f>
        <v>125</v>
      </c>
      <c r="BK79" s="12" t="n">
        <f aca="false">IF('Raw Data'!BP19="",0,'Raw Data'!BP19)</f>
        <v>125</v>
      </c>
      <c r="BL79" s="12" t="n">
        <f aca="false">IF('Raw Data'!BQ19="",0,'Raw Data'!BQ19)</f>
        <v>0</v>
      </c>
      <c r="BM79" s="12" t="n">
        <f aca="false">IF('Raw Data'!BR19="",0,'Raw Data'!BR19)</f>
        <v>0</v>
      </c>
      <c r="BN79" s="12" t="n">
        <f aca="false">IF('Raw Data'!BS19="",0,'Raw Data'!BS19)</f>
        <v>0</v>
      </c>
      <c r="BO79" s="21" t="b">
        <f aca="false">FALSE()</f>
        <v>0</v>
      </c>
    </row>
    <row r="80" customFormat="false" ht="15" hidden="false" customHeight="false" outlineLevel="0" collapsed="false">
      <c r="A80" s="20" t="str">
        <f aca="false">'Raw Data'!A90</f>
        <v>Local Account #80 from KY</v>
      </c>
      <c r="B80" s="12" t="n">
        <f aca="false">IF('Raw Data'!G90="",0,'Raw Data'!G90)</f>
        <v>583.333333333333</v>
      </c>
      <c r="C80" s="12" t="n">
        <f aca="false">IF('Raw Data'!H90="",0,'Raw Data'!H90)</f>
        <v>583.333333333333</v>
      </c>
      <c r="D80" s="12" t="n">
        <f aca="false">IF('Raw Data'!I90="",0,'Raw Data'!I90)</f>
        <v>291.666666666667</v>
      </c>
      <c r="E80" s="12" t="n">
        <f aca="false">IF('Raw Data'!J90="",0,'Raw Data'!J90)</f>
        <v>291.666666666667</v>
      </c>
      <c r="F80" s="12" t="n">
        <f aca="false">IF('Raw Data'!K90="",0,'Raw Data'!K90)</f>
        <v>291.666666666667</v>
      </c>
      <c r="G80" s="12" t="n">
        <f aca="false">IF('Raw Data'!L90="",0,'Raw Data'!L90)</f>
        <v>291.666666666667</v>
      </c>
      <c r="H80" s="12" t="n">
        <f aca="false">IF('Raw Data'!M90="",0,'Raw Data'!M90)</f>
        <v>291.666666666667</v>
      </c>
      <c r="I80" s="12" t="n">
        <f aca="false">IF('Raw Data'!N90="",0,'Raw Data'!N90)</f>
        <v>291.666666666667</v>
      </c>
      <c r="J80" s="12" t="n">
        <f aca="false">IF('Raw Data'!O90="",0,'Raw Data'!O90)</f>
        <v>291.666666666667</v>
      </c>
      <c r="K80" s="12" t="n">
        <f aca="false">IF('Raw Data'!P90="",0,'Raw Data'!P90)</f>
        <v>291.666666666667</v>
      </c>
      <c r="L80" s="12" t="n">
        <f aca="false">IF('Raw Data'!Q90="",0,'Raw Data'!Q90)</f>
        <v>291.666666666667</v>
      </c>
      <c r="M80" s="12" t="n">
        <f aca="false">IF('Raw Data'!R90="",0,'Raw Data'!R90)</f>
        <v>291.666666666667</v>
      </c>
      <c r="N80" s="12" t="n">
        <f aca="false">IF('Raw Data'!S90="",0,'Raw Data'!S90)</f>
        <v>291.666666666667</v>
      </c>
      <c r="O80" s="12" t="n">
        <f aca="false">IF('Raw Data'!T90="",0,'Raw Data'!T90)</f>
        <v>291.666666666667</v>
      </c>
      <c r="P80" s="12" t="n">
        <f aca="false">IF('Raw Data'!U90="",0,'Raw Data'!U90)</f>
        <v>0</v>
      </c>
      <c r="Q80" s="12" t="n">
        <f aca="false">IF('Raw Data'!V90="",0,'Raw Data'!V90)</f>
        <v>0</v>
      </c>
      <c r="R80" s="12" t="n">
        <f aca="false">IF('Raw Data'!W90="",0,'Raw Data'!W90)</f>
        <v>0</v>
      </c>
      <c r="S80" s="12" t="n">
        <f aca="false">IF('Raw Data'!X90="",0,'Raw Data'!X90)</f>
        <v>0</v>
      </c>
      <c r="T80" s="12" t="n">
        <f aca="false">IF('Raw Data'!Y90="",0,'Raw Data'!Y90)</f>
        <v>0</v>
      </c>
      <c r="U80" s="12" t="n">
        <f aca="false">IF('Raw Data'!Z90="",0,'Raw Data'!Z90)</f>
        <v>0</v>
      </c>
      <c r="V80" s="12" t="n">
        <f aca="false">IF('Raw Data'!AA90="",0,'Raw Data'!AA90)</f>
        <v>0</v>
      </c>
      <c r="W80" s="12" t="n">
        <f aca="false">IF('Raw Data'!AB90="",0,'Raw Data'!AB90)</f>
        <v>0</v>
      </c>
      <c r="X80" s="12" t="n">
        <f aca="false">IF('Raw Data'!AC90="",0,'Raw Data'!AC90)</f>
        <v>0</v>
      </c>
      <c r="Y80" s="12" t="n">
        <f aca="false">IF('Raw Data'!AD90="",0,'Raw Data'!AD90)</f>
        <v>0</v>
      </c>
      <c r="Z80" s="12" t="n">
        <f aca="false">IF('Raw Data'!AE90="",0,'Raw Data'!AE90)</f>
        <v>0</v>
      </c>
      <c r="AA80" s="12" t="n">
        <f aca="false">IF('Raw Data'!AF90="",0,'Raw Data'!AF90)</f>
        <v>0</v>
      </c>
      <c r="AB80" s="12" t="n">
        <f aca="false">IF('Raw Data'!AG90="",0,'Raw Data'!AG90)</f>
        <v>0</v>
      </c>
      <c r="AC80" s="12" t="n">
        <f aca="false">IF('Raw Data'!AH90="",0,'Raw Data'!AH90)</f>
        <v>0</v>
      </c>
      <c r="AD80" s="12" t="n">
        <f aca="false">IF('Raw Data'!AI90="",0,'Raw Data'!AI90)</f>
        <v>0</v>
      </c>
      <c r="AE80" s="12" t="n">
        <f aca="false">IF('Raw Data'!AJ90="",0,'Raw Data'!AJ90)</f>
        <v>0</v>
      </c>
      <c r="AF80" s="12" t="n">
        <f aca="false">IF('Raw Data'!AK90="",0,'Raw Data'!AK90)</f>
        <v>0</v>
      </c>
      <c r="AG80" s="12" t="n">
        <f aca="false">IF('Raw Data'!AL90="",0,'Raw Data'!AL90)</f>
        <v>0</v>
      </c>
      <c r="AH80" s="12" t="n">
        <f aca="false">IF('Raw Data'!AM90="",0,'Raw Data'!AM90)</f>
        <v>0</v>
      </c>
      <c r="AI80" s="12" t="n">
        <f aca="false">IF('Raw Data'!AN90="",0,'Raw Data'!AN90)</f>
        <v>0</v>
      </c>
      <c r="AJ80" s="12" t="n">
        <f aca="false">IF('Raw Data'!AO90="",0,'Raw Data'!AO90)</f>
        <v>0</v>
      </c>
      <c r="AK80" s="12" t="n">
        <f aca="false">IF('Raw Data'!AP90="",0,'Raw Data'!AP90)</f>
        <v>0</v>
      </c>
      <c r="AL80" s="12" t="n">
        <f aca="false">IF('Raw Data'!AQ90="",0,'Raw Data'!AQ90)</f>
        <v>0</v>
      </c>
      <c r="AM80" s="12" t="n">
        <f aca="false">IF('Raw Data'!AR90="",0,'Raw Data'!AR90)</f>
        <v>0</v>
      </c>
      <c r="AN80" s="12" t="n">
        <f aca="false">IF('Raw Data'!AS90="",0,'Raw Data'!AS90)</f>
        <v>0</v>
      </c>
      <c r="AO80" s="12" t="n">
        <f aca="false">IF('Raw Data'!AT90="",0,'Raw Data'!AT90)</f>
        <v>0</v>
      </c>
      <c r="AP80" s="12" t="n">
        <f aca="false">IF('Raw Data'!AU90="",0,'Raw Data'!AU90)</f>
        <v>0</v>
      </c>
      <c r="AQ80" s="12" t="n">
        <f aca="false">IF('Raw Data'!AV90="",0,'Raw Data'!AV90)</f>
        <v>0</v>
      </c>
      <c r="AR80" s="12" t="n">
        <f aca="false">IF('Raw Data'!AW90="",0,'Raw Data'!AW90)</f>
        <v>0</v>
      </c>
      <c r="AS80" s="12" t="n">
        <f aca="false">IF('Raw Data'!AX90="",0,'Raw Data'!AX90)</f>
        <v>0</v>
      </c>
      <c r="AT80" s="12" t="n">
        <f aca="false">IF('Raw Data'!AY90="",0,'Raw Data'!AY90)</f>
        <v>0</v>
      </c>
      <c r="AU80" s="12" t="n">
        <f aca="false">IF('Raw Data'!AZ90="",0,'Raw Data'!AZ90)</f>
        <v>0</v>
      </c>
      <c r="AV80" s="12" t="n">
        <f aca="false">IF('Raw Data'!BA90="",0,'Raw Data'!BA90)</f>
        <v>0</v>
      </c>
      <c r="AW80" s="12" t="n">
        <f aca="false">IF('Raw Data'!BB90="",0,'Raw Data'!BB90)</f>
        <v>0</v>
      </c>
      <c r="AX80" s="12" t="n">
        <f aca="false">IF('Raw Data'!BC90="",0,'Raw Data'!BC90)</f>
        <v>0</v>
      </c>
      <c r="AY80" s="12" t="n">
        <f aca="false">IF('Raw Data'!BD90="",0,'Raw Data'!BD90)</f>
        <v>0</v>
      </c>
      <c r="AZ80" s="12" t="n">
        <f aca="false">IF('Raw Data'!BE90="",0,'Raw Data'!BE90)</f>
        <v>0</v>
      </c>
      <c r="BA80" s="12" t="n">
        <f aca="false">IF('Raw Data'!BF90="",0,'Raw Data'!BF90)</f>
        <v>0</v>
      </c>
      <c r="BB80" s="12" t="n">
        <f aca="false">IF('Raw Data'!BG90="",0,'Raw Data'!BG90)</f>
        <v>0</v>
      </c>
      <c r="BC80" s="12" t="n">
        <f aca="false">IF('Raw Data'!BH90="",0,'Raw Data'!BH90)</f>
        <v>0</v>
      </c>
      <c r="BD80" s="12" t="n">
        <f aca="false">IF('Raw Data'!BI90="",0,'Raw Data'!BI90)</f>
        <v>0</v>
      </c>
      <c r="BE80" s="12" t="n">
        <f aca="false">IF('Raw Data'!BJ90="",0,'Raw Data'!BJ90)</f>
        <v>0</v>
      </c>
      <c r="BF80" s="12" t="n">
        <f aca="false">IF('Raw Data'!BK90="",0,'Raw Data'!BK90)</f>
        <v>0</v>
      </c>
      <c r="BG80" s="12" t="n">
        <f aca="false">IF('Raw Data'!BL90="",0,'Raw Data'!BL90)</f>
        <v>0</v>
      </c>
      <c r="BH80" s="12" t="n">
        <f aca="false">IF('Raw Data'!BM90="",0,'Raw Data'!BM90)</f>
        <v>0</v>
      </c>
      <c r="BI80" s="12" t="n">
        <f aca="false">IF('Raw Data'!BN90="",0,'Raw Data'!BN90)</f>
        <v>0</v>
      </c>
      <c r="BJ80" s="12" t="n">
        <f aca="false">IF('Raw Data'!BO90="",0,'Raw Data'!BO90)</f>
        <v>0</v>
      </c>
      <c r="BK80" s="12" t="n">
        <f aca="false">IF('Raw Data'!BP90="",0,'Raw Data'!BP90)</f>
        <v>0</v>
      </c>
      <c r="BL80" s="12" t="n">
        <f aca="false">IF('Raw Data'!BQ90="",0,'Raw Data'!BQ90)</f>
        <v>0</v>
      </c>
      <c r="BM80" s="12" t="n">
        <f aca="false">IF('Raw Data'!BR90="",0,'Raw Data'!BR90)</f>
        <v>0</v>
      </c>
      <c r="BN80" s="12" t="n">
        <f aca="false">IF('Raw Data'!BS90="",0,'Raw Data'!BS90)</f>
        <v>0</v>
      </c>
      <c r="BO80" s="21" t="b">
        <f aca="false">FALSE()</f>
        <v>0</v>
      </c>
    </row>
    <row r="81" customFormat="false" ht="15" hidden="false" customHeight="false" outlineLevel="0" collapsed="false">
      <c r="A81" s="20" t="str">
        <f aca="false">'Raw Data'!A91</f>
        <v>Local Account #81 from WA</v>
      </c>
      <c r="B81" s="12" t="n">
        <f aca="false">IF('Raw Data'!G91="",0,'Raw Data'!G91)</f>
        <v>0</v>
      </c>
      <c r="C81" s="12" t="n">
        <f aca="false">IF('Raw Data'!H91="",0,'Raw Data'!H91)</f>
        <v>0</v>
      </c>
      <c r="D81" s="12" t="n">
        <f aca="false">IF('Raw Data'!I91="",0,'Raw Data'!I91)</f>
        <v>0</v>
      </c>
      <c r="E81" s="12" t="n">
        <f aca="false">IF('Raw Data'!J91="",0,'Raw Data'!J91)</f>
        <v>0</v>
      </c>
      <c r="F81" s="12" t="n">
        <f aca="false">IF('Raw Data'!K91="",0,'Raw Data'!K91)</f>
        <v>0</v>
      </c>
      <c r="G81" s="12" t="n">
        <f aca="false">IF('Raw Data'!L91="",0,'Raw Data'!L91)</f>
        <v>0</v>
      </c>
      <c r="H81" s="12" t="n">
        <f aca="false">IF('Raw Data'!M91="",0,'Raw Data'!M91)</f>
        <v>0</v>
      </c>
      <c r="I81" s="12" t="n">
        <f aca="false">IF('Raw Data'!N91="",0,'Raw Data'!N91)</f>
        <v>0</v>
      </c>
      <c r="J81" s="12" t="n">
        <f aca="false">IF('Raw Data'!O91="",0,'Raw Data'!O91)</f>
        <v>0</v>
      </c>
      <c r="K81" s="12" t="n">
        <f aca="false">IF('Raw Data'!P91="",0,'Raw Data'!P91)</f>
        <v>0</v>
      </c>
      <c r="L81" s="12" t="n">
        <f aca="false">IF('Raw Data'!Q91="",0,'Raw Data'!Q91)</f>
        <v>0</v>
      </c>
      <c r="M81" s="12" t="n">
        <f aca="false">IF('Raw Data'!R91="",0,'Raw Data'!R91)</f>
        <v>0</v>
      </c>
      <c r="N81" s="12" t="n">
        <f aca="false">IF('Raw Data'!S91="",0,'Raw Data'!S91)</f>
        <v>0</v>
      </c>
      <c r="O81" s="12" t="n">
        <f aca="false">IF('Raw Data'!T91="",0,'Raw Data'!T91)</f>
        <v>0</v>
      </c>
      <c r="P81" s="12" t="n">
        <f aca="false">IF('Raw Data'!U91="",0,'Raw Data'!U91)</f>
        <v>0</v>
      </c>
      <c r="Q81" s="12" t="n">
        <f aca="false">IF('Raw Data'!V91="",0,'Raw Data'!V91)</f>
        <v>0</v>
      </c>
      <c r="R81" s="12" t="n">
        <f aca="false">IF('Raw Data'!W91="",0,'Raw Data'!W91)</f>
        <v>0</v>
      </c>
      <c r="S81" s="12" t="n">
        <f aca="false">IF('Raw Data'!X91="",0,'Raw Data'!X91)</f>
        <v>0</v>
      </c>
      <c r="T81" s="12" t="n">
        <f aca="false">IF('Raw Data'!Y91="",0,'Raw Data'!Y91)</f>
        <v>0</v>
      </c>
      <c r="U81" s="12" t="n">
        <f aca="false">IF('Raw Data'!Z91="",0,'Raw Data'!Z91)</f>
        <v>0</v>
      </c>
      <c r="V81" s="12" t="n">
        <f aca="false">IF('Raw Data'!AA91="",0,'Raw Data'!AA91)</f>
        <v>0</v>
      </c>
      <c r="W81" s="12" t="n">
        <f aca="false">IF('Raw Data'!AB91="",0,'Raw Data'!AB91)</f>
        <v>0</v>
      </c>
      <c r="X81" s="12" t="n">
        <f aca="false">IF('Raw Data'!AC91="",0,'Raw Data'!AC91)</f>
        <v>0</v>
      </c>
      <c r="Y81" s="12" t="n">
        <f aca="false">IF('Raw Data'!AD91="",0,'Raw Data'!AD91)</f>
        <v>0</v>
      </c>
      <c r="Z81" s="12" t="n">
        <f aca="false">IF('Raw Data'!AE91="",0,'Raw Data'!AE91)</f>
        <v>0</v>
      </c>
      <c r="AA81" s="12" t="n">
        <f aca="false">IF('Raw Data'!AF91="",0,'Raw Data'!AF91)</f>
        <v>0</v>
      </c>
      <c r="AB81" s="12" t="n">
        <f aca="false">IF('Raw Data'!AG91="",0,'Raw Data'!AG91)</f>
        <v>0</v>
      </c>
      <c r="AC81" s="12" t="n">
        <f aca="false">IF('Raw Data'!AH91="",0,'Raw Data'!AH91)</f>
        <v>0</v>
      </c>
      <c r="AD81" s="12" t="n">
        <f aca="false">IF('Raw Data'!AI91="",0,'Raw Data'!AI91)</f>
        <v>0</v>
      </c>
      <c r="AE81" s="12" t="n">
        <f aca="false">IF('Raw Data'!AJ91="",0,'Raw Data'!AJ91)</f>
        <v>0</v>
      </c>
      <c r="AF81" s="12" t="n">
        <f aca="false">IF('Raw Data'!AK91="",0,'Raw Data'!AK91)</f>
        <v>0</v>
      </c>
      <c r="AG81" s="12" t="n">
        <f aca="false">IF('Raw Data'!AL91="",0,'Raw Data'!AL91)</f>
        <v>0</v>
      </c>
      <c r="AH81" s="12" t="n">
        <f aca="false">IF('Raw Data'!AM91="",0,'Raw Data'!AM91)</f>
        <v>0</v>
      </c>
      <c r="AI81" s="12" t="n">
        <f aca="false">IF('Raw Data'!AN91="",0,'Raw Data'!AN91)</f>
        <v>0</v>
      </c>
      <c r="AJ81" s="12" t="n">
        <f aca="false">IF('Raw Data'!AO91="",0,'Raw Data'!AO91)</f>
        <v>0</v>
      </c>
      <c r="AK81" s="12" t="n">
        <f aca="false">IF('Raw Data'!AP91="",0,'Raw Data'!AP91)</f>
        <v>0</v>
      </c>
      <c r="AL81" s="12" t="n">
        <f aca="false">IF('Raw Data'!AQ91="",0,'Raw Data'!AQ91)</f>
        <v>0</v>
      </c>
      <c r="AM81" s="12" t="n">
        <f aca="false">IF('Raw Data'!AR91="",0,'Raw Data'!AR91)</f>
        <v>0</v>
      </c>
      <c r="AN81" s="12" t="n">
        <f aca="false">IF('Raw Data'!AS91="",0,'Raw Data'!AS91)</f>
        <v>0</v>
      </c>
      <c r="AO81" s="12" t="n">
        <f aca="false">IF('Raw Data'!AT91="",0,'Raw Data'!AT91)</f>
        <v>0</v>
      </c>
      <c r="AP81" s="12" t="n">
        <f aca="false">IF('Raw Data'!AU91="",0,'Raw Data'!AU91)</f>
        <v>0</v>
      </c>
      <c r="AQ81" s="12" t="n">
        <f aca="false">IF('Raw Data'!AV91="",0,'Raw Data'!AV91)</f>
        <v>0</v>
      </c>
      <c r="AR81" s="12" t="n">
        <f aca="false">IF('Raw Data'!AW91="",0,'Raw Data'!AW91)</f>
        <v>0</v>
      </c>
      <c r="AS81" s="12" t="n">
        <f aca="false">IF('Raw Data'!AX91="",0,'Raw Data'!AX91)</f>
        <v>0</v>
      </c>
      <c r="AT81" s="12" t="n">
        <f aca="false">IF('Raw Data'!AY91="",0,'Raw Data'!AY91)</f>
        <v>0</v>
      </c>
      <c r="AU81" s="12" t="n">
        <f aca="false">IF('Raw Data'!AZ91="",0,'Raw Data'!AZ91)</f>
        <v>0</v>
      </c>
      <c r="AV81" s="12" t="n">
        <f aca="false">IF('Raw Data'!BA91="",0,'Raw Data'!BA91)</f>
        <v>0</v>
      </c>
      <c r="AW81" s="12" t="n">
        <f aca="false">IF('Raw Data'!BB91="",0,'Raw Data'!BB91)</f>
        <v>0</v>
      </c>
      <c r="AX81" s="12" t="n">
        <f aca="false">IF('Raw Data'!BC91="",0,'Raw Data'!BC91)</f>
        <v>0</v>
      </c>
      <c r="AY81" s="12" t="n">
        <f aca="false">IF('Raw Data'!BD91="",0,'Raw Data'!BD91)</f>
        <v>825</v>
      </c>
      <c r="AZ81" s="12" t="n">
        <f aca="false">IF('Raw Data'!BE91="",0,'Raw Data'!BE91)</f>
        <v>825</v>
      </c>
      <c r="BA81" s="12" t="n">
        <f aca="false">IF('Raw Data'!BF91="",0,'Raw Data'!BF91)</f>
        <v>825</v>
      </c>
      <c r="BB81" s="12" t="n">
        <f aca="false">IF('Raw Data'!BG91="",0,'Raw Data'!BG91)</f>
        <v>825</v>
      </c>
      <c r="BC81" s="12" t="n">
        <f aca="false">IF('Raw Data'!BH91="",0,'Raw Data'!BH91)</f>
        <v>825</v>
      </c>
      <c r="BD81" s="12" t="n">
        <f aca="false">IF('Raw Data'!BI91="",0,'Raw Data'!BI91)</f>
        <v>825</v>
      </c>
      <c r="BE81" s="12" t="n">
        <f aca="false">IF('Raw Data'!BJ91="",0,'Raw Data'!BJ91)</f>
        <v>825</v>
      </c>
      <c r="BF81" s="12" t="n">
        <f aca="false">IF('Raw Data'!BK91="",0,'Raw Data'!BK91)</f>
        <v>825</v>
      </c>
      <c r="BG81" s="12" t="n">
        <f aca="false">IF('Raw Data'!BL91="",0,'Raw Data'!BL91)</f>
        <v>825</v>
      </c>
      <c r="BH81" s="12" t="n">
        <f aca="false">IF('Raw Data'!BM91="",0,'Raw Data'!BM91)</f>
        <v>825</v>
      </c>
      <c r="BI81" s="12" t="n">
        <f aca="false">IF('Raw Data'!BN91="",0,'Raw Data'!BN91)</f>
        <v>825</v>
      </c>
      <c r="BJ81" s="12" t="n">
        <f aca="false">IF('Raw Data'!BO91="",0,'Raw Data'!BO91)</f>
        <v>825</v>
      </c>
      <c r="BK81" s="12" t="n">
        <f aca="false">IF('Raw Data'!BP91="",0,'Raw Data'!BP91)</f>
        <v>825</v>
      </c>
      <c r="BL81" s="12" t="n">
        <f aca="false">IF('Raw Data'!BQ91="",0,'Raw Data'!BQ91)</f>
        <v>825</v>
      </c>
      <c r="BM81" s="12" t="n">
        <f aca="false">IF('Raw Data'!BR91="",0,'Raw Data'!BR91)</f>
        <v>825</v>
      </c>
      <c r="BN81" s="12" t="n">
        <f aca="false">IF('Raw Data'!BS91="",0,'Raw Data'!BS91)</f>
        <v>825</v>
      </c>
      <c r="BO81" s="21" t="b">
        <f aca="false">FALSE()</f>
        <v>0</v>
      </c>
    </row>
    <row r="82" customFormat="false" ht="15" hidden="false" customHeight="false" outlineLevel="0" collapsed="false">
      <c r="A82" s="20" t="str">
        <f aca="false">'Raw Data'!A92</f>
        <v>Local Account #82 from MI</v>
      </c>
      <c r="B82" s="12" t="n">
        <f aca="false">IF('Raw Data'!G92="",0,'Raw Data'!G92)</f>
        <v>0</v>
      </c>
      <c r="C82" s="12" t="n">
        <f aca="false">IF('Raw Data'!H92="",0,'Raw Data'!H92)</f>
        <v>0</v>
      </c>
      <c r="D82" s="12" t="n">
        <f aca="false">IF('Raw Data'!I92="",0,'Raw Data'!I92)</f>
        <v>0</v>
      </c>
      <c r="E82" s="12" t="n">
        <f aca="false">IF('Raw Data'!J92="",0,'Raw Data'!J92)</f>
        <v>0</v>
      </c>
      <c r="F82" s="12" t="n">
        <f aca="false">IF('Raw Data'!K92="",0,'Raw Data'!K92)</f>
        <v>0</v>
      </c>
      <c r="G82" s="12" t="n">
        <f aca="false">IF('Raw Data'!L92="",0,'Raw Data'!L92)</f>
        <v>0</v>
      </c>
      <c r="H82" s="12" t="n">
        <f aca="false">IF('Raw Data'!M92="",0,'Raw Data'!M92)</f>
        <v>0</v>
      </c>
      <c r="I82" s="12" t="n">
        <f aca="false">IF('Raw Data'!N92="",0,'Raw Data'!N92)</f>
        <v>0</v>
      </c>
      <c r="J82" s="12" t="n">
        <f aca="false">IF('Raw Data'!O92="",0,'Raw Data'!O92)</f>
        <v>0</v>
      </c>
      <c r="K82" s="12" t="n">
        <f aca="false">IF('Raw Data'!P92="",0,'Raw Data'!P92)</f>
        <v>0</v>
      </c>
      <c r="L82" s="12" t="n">
        <f aca="false">IF('Raw Data'!Q92="",0,'Raw Data'!Q92)</f>
        <v>0</v>
      </c>
      <c r="M82" s="12" t="n">
        <f aca="false">IF('Raw Data'!R92="",0,'Raw Data'!R92)</f>
        <v>0</v>
      </c>
      <c r="N82" s="12" t="n">
        <f aca="false">IF('Raw Data'!S92="",0,'Raw Data'!S92)</f>
        <v>0</v>
      </c>
      <c r="O82" s="12" t="n">
        <f aca="false">IF('Raw Data'!T92="",0,'Raw Data'!T92)</f>
        <v>0</v>
      </c>
      <c r="P82" s="12" t="n">
        <f aca="false">IF('Raw Data'!U92="",0,'Raw Data'!U92)</f>
        <v>0</v>
      </c>
      <c r="Q82" s="12" t="n">
        <f aca="false">IF('Raw Data'!V92="",0,'Raw Data'!V92)</f>
        <v>0</v>
      </c>
      <c r="R82" s="12" t="n">
        <f aca="false">IF('Raw Data'!W92="",0,'Raw Data'!W92)</f>
        <v>0</v>
      </c>
      <c r="S82" s="12" t="n">
        <f aca="false">IF('Raw Data'!X92="",0,'Raw Data'!X92)</f>
        <v>2356.25</v>
      </c>
      <c r="T82" s="12" t="n">
        <f aca="false">IF('Raw Data'!Y92="",0,'Raw Data'!Y92)</f>
        <v>2356.25</v>
      </c>
      <c r="U82" s="12" t="n">
        <f aca="false">IF('Raw Data'!Z92="",0,'Raw Data'!Z92)</f>
        <v>2356.25</v>
      </c>
      <c r="V82" s="12" t="n">
        <f aca="false">IF('Raw Data'!AA92="",0,'Raw Data'!AA92)</f>
        <v>8897.45</v>
      </c>
      <c r="W82" s="12" t="n">
        <f aca="false">IF('Raw Data'!AB92="",0,'Raw Data'!AB92)</f>
        <v>8897.45</v>
      </c>
      <c r="X82" s="12" t="n">
        <f aca="false">IF('Raw Data'!AC92="",0,'Raw Data'!AC92)</f>
        <v>8897.45</v>
      </c>
      <c r="Y82" s="12" t="n">
        <f aca="false">IF('Raw Data'!AD92="",0,'Raw Data'!AD92)</f>
        <v>8897.45</v>
      </c>
      <c r="Z82" s="12" t="n">
        <f aca="false">IF('Raw Data'!AE92="",0,'Raw Data'!AE92)</f>
        <v>15618.7552486188</v>
      </c>
      <c r="AA82" s="12" t="n">
        <f aca="false">IF('Raw Data'!AF92="",0,'Raw Data'!AF92)</f>
        <v>15618.7552486188</v>
      </c>
      <c r="AB82" s="12" t="n">
        <f aca="false">IF('Raw Data'!AG92="",0,'Raw Data'!AG92)</f>
        <v>15618.7552486188</v>
      </c>
      <c r="AC82" s="12" t="n">
        <f aca="false">IF('Raw Data'!AH92="",0,'Raw Data'!AH92)</f>
        <v>15618.7552486188</v>
      </c>
      <c r="AD82" s="12" t="n">
        <f aca="false">IF('Raw Data'!AI92="",0,'Raw Data'!AI92)</f>
        <v>15618.7552486188</v>
      </c>
      <c r="AE82" s="12" t="n">
        <f aca="false">IF('Raw Data'!AJ92="",0,'Raw Data'!AJ92)</f>
        <v>8896.875</v>
      </c>
      <c r="AF82" s="12" t="n">
        <f aca="false">IF('Raw Data'!AK92="",0,'Raw Data'!AK92)</f>
        <v>9750.075</v>
      </c>
      <c r="AG82" s="12" t="n">
        <f aca="false">IF('Raw Data'!AL92="",0,'Raw Data'!AL92)</f>
        <v>9750.075</v>
      </c>
      <c r="AH82" s="12" t="n">
        <f aca="false">IF('Raw Data'!AM92="",0,'Raw Data'!AM92)</f>
        <v>9750.075</v>
      </c>
      <c r="AI82" s="12" t="n">
        <f aca="false">IF('Raw Data'!AN92="",0,'Raw Data'!AN92)</f>
        <v>9750.075</v>
      </c>
      <c r="AJ82" s="12" t="n">
        <f aca="false">IF('Raw Data'!AO92="",0,'Raw Data'!AO92)</f>
        <v>9750.075</v>
      </c>
      <c r="AK82" s="12" t="n">
        <f aca="false">IF('Raw Data'!AP92="",0,'Raw Data'!AP92)</f>
        <v>10091.355</v>
      </c>
      <c r="AL82" s="12" t="n">
        <f aca="false">IF('Raw Data'!AQ92="",0,'Raw Data'!AQ92)</f>
        <v>10660.155</v>
      </c>
      <c r="AM82" s="12" t="n">
        <f aca="false">IF('Raw Data'!AR92="",0,'Raw Data'!AR92)</f>
        <v>10660.155</v>
      </c>
      <c r="AN82" s="12" t="n">
        <f aca="false">IF('Raw Data'!AS92="",0,'Raw Data'!AS92)</f>
        <v>10660.155</v>
      </c>
      <c r="AO82" s="12" t="n">
        <f aca="false">IF('Raw Data'!AT92="",0,'Raw Data'!AT92)</f>
        <v>10660.155</v>
      </c>
      <c r="AP82" s="12" t="n">
        <f aca="false">IF('Raw Data'!AU92="",0,'Raw Data'!AU92)</f>
        <v>10660.155</v>
      </c>
      <c r="AQ82" s="12" t="n">
        <f aca="false">IF('Raw Data'!AV92="",0,'Raw Data'!AV92)</f>
        <v>14830</v>
      </c>
      <c r="AR82" s="12" t="n">
        <f aca="false">IF('Raw Data'!AW92="",0,'Raw Data'!AW92)</f>
        <v>14830</v>
      </c>
      <c r="AS82" s="12" t="n">
        <f aca="false">IF('Raw Data'!AX92="",0,'Raw Data'!AX92)</f>
        <v>14830</v>
      </c>
      <c r="AT82" s="12" t="n">
        <f aca="false">IF('Raw Data'!AY92="",0,'Raw Data'!AY92)</f>
        <v>14830</v>
      </c>
      <c r="AU82" s="12" t="n">
        <f aca="false">IF('Raw Data'!AZ92="",0,'Raw Data'!AZ92)</f>
        <v>14830</v>
      </c>
      <c r="AV82" s="12" t="n">
        <f aca="false">IF('Raw Data'!BA92="",0,'Raw Data'!BA92)</f>
        <v>14830</v>
      </c>
      <c r="AW82" s="12" t="n">
        <f aca="false">IF('Raw Data'!BB92="",0,'Raw Data'!BB92)</f>
        <v>14830</v>
      </c>
      <c r="AX82" s="12" t="n">
        <f aca="false">IF('Raw Data'!BC92="",0,'Raw Data'!BC92)</f>
        <v>14830</v>
      </c>
      <c r="AY82" s="12" t="n">
        <f aca="false">IF('Raw Data'!BD92="",0,'Raw Data'!BD92)</f>
        <v>14830</v>
      </c>
      <c r="AZ82" s="12" t="n">
        <f aca="false">IF('Raw Data'!BE92="",0,'Raw Data'!BE92)</f>
        <v>14830</v>
      </c>
      <c r="BA82" s="12" t="n">
        <f aca="false">IF('Raw Data'!BF92="",0,'Raw Data'!BF92)</f>
        <v>14830</v>
      </c>
      <c r="BB82" s="12" t="n">
        <f aca="false">IF('Raw Data'!BG92="",0,'Raw Data'!BG92)</f>
        <v>14830</v>
      </c>
      <c r="BC82" s="12" t="n">
        <f aca="false">IF('Raw Data'!BH92="",0,'Raw Data'!BH92)</f>
        <v>14764.6666666667</v>
      </c>
      <c r="BD82" s="12" t="n">
        <f aca="false">IF('Raw Data'!BI92="",0,'Raw Data'!BI92)</f>
        <v>14764.6666666667</v>
      </c>
      <c r="BE82" s="12" t="n">
        <f aca="false">IF('Raw Data'!BJ92="",0,'Raw Data'!BJ92)</f>
        <v>14764.6666666667</v>
      </c>
      <c r="BF82" s="12" t="n">
        <f aca="false">IF('Raw Data'!BK92="",0,'Raw Data'!BK92)</f>
        <v>14764.6666666667</v>
      </c>
      <c r="BG82" s="12" t="n">
        <f aca="false">IF('Raw Data'!BL92="",0,'Raw Data'!BL92)</f>
        <v>14764.6666666667</v>
      </c>
      <c r="BH82" s="12" t="n">
        <f aca="false">IF('Raw Data'!BM92="",0,'Raw Data'!BM92)</f>
        <v>14764.6666666667</v>
      </c>
      <c r="BI82" s="12" t="n">
        <f aca="false">IF('Raw Data'!BN92="",0,'Raw Data'!BN92)</f>
        <v>14764.6666666667</v>
      </c>
      <c r="BJ82" s="12" t="n">
        <f aca="false">IF('Raw Data'!BO92="",0,'Raw Data'!BO92)</f>
        <v>14764.6666666667</v>
      </c>
      <c r="BK82" s="12" t="n">
        <f aca="false">IF('Raw Data'!BP92="",0,'Raw Data'!BP92)</f>
        <v>14764.6666666667</v>
      </c>
      <c r="BL82" s="12" t="n">
        <f aca="false">IF('Raw Data'!BQ92="",0,'Raw Data'!BQ92)</f>
        <v>14764.6666666667</v>
      </c>
      <c r="BM82" s="12" t="n">
        <f aca="false">IF('Raw Data'!BR92="",0,'Raw Data'!BR92)</f>
        <v>14764.6666666667</v>
      </c>
      <c r="BN82" s="12" t="n">
        <f aca="false">IF('Raw Data'!BS92="",0,'Raw Data'!BS92)</f>
        <v>14764.6666666667</v>
      </c>
      <c r="BO82" s="21" t="b">
        <f aca="false">FALSE()</f>
        <v>0</v>
      </c>
    </row>
    <row r="83" customFormat="false" ht="15" hidden="false" customHeight="false" outlineLevel="0" collapsed="false">
      <c r="A83" s="20" t="str">
        <f aca="false">'Raw Data'!A93</f>
        <v>Local Account #83 from OR</v>
      </c>
      <c r="B83" s="12" t="n">
        <f aca="false">IF('Raw Data'!G93="",0,'Raw Data'!G93)</f>
        <v>0</v>
      </c>
      <c r="C83" s="12" t="n">
        <f aca="false">IF('Raw Data'!H93="",0,'Raw Data'!H93)</f>
        <v>0</v>
      </c>
      <c r="D83" s="12" t="n">
        <f aca="false">IF('Raw Data'!I93="",0,'Raw Data'!I93)</f>
        <v>0</v>
      </c>
      <c r="E83" s="12" t="n">
        <f aca="false">IF('Raw Data'!J93="",0,'Raw Data'!J93)</f>
        <v>0</v>
      </c>
      <c r="F83" s="12" t="n">
        <f aca="false">IF('Raw Data'!K93="",0,'Raw Data'!K93)</f>
        <v>0</v>
      </c>
      <c r="G83" s="12" t="n">
        <f aca="false">IF('Raw Data'!L93="",0,'Raw Data'!L93)</f>
        <v>0</v>
      </c>
      <c r="H83" s="12" t="n">
        <f aca="false">IF('Raw Data'!M93="",0,'Raw Data'!M93)</f>
        <v>0</v>
      </c>
      <c r="I83" s="12" t="n">
        <f aca="false">IF('Raw Data'!N93="",0,'Raw Data'!N93)</f>
        <v>0</v>
      </c>
      <c r="J83" s="12" t="n">
        <f aca="false">IF('Raw Data'!O93="",0,'Raw Data'!O93)</f>
        <v>0</v>
      </c>
      <c r="K83" s="12" t="n">
        <f aca="false">IF('Raw Data'!P93="",0,'Raw Data'!P93)</f>
        <v>0</v>
      </c>
      <c r="L83" s="12" t="n">
        <f aca="false">IF('Raw Data'!Q93="",0,'Raw Data'!Q93)</f>
        <v>0</v>
      </c>
      <c r="M83" s="12" t="n">
        <f aca="false">IF('Raw Data'!R93="",0,'Raw Data'!R93)</f>
        <v>0</v>
      </c>
      <c r="N83" s="12" t="n">
        <f aca="false">IF('Raw Data'!S93="",0,'Raw Data'!S93)</f>
        <v>0</v>
      </c>
      <c r="O83" s="12" t="n">
        <f aca="false">IF('Raw Data'!T93="",0,'Raw Data'!T93)</f>
        <v>0</v>
      </c>
      <c r="P83" s="12" t="n">
        <f aca="false">IF('Raw Data'!U93="",0,'Raw Data'!U93)</f>
        <v>0</v>
      </c>
      <c r="Q83" s="12" t="n">
        <f aca="false">IF('Raw Data'!V93="",0,'Raw Data'!V93)</f>
        <v>0</v>
      </c>
      <c r="R83" s="12" t="n">
        <f aca="false">IF('Raw Data'!W93="",0,'Raw Data'!W93)</f>
        <v>0</v>
      </c>
      <c r="S83" s="12" t="n">
        <f aca="false">IF('Raw Data'!X93="",0,'Raw Data'!X93)</f>
        <v>0</v>
      </c>
      <c r="T83" s="12" t="n">
        <f aca="false">IF('Raw Data'!Y93="",0,'Raw Data'!Y93)</f>
        <v>0</v>
      </c>
      <c r="U83" s="12" t="n">
        <f aca="false">IF('Raw Data'!Z93="",0,'Raw Data'!Z93)</f>
        <v>0</v>
      </c>
      <c r="V83" s="12" t="n">
        <f aca="false">IF('Raw Data'!AA93="",0,'Raw Data'!AA93)</f>
        <v>0</v>
      </c>
      <c r="W83" s="12" t="n">
        <f aca="false">IF('Raw Data'!AB93="",0,'Raw Data'!AB93)</f>
        <v>1300</v>
      </c>
      <c r="X83" s="12" t="n">
        <f aca="false">IF('Raw Data'!AC93="",0,'Raw Data'!AC93)</f>
        <v>1300</v>
      </c>
      <c r="Y83" s="12" t="n">
        <f aca="false">IF('Raw Data'!AD93="",0,'Raw Data'!AD93)</f>
        <v>1300</v>
      </c>
      <c r="Z83" s="12" t="n">
        <f aca="false">IF('Raw Data'!AE93="",0,'Raw Data'!AE93)</f>
        <v>1300</v>
      </c>
      <c r="AA83" s="12" t="n">
        <f aca="false">IF('Raw Data'!AF93="",0,'Raw Data'!AF93)</f>
        <v>1300</v>
      </c>
      <c r="AB83" s="12" t="n">
        <f aca="false">IF('Raw Data'!AG93="",0,'Raw Data'!AG93)</f>
        <v>1300</v>
      </c>
      <c r="AC83" s="12" t="n">
        <f aca="false">IF('Raw Data'!AH93="",0,'Raw Data'!AH93)</f>
        <v>1300</v>
      </c>
      <c r="AD83" s="12" t="n">
        <f aca="false">IF('Raw Data'!AI93="",0,'Raw Data'!AI93)</f>
        <v>1300</v>
      </c>
      <c r="AE83" s="12" t="n">
        <f aca="false">IF('Raw Data'!AJ93="",0,'Raw Data'!AJ93)</f>
        <v>1300</v>
      </c>
      <c r="AF83" s="12" t="n">
        <f aca="false">IF('Raw Data'!AK93="",0,'Raw Data'!AK93)</f>
        <v>1300</v>
      </c>
      <c r="AG83" s="12" t="n">
        <f aca="false">IF('Raw Data'!AL93="",0,'Raw Data'!AL93)</f>
        <v>1300</v>
      </c>
      <c r="AH83" s="12" t="n">
        <f aca="false">IF('Raw Data'!AM93="",0,'Raw Data'!AM93)</f>
        <v>1300</v>
      </c>
      <c r="AI83" s="12" t="n">
        <f aca="false">IF('Raw Data'!AN93="",0,'Raw Data'!AN93)</f>
        <v>1300</v>
      </c>
      <c r="AJ83" s="12" t="n">
        <f aca="false">IF('Raw Data'!AO93="",0,'Raw Data'!AO93)</f>
        <v>1300</v>
      </c>
      <c r="AK83" s="12" t="n">
        <f aca="false">IF('Raw Data'!AP93="",0,'Raw Data'!AP93)</f>
        <v>1300</v>
      </c>
      <c r="AL83" s="12" t="n">
        <f aca="false">IF('Raw Data'!AQ93="",0,'Raw Data'!AQ93)</f>
        <v>1300</v>
      </c>
      <c r="AM83" s="12" t="n">
        <f aca="false">IF('Raw Data'!AR93="",0,'Raw Data'!AR93)</f>
        <v>1300</v>
      </c>
      <c r="AN83" s="12" t="n">
        <f aca="false">IF('Raw Data'!AS93="",0,'Raw Data'!AS93)</f>
        <v>1300</v>
      </c>
      <c r="AO83" s="12" t="n">
        <f aca="false">IF('Raw Data'!AT93="",0,'Raw Data'!AT93)</f>
        <v>1300</v>
      </c>
      <c r="AP83" s="12" t="n">
        <f aca="false">IF('Raw Data'!AU93="",0,'Raw Data'!AU93)</f>
        <v>1300</v>
      </c>
      <c r="AQ83" s="12" t="n">
        <f aca="false">IF('Raw Data'!AV93="",0,'Raw Data'!AV93)</f>
        <v>1300</v>
      </c>
      <c r="AR83" s="12" t="n">
        <f aca="false">IF('Raw Data'!AW93="",0,'Raw Data'!AW93)</f>
        <v>1300</v>
      </c>
      <c r="AS83" s="12" t="n">
        <f aca="false">IF('Raw Data'!AX93="",0,'Raw Data'!AX93)</f>
        <v>1300</v>
      </c>
      <c r="AT83" s="12" t="n">
        <f aca="false">IF('Raw Data'!AY93="",0,'Raw Data'!AY93)</f>
        <v>1300</v>
      </c>
      <c r="AU83" s="12" t="n">
        <f aca="false">IF('Raw Data'!AZ93="",0,'Raw Data'!AZ93)</f>
        <v>1300</v>
      </c>
      <c r="AV83" s="12" t="n">
        <f aca="false">IF('Raw Data'!BA93="",0,'Raw Data'!BA93)</f>
        <v>1300</v>
      </c>
      <c r="AW83" s="12" t="n">
        <f aca="false">IF('Raw Data'!BB93="",0,'Raw Data'!BB93)</f>
        <v>1300</v>
      </c>
      <c r="AX83" s="12" t="n">
        <f aca="false">IF('Raw Data'!BC93="",0,'Raw Data'!BC93)</f>
        <v>1300</v>
      </c>
      <c r="AY83" s="12" t="n">
        <f aca="false">IF('Raw Data'!BD93="",0,'Raw Data'!BD93)</f>
        <v>1300</v>
      </c>
      <c r="AZ83" s="12" t="n">
        <f aca="false">IF('Raw Data'!BE93="",0,'Raw Data'!BE93)</f>
        <v>1300</v>
      </c>
      <c r="BA83" s="12" t="n">
        <f aca="false">IF('Raw Data'!BF93="",0,'Raw Data'!BF93)</f>
        <v>1300</v>
      </c>
      <c r="BB83" s="12" t="n">
        <f aca="false">IF('Raw Data'!BG93="",0,'Raw Data'!BG93)</f>
        <v>1300</v>
      </c>
      <c r="BC83" s="12" t="n">
        <f aca="false">IF('Raw Data'!BH93="",0,'Raw Data'!BH93)</f>
        <v>1300</v>
      </c>
      <c r="BD83" s="12" t="n">
        <f aca="false">IF('Raw Data'!BI93="",0,'Raw Data'!BI93)</f>
        <v>1300</v>
      </c>
      <c r="BE83" s="12" t="n">
        <f aca="false">IF('Raw Data'!BJ93="",0,'Raw Data'!BJ93)</f>
        <v>1300</v>
      </c>
      <c r="BF83" s="12" t="n">
        <f aca="false">IF('Raw Data'!BK93="",0,'Raw Data'!BK93)</f>
        <v>1300</v>
      </c>
      <c r="BG83" s="12" t="n">
        <f aca="false">IF('Raw Data'!BL93="",0,'Raw Data'!BL93)</f>
        <v>75</v>
      </c>
      <c r="BH83" s="12" t="n">
        <f aca="false">IF('Raw Data'!BM93="",0,'Raw Data'!BM93)</f>
        <v>75</v>
      </c>
      <c r="BI83" s="12" t="n">
        <f aca="false">IF('Raw Data'!BN93="",0,'Raw Data'!BN93)</f>
        <v>75</v>
      </c>
      <c r="BJ83" s="12" t="n">
        <f aca="false">IF('Raw Data'!BO93="",0,'Raw Data'!BO93)</f>
        <v>75</v>
      </c>
      <c r="BK83" s="12" t="n">
        <f aca="false">IF('Raw Data'!BP93="",0,'Raw Data'!BP93)</f>
        <v>75</v>
      </c>
      <c r="BL83" s="12" t="n">
        <f aca="false">IF('Raw Data'!BQ93="",0,'Raw Data'!BQ93)</f>
        <v>75</v>
      </c>
      <c r="BM83" s="12" t="n">
        <f aca="false">IF('Raw Data'!BR93="",0,'Raw Data'!BR93)</f>
        <v>75</v>
      </c>
      <c r="BN83" s="12" t="n">
        <f aca="false">IF('Raw Data'!BS93="",0,'Raw Data'!BS93)</f>
        <v>75</v>
      </c>
      <c r="BO83" s="21" t="b">
        <f aca="false">FALSE()</f>
        <v>0</v>
      </c>
    </row>
    <row r="84" customFormat="false" ht="15" hidden="false" customHeight="false" outlineLevel="0" collapsed="false">
      <c r="A84" s="20" t="str">
        <f aca="false">'Raw Data'!A94</f>
        <v>Local Account #84 from OH</v>
      </c>
      <c r="B84" s="12" t="n">
        <f aca="false">IF('Raw Data'!G94="",0,'Raw Data'!G94)</f>
        <v>3170.83333333333</v>
      </c>
      <c r="C84" s="12" t="n">
        <f aca="false">IF('Raw Data'!H94="",0,'Raw Data'!H94)</f>
        <v>3170.83333333333</v>
      </c>
      <c r="D84" s="12" t="n">
        <f aca="false">IF('Raw Data'!I94="",0,'Raw Data'!I94)</f>
        <v>3170.83333333333</v>
      </c>
      <c r="E84" s="12" t="n">
        <f aca="false">IF('Raw Data'!J94="",0,'Raw Data'!J94)</f>
        <v>3170.83333333333</v>
      </c>
      <c r="F84" s="12" t="n">
        <f aca="false">IF('Raw Data'!K94="",0,'Raw Data'!K94)</f>
        <v>3170.83333333333</v>
      </c>
      <c r="G84" s="12" t="n">
        <f aca="false">IF('Raw Data'!L94="",0,'Raw Data'!L94)</f>
        <v>3170.83333333333</v>
      </c>
      <c r="H84" s="12" t="n">
        <f aca="false">IF('Raw Data'!M94="",0,'Raw Data'!M94)</f>
        <v>3560.41666666667</v>
      </c>
      <c r="I84" s="12" t="n">
        <f aca="false">IF('Raw Data'!N94="",0,'Raw Data'!N94)</f>
        <v>3560.41666666667</v>
      </c>
      <c r="J84" s="12" t="n">
        <f aca="false">IF('Raw Data'!O94="",0,'Raw Data'!O94)</f>
        <v>3560.41666666667</v>
      </c>
      <c r="K84" s="12" t="n">
        <f aca="false">IF('Raw Data'!P94="",0,'Raw Data'!P94)</f>
        <v>3560.41666666667</v>
      </c>
      <c r="L84" s="12" t="n">
        <f aca="false">IF('Raw Data'!Q94="",0,'Raw Data'!Q94)</f>
        <v>3560.41666666667</v>
      </c>
      <c r="M84" s="12" t="n">
        <f aca="false">IF('Raw Data'!R94="",0,'Raw Data'!R94)</f>
        <v>3560.41666666667</v>
      </c>
      <c r="N84" s="12" t="n">
        <f aca="false">IF('Raw Data'!S94="",0,'Raw Data'!S94)</f>
        <v>3560.41666666667</v>
      </c>
      <c r="O84" s="12" t="n">
        <f aca="false">IF('Raw Data'!T94="",0,'Raw Data'!T94)</f>
        <v>3560.41666666667</v>
      </c>
      <c r="P84" s="12" t="n">
        <f aca="false">IF('Raw Data'!U94="",0,'Raw Data'!U94)</f>
        <v>3560.41666666667</v>
      </c>
      <c r="Q84" s="12" t="n">
        <f aca="false">IF('Raw Data'!V94="",0,'Raw Data'!V94)</f>
        <v>3985.39666666667</v>
      </c>
      <c r="R84" s="12" t="n">
        <f aca="false">IF('Raw Data'!W94="",0,'Raw Data'!W94)</f>
        <v>3985.39666666667</v>
      </c>
      <c r="S84" s="12" t="n">
        <f aca="false">IF('Raw Data'!X94="",0,'Raw Data'!X94)</f>
        <v>3985.39666666667</v>
      </c>
      <c r="T84" s="12" t="n">
        <f aca="false">IF('Raw Data'!Y94="",0,'Raw Data'!Y94)</f>
        <v>3525</v>
      </c>
      <c r="U84" s="12" t="n">
        <f aca="false">IF('Raw Data'!Z94="",0,'Raw Data'!Z94)</f>
        <v>3525</v>
      </c>
      <c r="V84" s="12" t="n">
        <f aca="false">IF('Raw Data'!AA94="",0,'Raw Data'!AA94)</f>
        <v>3525</v>
      </c>
      <c r="W84" s="12" t="n">
        <f aca="false">IF('Raw Data'!AB94="",0,'Raw Data'!AB94)</f>
        <v>3525</v>
      </c>
      <c r="X84" s="12" t="n">
        <f aca="false">IF('Raw Data'!AC94="",0,'Raw Data'!AC94)</f>
        <v>3525</v>
      </c>
      <c r="Y84" s="12" t="n">
        <f aca="false">IF('Raw Data'!AD94="",0,'Raw Data'!AD94)</f>
        <v>3525</v>
      </c>
      <c r="Z84" s="12" t="n">
        <f aca="false">IF('Raw Data'!AE94="",0,'Raw Data'!AE94)</f>
        <v>3525</v>
      </c>
      <c r="AA84" s="12" t="n">
        <f aca="false">IF('Raw Data'!AF94="",0,'Raw Data'!AF94)</f>
        <v>3525</v>
      </c>
      <c r="AB84" s="12" t="n">
        <f aca="false">IF('Raw Data'!AG94="",0,'Raw Data'!AG94)</f>
        <v>3525</v>
      </c>
      <c r="AC84" s="12" t="n">
        <f aca="false">IF('Raw Data'!AH94="",0,'Raw Data'!AH94)</f>
        <v>3525</v>
      </c>
      <c r="AD84" s="12" t="n">
        <f aca="false">IF('Raw Data'!AI94="",0,'Raw Data'!AI94)</f>
        <v>3525</v>
      </c>
      <c r="AE84" s="12" t="n">
        <f aca="false">IF('Raw Data'!AJ94="",0,'Raw Data'!AJ94)</f>
        <v>3525</v>
      </c>
      <c r="AF84" s="12" t="n">
        <f aca="false">IF('Raw Data'!AK94="",0,'Raw Data'!AK94)</f>
        <v>3525</v>
      </c>
      <c r="AG84" s="12" t="n">
        <f aca="false">IF('Raw Data'!AL94="",0,'Raw Data'!AL94)</f>
        <v>3525</v>
      </c>
      <c r="AH84" s="12" t="n">
        <f aca="false">IF('Raw Data'!AM94="",0,'Raw Data'!AM94)</f>
        <v>3525</v>
      </c>
      <c r="AI84" s="12" t="n">
        <f aca="false">IF('Raw Data'!AN94="",0,'Raw Data'!AN94)</f>
        <v>3525</v>
      </c>
      <c r="AJ84" s="12" t="n">
        <f aca="false">IF('Raw Data'!AO94="",0,'Raw Data'!AO94)</f>
        <v>3525</v>
      </c>
      <c r="AK84" s="12" t="n">
        <f aca="false">IF('Raw Data'!AP94="",0,'Raw Data'!AP94)</f>
        <v>3525</v>
      </c>
      <c r="AL84" s="12" t="n">
        <f aca="false">IF('Raw Data'!AQ94="",0,'Raw Data'!AQ94)</f>
        <v>3525</v>
      </c>
      <c r="AM84" s="12" t="n">
        <f aca="false">IF('Raw Data'!AR94="",0,'Raw Data'!AR94)</f>
        <v>3525</v>
      </c>
      <c r="AN84" s="12" t="n">
        <f aca="false">IF('Raw Data'!AS94="",0,'Raw Data'!AS94)</f>
        <v>3525</v>
      </c>
      <c r="AO84" s="12" t="n">
        <f aca="false">IF('Raw Data'!AT94="",0,'Raw Data'!AT94)</f>
        <v>3525</v>
      </c>
      <c r="AP84" s="12" t="n">
        <f aca="false">IF('Raw Data'!AU94="",0,'Raw Data'!AU94)</f>
        <v>3525</v>
      </c>
      <c r="AQ84" s="12" t="n">
        <f aca="false">IF('Raw Data'!AV94="",0,'Raw Data'!AV94)</f>
        <v>3525</v>
      </c>
      <c r="AR84" s="12" t="n">
        <f aca="false">IF('Raw Data'!AW94="",0,'Raw Data'!AW94)</f>
        <v>3525</v>
      </c>
      <c r="AS84" s="12" t="n">
        <f aca="false">IF('Raw Data'!AX94="",0,'Raw Data'!AX94)</f>
        <v>3525</v>
      </c>
      <c r="AT84" s="12" t="n">
        <f aca="false">IF('Raw Data'!AY94="",0,'Raw Data'!AY94)</f>
        <v>3525</v>
      </c>
      <c r="AU84" s="12" t="n">
        <f aca="false">IF('Raw Data'!AZ94="",0,'Raw Data'!AZ94)</f>
        <v>3525</v>
      </c>
      <c r="AV84" s="12" t="n">
        <f aca="false">IF('Raw Data'!BA94="",0,'Raw Data'!BA94)</f>
        <v>3525</v>
      </c>
      <c r="AW84" s="12" t="n">
        <f aca="false">IF('Raw Data'!BB94="",0,'Raw Data'!BB94)</f>
        <v>3525</v>
      </c>
      <c r="AX84" s="12" t="n">
        <f aca="false">IF('Raw Data'!BC94="",0,'Raw Data'!BC94)</f>
        <v>3525</v>
      </c>
      <c r="AY84" s="12" t="n">
        <f aca="false">IF('Raw Data'!BD94="",0,'Raw Data'!BD94)</f>
        <v>3525</v>
      </c>
      <c r="AZ84" s="12" t="n">
        <f aca="false">IF('Raw Data'!BE94="",0,'Raw Data'!BE94)</f>
        <v>3525</v>
      </c>
      <c r="BA84" s="12" t="n">
        <f aca="false">IF('Raw Data'!BF94="",0,'Raw Data'!BF94)</f>
        <v>3525</v>
      </c>
      <c r="BB84" s="12" t="n">
        <f aca="false">IF('Raw Data'!BG94="",0,'Raw Data'!BG94)</f>
        <v>3525</v>
      </c>
      <c r="BC84" s="12" t="n">
        <f aca="false">IF('Raw Data'!BH94="",0,'Raw Data'!BH94)</f>
        <v>3525</v>
      </c>
      <c r="BD84" s="12" t="n">
        <f aca="false">IF('Raw Data'!BI94="",0,'Raw Data'!BI94)</f>
        <v>3895.83333333333</v>
      </c>
      <c r="BE84" s="12" t="n">
        <f aca="false">IF('Raw Data'!BJ94="",0,'Raw Data'!BJ94)</f>
        <v>3895.83333333333</v>
      </c>
      <c r="BF84" s="12" t="n">
        <f aca="false">IF('Raw Data'!BK94="",0,'Raw Data'!BK94)</f>
        <v>3895.83333333333</v>
      </c>
      <c r="BG84" s="12" t="n">
        <f aca="false">IF('Raw Data'!BL94="",0,'Raw Data'!BL94)</f>
        <v>3895.83333333333</v>
      </c>
      <c r="BH84" s="12" t="n">
        <f aca="false">IF('Raw Data'!BM94="",0,'Raw Data'!BM94)</f>
        <v>3895.83333333333</v>
      </c>
      <c r="BI84" s="12" t="n">
        <f aca="false">IF('Raw Data'!BN94="",0,'Raw Data'!BN94)</f>
        <v>3895.83333333333</v>
      </c>
      <c r="BJ84" s="12" t="n">
        <f aca="false">IF('Raw Data'!BO94="",0,'Raw Data'!BO94)</f>
        <v>3895.83333333333</v>
      </c>
      <c r="BK84" s="12" t="n">
        <f aca="false">IF('Raw Data'!BP94="",0,'Raw Data'!BP94)</f>
        <v>3895.83333333333</v>
      </c>
      <c r="BL84" s="12" t="n">
        <f aca="false">IF('Raw Data'!BQ94="",0,'Raw Data'!BQ94)</f>
        <v>3895.83333333333</v>
      </c>
      <c r="BM84" s="12" t="n">
        <f aca="false">IF('Raw Data'!BR94="",0,'Raw Data'!BR94)</f>
        <v>3895.83333333333</v>
      </c>
      <c r="BN84" s="12" t="n">
        <f aca="false">IF('Raw Data'!BS94="",0,'Raw Data'!BS94)</f>
        <v>3895.83333333333</v>
      </c>
      <c r="BO84" s="21" t="b">
        <f aca="false">FALSE()</f>
        <v>0</v>
      </c>
    </row>
    <row r="85" customFormat="false" ht="15" hidden="false" customHeight="false" outlineLevel="0" collapsed="false">
      <c r="A85" s="20" t="str">
        <f aca="false">'Raw Data'!A95</f>
        <v>Local Account #85 from OH</v>
      </c>
      <c r="B85" s="12" t="n">
        <f aca="false">IF('Raw Data'!G95="",0,'Raw Data'!G95)</f>
        <v>0</v>
      </c>
      <c r="C85" s="12" t="n">
        <f aca="false">IF('Raw Data'!H95="",0,'Raw Data'!H95)</f>
        <v>0</v>
      </c>
      <c r="D85" s="12" t="n">
        <f aca="false">IF('Raw Data'!I95="",0,'Raw Data'!I95)</f>
        <v>0</v>
      </c>
      <c r="E85" s="12" t="n">
        <f aca="false">IF('Raw Data'!J95="",0,'Raw Data'!J95)</f>
        <v>0</v>
      </c>
      <c r="F85" s="12" t="n">
        <f aca="false">IF('Raw Data'!K95="",0,'Raw Data'!K95)</f>
        <v>0</v>
      </c>
      <c r="G85" s="12" t="n">
        <f aca="false">IF('Raw Data'!L95="",0,'Raw Data'!L95)</f>
        <v>0</v>
      </c>
      <c r="H85" s="12" t="n">
        <f aca="false">IF('Raw Data'!M95="",0,'Raw Data'!M95)</f>
        <v>0</v>
      </c>
      <c r="I85" s="12" t="n">
        <f aca="false">IF('Raw Data'!N95="",0,'Raw Data'!N95)</f>
        <v>0</v>
      </c>
      <c r="J85" s="12" t="n">
        <f aca="false">IF('Raw Data'!O95="",0,'Raw Data'!O95)</f>
        <v>0</v>
      </c>
      <c r="K85" s="12" t="n">
        <f aca="false">IF('Raw Data'!P95="",0,'Raw Data'!P95)</f>
        <v>0</v>
      </c>
      <c r="L85" s="12" t="n">
        <f aca="false">IF('Raw Data'!Q95="",0,'Raw Data'!Q95)</f>
        <v>0</v>
      </c>
      <c r="M85" s="12" t="n">
        <f aca="false">IF('Raw Data'!R95="",0,'Raw Data'!R95)</f>
        <v>0</v>
      </c>
      <c r="N85" s="12" t="n">
        <f aca="false">IF('Raw Data'!S95="",0,'Raw Data'!S95)</f>
        <v>0</v>
      </c>
      <c r="O85" s="12" t="n">
        <f aca="false">IF('Raw Data'!T95="",0,'Raw Data'!T95)</f>
        <v>0</v>
      </c>
      <c r="P85" s="12" t="n">
        <f aca="false">IF('Raw Data'!U95="",0,'Raw Data'!U95)</f>
        <v>0</v>
      </c>
      <c r="Q85" s="12" t="n">
        <f aca="false">IF('Raw Data'!V95="",0,'Raw Data'!V95)</f>
        <v>0</v>
      </c>
      <c r="R85" s="12" t="n">
        <f aca="false">IF('Raw Data'!W95="",0,'Raw Data'!W95)</f>
        <v>0</v>
      </c>
      <c r="S85" s="12" t="n">
        <f aca="false">IF('Raw Data'!X95="",0,'Raw Data'!X95)</f>
        <v>0</v>
      </c>
      <c r="T85" s="12" t="n">
        <f aca="false">IF('Raw Data'!Y95="",0,'Raw Data'!Y95)</f>
        <v>0</v>
      </c>
      <c r="U85" s="12" t="n">
        <f aca="false">IF('Raw Data'!Z95="",0,'Raw Data'!Z95)</f>
        <v>0</v>
      </c>
      <c r="V85" s="12" t="n">
        <f aca="false">IF('Raw Data'!AA95="",0,'Raw Data'!AA95)</f>
        <v>0</v>
      </c>
      <c r="W85" s="12" t="n">
        <f aca="false">IF('Raw Data'!AB95="",0,'Raw Data'!AB95)</f>
        <v>0</v>
      </c>
      <c r="X85" s="12" t="n">
        <f aca="false">IF('Raw Data'!AC95="",0,'Raw Data'!AC95)</f>
        <v>1820.41230769231</v>
      </c>
      <c r="Y85" s="12" t="n">
        <f aca="false">IF('Raw Data'!AD95="",0,'Raw Data'!AD95)</f>
        <v>1820.41230769231</v>
      </c>
      <c r="Z85" s="12" t="n">
        <f aca="false">IF('Raw Data'!AE95="",0,'Raw Data'!AE95)</f>
        <v>1820.41230769231</v>
      </c>
      <c r="AA85" s="12" t="n">
        <f aca="false">IF('Raw Data'!AF95="",0,'Raw Data'!AF95)</f>
        <v>1820.41230769231</v>
      </c>
      <c r="AB85" s="12" t="n">
        <f aca="false">IF('Raw Data'!AG95="",0,'Raw Data'!AG95)</f>
        <v>1820.41230769231</v>
      </c>
      <c r="AC85" s="12" t="n">
        <f aca="false">IF('Raw Data'!AH95="",0,'Raw Data'!AH95)</f>
        <v>1820.41230769231</v>
      </c>
      <c r="AD85" s="12" t="n">
        <f aca="false">IF('Raw Data'!AI95="",0,'Raw Data'!AI95)</f>
        <v>1820.41230769231</v>
      </c>
      <c r="AE85" s="12" t="n">
        <f aca="false">IF('Raw Data'!AJ95="",0,'Raw Data'!AJ95)</f>
        <v>1820.41230769231</v>
      </c>
      <c r="AF85" s="12" t="n">
        <f aca="false">IF('Raw Data'!AK95="",0,'Raw Data'!AK95)</f>
        <v>1820.41230769231</v>
      </c>
      <c r="AG85" s="12" t="n">
        <f aca="false">IF('Raw Data'!AL95="",0,'Raw Data'!AL95)</f>
        <v>1820.41230769231</v>
      </c>
      <c r="AH85" s="12" t="n">
        <f aca="false">IF('Raw Data'!AM95="",0,'Raw Data'!AM95)</f>
        <v>1820.41230769231</v>
      </c>
      <c r="AI85" s="12" t="n">
        <f aca="false">IF('Raw Data'!AN95="",0,'Raw Data'!AN95)</f>
        <v>1820.41230769231</v>
      </c>
      <c r="AJ85" s="12" t="n">
        <f aca="false">IF('Raw Data'!AO95="",0,'Raw Data'!AO95)</f>
        <v>1820.41230769231</v>
      </c>
      <c r="AK85" s="12" t="n">
        <f aca="false">IF('Raw Data'!AP95="",0,'Raw Data'!AP95)</f>
        <v>1296.83666666667</v>
      </c>
      <c r="AL85" s="12" t="n">
        <f aca="false">IF('Raw Data'!AQ95="",0,'Raw Data'!AQ95)</f>
        <v>1296.83666666667</v>
      </c>
      <c r="AM85" s="12" t="n">
        <f aca="false">IF('Raw Data'!AR95="",0,'Raw Data'!AR95)</f>
        <v>1296.83666666667</v>
      </c>
      <c r="AN85" s="12" t="n">
        <f aca="false">IF('Raw Data'!AS95="",0,'Raw Data'!AS95)</f>
        <v>1296.83666666667</v>
      </c>
      <c r="AO85" s="12" t="n">
        <f aca="false">IF('Raw Data'!AT95="",0,'Raw Data'!AT95)</f>
        <v>1296.83666666667</v>
      </c>
      <c r="AP85" s="12" t="n">
        <f aca="false">IF('Raw Data'!AU95="",0,'Raw Data'!AU95)</f>
        <v>1296.83666666667</v>
      </c>
      <c r="AQ85" s="12" t="n">
        <f aca="false">IF('Raw Data'!AV95="",0,'Raw Data'!AV95)</f>
        <v>1481.00333333333</v>
      </c>
      <c r="AR85" s="12" t="n">
        <f aca="false">IF('Raw Data'!AW95="",0,'Raw Data'!AW95)</f>
        <v>1481.00333333333</v>
      </c>
      <c r="AS85" s="12" t="n">
        <f aca="false">IF('Raw Data'!AX95="",0,'Raw Data'!AX95)</f>
        <v>1481.00333333333</v>
      </c>
      <c r="AT85" s="12" t="n">
        <f aca="false">IF('Raw Data'!AY95="",0,'Raw Data'!AY95)</f>
        <v>1481.00333333333</v>
      </c>
      <c r="AU85" s="12" t="n">
        <f aca="false">IF('Raw Data'!AZ95="",0,'Raw Data'!AZ95)</f>
        <v>1481.00333333333</v>
      </c>
      <c r="AV85" s="12" t="n">
        <f aca="false">IF('Raw Data'!BA95="",0,'Raw Data'!BA95)</f>
        <v>1481.00333333333</v>
      </c>
      <c r="AW85" s="12" t="n">
        <f aca="false">IF('Raw Data'!BB95="",0,'Raw Data'!BB95)</f>
        <v>920.833333333333</v>
      </c>
      <c r="AX85" s="12" t="n">
        <f aca="false">IF('Raw Data'!BC95="",0,'Raw Data'!BC95)</f>
        <v>920.833333333333</v>
      </c>
      <c r="AY85" s="12" t="n">
        <f aca="false">IF('Raw Data'!BD95="",0,'Raw Data'!BD95)</f>
        <v>920.833333333333</v>
      </c>
      <c r="AZ85" s="12" t="n">
        <f aca="false">IF('Raw Data'!BE95="",0,'Raw Data'!BE95)</f>
        <v>920.833333333333</v>
      </c>
      <c r="BA85" s="12" t="n">
        <f aca="false">IF('Raw Data'!BF95="",0,'Raw Data'!BF95)</f>
        <v>1197.08458333333</v>
      </c>
      <c r="BB85" s="12" t="n">
        <f aca="false">IF('Raw Data'!BG95="",0,'Raw Data'!BG95)</f>
        <v>1197.08458333333</v>
      </c>
      <c r="BC85" s="12" t="n">
        <f aca="false">IF('Raw Data'!BH95="",0,'Raw Data'!BH95)</f>
        <v>1197.08458333333</v>
      </c>
      <c r="BD85" s="12" t="n">
        <f aca="false">IF('Raw Data'!BI95="",0,'Raw Data'!BI95)</f>
        <v>1381.24458333333</v>
      </c>
      <c r="BE85" s="12" t="n">
        <f aca="false">IF('Raw Data'!BJ95="",0,'Raw Data'!BJ95)</f>
        <v>1381.24458333333</v>
      </c>
      <c r="BF85" s="12" t="n">
        <f aca="false">IF('Raw Data'!BK95="",0,'Raw Data'!BK95)</f>
        <v>1381.24458333333</v>
      </c>
      <c r="BG85" s="12" t="n">
        <f aca="false">IF('Raw Data'!BL95="",0,'Raw Data'!BL95)</f>
        <v>1381.24458333333</v>
      </c>
      <c r="BH85" s="12" t="n">
        <f aca="false">IF('Raw Data'!BM95="",0,'Raw Data'!BM95)</f>
        <v>1381.24458333333</v>
      </c>
      <c r="BI85" s="12" t="n">
        <f aca="false">IF('Raw Data'!BN95="",0,'Raw Data'!BN95)</f>
        <v>828.75</v>
      </c>
      <c r="BJ85" s="12" t="n">
        <f aca="false">IF('Raw Data'!BO95="",0,'Raw Data'!BO95)</f>
        <v>828.75</v>
      </c>
      <c r="BK85" s="12" t="n">
        <f aca="false">IF('Raw Data'!BP95="",0,'Raw Data'!BP95)</f>
        <v>828.75</v>
      </c>
      <c r="BL85" s="12" t="n">
        <f aca="false">IF('Raw Data'!BQ95="",0,'Raw Data'!BQ95)</f>
        <v>828.75</v>
      </c>
      <c r="BM85" s="12" t="n">
        <f aca="false">IF('Raw Data'!BR95="",0,'Raw Data'!BR95)</f>
        <v>828.75</v>
      </c>
      <c r="BN85" s="12" t="n">
        <f aca="false">IF('Raw Data'!BS95="",0,'Raw Data'!BS95)</f>
        <v>828.75</v>
      </c>
      <c r="BO85" s="21" t="b">
        <f aca="false">FALSE()</f>
        <v>0</v>
      </c>
    </row>
    <row r="86" customFormat="false" ht="15" hidden="false" customHeight="false" outlineLevel="0" collapsed="false">
      <c r="A86" s="20" t="str">
        <f aca="false">'Raw Data'!A96</f>
        <v>Local Account #86 from VA</v>
      </c>
      <c r="B86" s="12" t="n">
        <f aca="false">IF('Raw Data'!G96="",0,'Raw Data'!G96)</f>
        <v>0</v>
      </c>
      <c r="C86" s="12" t="n">
        <f aca="false">IF('Raw Data'!H96="",0,'Raw Data'!H96)</f>
        <v>0</v>
      </c>
      <c r="D86" s="12" t="n">
        <f aca="false">IF('Raw Data'!I96="",0,'Raw Data'!I96)</f>
        <v>0</v>
      </c>
      <c r="E86" s="12" t="n">
        <f aca="false">IF('Raw Data'!J96="",0,'Raw Data'!J96)</f>
        <v>0</v>
      </c>
      <c r="F86" s="12" t="n">
        <f aca="false">IF('Raw Data'!K96="",0,'Raw Data'!K96)</f>
        <v>0</v>
      </c>
      <c r="G86" s="12" t="n">
        <f aca="false">IF('Raw Data'!L96="",0,'Raw Data'!L96)</f>
        <v>0</v>
      </c>
      <c r="H86" s="12" t="n">
        <f aca="false">IF('Raw Data'!M96="",0,'Raw Data'!M96)</f>
        <v>0</v>
      </c>
      <c r="I86" s="12" t="n">
        <f aca="false">IF('Raw Data'!N96="",0,'Raw Data'!N96)</f>
        <v>0</v>
      </c>
      <c r="J86" s="12" t="n">
        <f aca="false">IF('Raw Data'!O96="",0,'Raw Data'!O96)</f>
        <v>0</v>
      </c>
      <c r="K86" s="12" t="n">
        <f aca="false">IF('Raw Data'!P96="",0,'Raw Data'!P96)</f>
        <v>0</v>
      </c>
      <c r="L86" s="12" t="n">
        <f aca="false">IF('Raw Data'!Q96="",0,'Raw Data'!Q96)</f>
        <v>0</v>
      </c>
      <c r="M86" s="12" t="n">
        <f aca="false">IF('Raw Data'!R96="",0,'Raw Data'!R96)</f>
        <v>0</v>
      </c>
      <c r="N86" s="12" t="n">
        <f aca="false">IF('Raw Data'!S96="",0,'Raw Data'!S96)</f>
        <v>0</v>
      </c>
      <c r="O86" s="12" t="n">
        <f aca="false">IF('Raw Data'!T96="",0,'Raw Data'!T96)</f>
        <v>0</v>
      </c>
      <c r="P86" s="12" t="n">
        <f aca="false">IF('Raw Data'!U96="",0,'Raw Data'!U96)</f>
        <v>0</v>
      </c>
      <c r="Q86" s="12" t="n">
        <f aca="false">IF('Raw Data'!V96="",0,'Raw Data'!V96)</f>
        <v>0</v>
      </c>
      <c r="R86" s="12" t="n">
        <f aca="false">IF('Raw Data'!W96="",0,'Raw Data'!W96)</f>
        <v>0</v>
      </c>
      <c r="S86" s="12" t="n">
        <f aca="false">IF('Raw Data'!X96="",0,'Raw Data'!X96)</f>
        <v>0</v>
      </c>
      <c r="T86" s="12" t="n">
        <f aca="false">IF('Raw Data'!Y96="",0,'Raw Data'!Y96)</f>
        <v>0</v>
      </c>
      <c r="U86" s="12" t="n">
        <f aca="false">IF('Raw Data'!Z96="",0,'Raw Data'!Z96)</f>
        <v>0</v>
      </c>
      <c r="V86" s="12" t="n">
        <f aca="false">IF('Raw Data'!AA96="",0,'Raw Data'!AA96)</f>
        <v>0</v>
      </c>
      <c r="W86" s="12" t="n">
        <f aca="false">IF('Raw Data'!AB96="",0,'Raw Data'!AB96)</f>
        <v>0</v>
      </c>
      <c r="X86" s="12" t="n">
        <f aca="false">IF('Raw Data'!AC96="",0,'Raw Data'!AC96)</f>
        <v>0</v>
      </c>
      <c r="Y86" s="12" t="n">
        <f aca="false">IF('Raw Data'!AD96="",0,'Raw Data'!AD96)</f>
        <v>0</v>
      </c>
      <c r="Z86" s="12" t="n">
        <f aca="false">IF('Raw Data'!AE96="",0,'Raw Data'!AE96)</f>
        <v>0</v>
      </c>
      <c r="AA86" s="12" t="n">
        <f aca="false">IF('Raw Data'!AF96="",0,'Raw Data'!AF96)</f>
        <v>0</v>
      </c>
      <c r="AB86" s="12" t="n">
        <f aca="false">IF('Raw Data'!AG96="",0,'Raw Data'!AG96)</f>
        <v>0</v>
      </c>
      <c r="AC86" s="12" t="n">
        <f aca="false">IF('Raw Data'!AH96="",0,'Raw Data'!AH96)</f>
        <v>0</v>
      </c>
      <c r="AD86" s="12" t="n">
        <f aca="false">IF('Raw Data'!AI96="",0,'Raw Data'!AI96)</f>
        <v>0</v>
      </c>
      <c r="AE86" s="12" t="n">
        <f aca="false">IF('Raw Data'!AJ96="",0,'Raw Data'!AJ96)</f>
        <v>585</v>
      </c>
      <c r="AF86" s="12" t="n">
        <f aca="false">IF('Raw Data'!AK96="",0,'Raw Data'!AK96)</f>
        <v>585</v>
      </c>
      <c r="AG86" s="12" t="n">
        <f aca="false">IF('Raw Data'!AL96="",0,'Raw Data'!AL96)</f>
        <v>585</v>
      </c>
      <c r="AH86" s="12" t="n">
        <f aca="false">IF('Raw Data'!AM96="",0,'Raw Data'!AM96)</f>
        <v>585</v>
      </c>
      <c r="AI86" s="12" t="n">
        <f aca="false">IF('Raw Data'!AN96="",0,'Raw Data'!AN96)</f>
        <v>585</v>
      </c>
      <c r="AJ86" s="12" t="n">
        <f aca="false">IF('Raw Data'!AO96="",0,'Raw Data'!AO96)</f>
        <v>585</v>
      </c>
      <c r="AK86" s="12" t="n">
        <f aca="false">IF('Raw Data'!AP96="",0,'Raw Data'!AP96)</f>
        <v>585</v>
      </c>
      <c r="AL86" s="12" t="n">
        <f aca="false">IF('Raw Data'!AQ96="",0,'Raw Data'!AQ96)</f>
        <v>585</v>
      </c>
      <c r="AM86" s="12" t="n">
        <f aca="false">IF('Raw Data'!AR96="",0,'Raw Data'!AR96)</f>
        <v>585</v>
      </c>
      <c r="AN86" s="12" t="n">
        <f aca="false">IF('Raw Data'!AS96="",0,'Raw Data'!AS96)</f>
        <v>585</v>
      </c>
      <c r="AO86" s="12" t="n">
        <f aca="false">IF('Raw Data'!AT96="",0,'Raw Data'!AT96)</f>
        <v>585</v>
      </c>
      <c r="AP86" s="12" t="n">
        <f aca="false">IF('Raw Data'!AU96="",0,'Raw Data'!AU96)</f>
        <v>585</v>
      </c>
      <c r="AQ86" s="12" t="n">
        <f aca="false">IF('Raw Data'!AV96="",0,'Raw Data'!AV96)</f>
        <v>585</v>
      </c>
      <c r="AR86" s="12" t="n">
        <f aca="false">IF('Raw Data'!AW96="",0,'Raw Data'!AW96)</f>
        <v>585</v>
      </c>
      <c r="AS86" s="12" t="n">
        <f aca="false">IF('Raw Data'!AX96="",0,'Raw Data'!AX96)</f>
        <v>585</v>
      </c>
      <c r="AT86" s="12" t="n">
        <f aca="false">IF('Raw Data'!AY96="",0,'Raw Data'!AY96)</f>
        <v>585</v>
      </c>
      <c r="AU86" s="12" t="n">
        <f aca="false">IF('Raw Data'!AZ96="",0,'Raw Data'!AZ96)</f>
        <v>780</v>
      </c>
      <c r="AV86" s="12" t="n">
        <f aca="false">IF('Raw Data'!BA96="",0,'Raw Data'!BA96)</f>
        <v>780</v>
      </c>
      <c r="AW86" s="12" t="n">
        <f aca="false">IF('Raw Data'!BB96="",0,'Raw Data'!BB96)</f>
        <v>780</v>
      </c>
      <c r="AX86" s="12" t="n">
        <f aca="false">IF('Raw Data'!BC96="",0,'Raw Data'!BC96)</f>
        <v>780</v>
      </c>
      <c r="AY86" s="12" t="n">
        <f aca="false">IF('Raw Data'!BD96="",0,'Raw Data'!BD96)</f>
        <v>780</v>
      </c>
      <c r="AZ86" s="12" t="n">
        <f aca="false">IF('Raw Data'!BE96="",0,'Raw Data'!BE96)</f>
        <v>780</v>
      </c>
      <c r="BA86" s="12" t="n">
        <f aca="false">IF('Raw Data'!BF96="",0,'Raw Data'!BF96)</f>
        <v>780</v>
      </c>
      <c r="BB86" s="12" t="n">
        <f aca="false">IF('Raw Data'!BG96="",0,'Raw Data'!BG96)</f>
        <v>780</v>
      </c>
      <c r="BC86" s="12" t="n">
        <f aca="false">IF('Raw Data'!BH96="",0,'Raw Data'!BH96)</f>
        <v>780</v>
      </c>
      <c r="BD86" s="12" t="n">
        <f aca="false">IF('Raw Data'!BI96="",0,'Raw Data'!BI96)</f>
        <v>780</v>
      </c>
      <c r="BE86" s="12" t="n">
        <f aca="false">IF('Raw Data'!BJ96="",0,'Raw Data'!BJ96)</f>
        <v>780</v>
      </c>
      <c r="BF86" s="12" t="n">
        <f aca="false">IF('Raw Data'!BK96="",0,'Raw Data'!BK96)</f>
        <v>780</v>
      </c>
      <c r="BG86" s="12" t="n">
        <f aca="false">IF('Raw Data'!BL96="",0,'Raw Data'!BL96)</f>
        <v>780</v>
      </c>
      <c r="BH86" s="12" t="n">
        <f aca="false">IF('Raw Data'!BM96="",0,'Raw Data'!BM96)</f>
        <v>780</v>
      </c>
      <c r="BI86" s="12" t="n">
        <f aca="false">IF('Raw Data'!BN96="",0,'Raw Data'!BN96)</f>
        <v>780</v>
      </c>
      <c r="BJ86" s="12" t="n">
        <f aca="false">IF('Raw Data'!BO96="",0,'Raw Data'!BO96)</f>
        <v>780</v>
      </c>
      <c r="BK86" s="12" t="n">
        <f aca="false">IF('Raw Data'!BP96="",0,'Raw Data'!BP96)</f>
        <v>780</v>
      </c>
      <c r="BL86" s="12" t="n">
        <f aca="false">IF('Raw Data'!BQ96="",0,'Raw Data'!BQ96)</f>
        <v>780</v>
      </c>
      <c r="BM86" s="12" t="n">
        <f aca="false">IF('Raw Data'!BR96="",0,'Raw Data'!BR96)</f>
        <v>780</v>
      </c>
      <c r="BN86" s="12" t="n">
        <f aca="false">IF('Raw Data'!BS96="",0,'Raw Data'!BS96)</f>
        <v>780</v>
      </c>
      <c r="BO86" s="21" t="b">
        <f aca="false">FALSE()</f>
        <v>0</v>
      </c>
    </row>
    <row r="87" customFormat="false" ht="15" hidden="false" customHeight="false" outlineLevel="0" collapsed="false">
      <c r="A87" s="20" t="str">
        <f aca="false">'Raw Data'!A97</f>
        <v>Local Account #87 from IL</v>
      </c>
      <c r="B87" s="12" t="n">
        <f aca="false">IF('Raw Data'!G97="",0,'Raw Data'!G97)</f>
        <v>0</v>
      </c>
      <c r="C87" s="12" t="n">
        <f aca="false">IF('Raw Data'!H97="",0,'Raw Data'!H97)</f>
        <v>0</v>
      </c>
      <c r="D87" s="12" t="n">
        <f aca="false">IF('Raw Data'!I97="",0,'Raw Data'!I97)</f>
        <v>0</v>
      </c>
      <c r="E87" s="12" t="n">
        <f aca="false">IF('Raw Data'!J97="",0,'Raw Data'!J97)</f>
        <v>0</v>
      </c>
      <c r="F87" s="12" t="n">
        <f aca="false">IF('Raw Data'!K97="",0,'Raw Data'!K97)</f>
        <v>0</v>
      </c>
      <c r="G87" s="12" t="n">
        <f aca="false">IF('Raw Data'!L97="",0,'Raw Data'!L97)</f>
        <v>0</v>
      </c>
      <c r="H87" s="12" t="n">
        <f aca="false">IF('Raw Data'!M97="",0,'Raw Data'!M97)</f>
        <v>0</v>
      </c>
      <c r="I87" s="12" t="n">
        <f aca="false">IF('Raw Data'!N97="",0,'Raw Data'!N97)</f>
        <v>0</v>
      </c>
      <c r="J87" s="12" t="n">
        <f aca="false">IF('Raw Data'!O97="",0,'Raw Data'!O97)</f>
        <v>0</v>
      </c>
      <c r="K87" s="12" t="n">
        <f aca="false">IF('Raw Data'!P97="",0,'Raw Data'!P97)</f>
        <v>0</v>
      </c>
      <c r="L87" s="12" t="n">
        <f aca="false">IF('Raw Data'!Q97="",0,'Raw Data'!Q97)</f>
        <v>0</v>
      </c>
      <c r="M87" s="12" t="n">
        <f aca="false">IF('Raw Data'!R97="",0,'Raw Data'!R97)</f>
        <v>0</v>
      </c>
      <c r="N87" s="12" t="n">
        <f aca="false">IF('Raw Data'!S97="",0,'Raw Data'!S97)</f>
        <v>0</v>
      </c>
      <c r="O87" s="12" t="n">
        <f aca="false">IF('Raw Data'!T97="",0,'Raw Data'!T97)</f>
        <v>0</v>
      </c>
      <c r="P87" s="12" t="n">
        <f aca="false">IF('Raw Data'!U97="",0,'Raw Data'!U97)</f>
        <v>0</v>
      </c>
      <c r="Q87" s="12" t="n">
        <f aca="false">IF('Raw Data'!V97="",0,'Raw Data'!V97)</f>
        <v>0</v>
      </c>
      <c r="R87" s="12" t="n">
        <f aca="false">IF('Raw Data'!W97="",0,'Raw Data'!W97)</f>
        <v>0</v>
      </c>
      <c r="S87" s="12" t="n">
        <f aca="false">IF('Raw Data'!X97="",0,'Raw Data'!X97)</f>
        <v>0</v>
      </c>
      <c r="T87" s="12" t="n">
        <f aca="false">IF('Raw Data'!Y97="",0,'Raw Data'!Y97)</f>
        <v>0</v>
      </c>
      <c r="U87" s="12" t="n">
        <f aca="false">IF('Raw Data'!Z97="",0,'Raw Data'!Z97)</f>
        <v>0</v>
      </c>
      <c r="V87" s="12" t="n">
        <f aca="false">IF('Raw Data'!AA97="",0,'Raw Data'!AA97)</f>
        <v>0</v>
      </c>
      <c r="W87" s="12" t="n">
        <f aca="false">IF('Raw Data'!AB97="",0,'Raw Data'!AB97)</f>
        <v>0</v>
      </c>
      <c r="X87" s="12" t="n">
        <f aca="false">IF('Raw Data'!AC97="",0,'Raw Data'!AC97)</f>
        <v>0</v>
      </c>
      <c r="Y87" s="12" t="n">
        <f aca="false">IF('Raw Data'!AD97="",0,'Raw Data'!AD97)</f>
        <v>0</v>
      </c>
      <c r="Z87" s="12" t="n">
        <f aca="false">IF('Raw Data'!AE97="",0,'Raw Data'!AE97)</f>
        <v>0</v>
      </c>
      <c r="AA87" s="12" t="n">
        <f aca="false">IF('Raw Data'!AF97="",0,'Raw Data'!AF97)</f>
        <v>0</v>
      </c>
      <c r="AB87" s="12" t="n">
        <f aca="false">IF('Raw Data'!AG97="",0,'Raw Data'!AG97)</f>
        <v>0</v>
      </c>
      <c r="AC87" s="12" t="n">
        <f aca="false">IF('Raw Data'!AH97="",0,'Raw Data'!AH97)</f>
        <v>0</v>
      </c>
      <c r="AD87" s="12" t="n">
        <f aca="false">IF('Raw Data'!AI97="",0,'Raw Data'!AI97)</f>
        <v>0</v>
      </c>
      <c r="AE87" s="12" t="n">
        <f aca="false">IF('Raw Data'!AJ97="",0,'Raw Data'!AJ97)</f>
        <v>0</v>
      </c>
      <c r="AF87" s="12" t="n">
        <f aca="false">IF('Raw Data'!AK97="",0,'Raw Data'!AK97)</f>
        <v>0</v>
      </c>
      <c r="AG87" s="12" t="n">
        <f aca="false">IF('Raw Data'!AL97="",0,'Raw Data'!AL97)</f>
        <v>0</v>
      </c>
      <c r="AH87" s="12" t="n">
        <f aca="false">IF('Raw Data'!AM97="",0,'Raw Data'!AM97)</f>
        <v>0</v>
      </c>
      <c r="AI87" s="12" t="n">
        <f aca="false">IF('Raw Data'!AN97="",0,'Raw Data'!AN97)</f>
        <v>0</v>
      </c>
      <c r="AJ87" s="12" t="n">
        <f aca="false">IF('Raw Data'!AO97="",0,'Raw Data'!AO97)</f>
        <v>0</v>
      </c>
      <c r="AK87" s="12" t="n">
        <f aca="false">IF('Raw Data'!AP97="",0,'Raw Data'!AP97)</f>
        <v>0</v>
      </c>
      <c r="AL87" s="12" t="n">
        <f aca="false">IF('Raw Data'!AQ97="",0,'Raw Data'!AQ97)</f>
        <v>0</v>
      </c>
      <c r="AM87" s="12" t="n">
        <f aca="false">IF('Raw Data'!AR97="",0,'Raw Data'!AR97)</f>
        <v>0</v>
      </c>
      <c r="AN87" s="12" t="n">
        <f aca="false">IF('Raw Data'!AS97="",0,'Raw Data'!AS97)</f>
        <v>0</v>
      </c>
      <c r="AO87" s="12" t="n">
        <f aca="false">IF('Raw Data'!AT97="",0,'Raw Data'!AT97)</f>
        <v>0</v>
      </c>
      <c r="AP87" s="12" t="n">
        <f aca="false">IF('Raw Data'!AU97="",0,'Raw Data'!AU97)</f>
        <v>0</v>
      </c>
      <c r="AQ87" s="12" t="n">
        <f aca="false">IF('Raw Data'!AV97="",0,'Raw Data'!AV97)</f>
        <v>0</v>
      </c>
      <c r="AR87" s="12" t="n">
        <f aca="false">IF('Raw Data'!AW97="",0,'Raw Data'!AW97)</f>
        <v>0</v>
      </c>
      <c r="AS87" s="12" t="n">
        <f aca="false">IF('Raw Data'!AX97="",0,'Raw Data'!AX97)</f>
        <v>0</v>
      </c>
      <c r="AT87" s="12" t="n">
        <f aca="false">IF('Raw Data'!AY97="",0,'Raw Data'!AY97)</f>
        <v>0</v>
      </c>
      <c r="AU87" s="12" t="n">
        <f aca="false">IF('Raw Data'!AZ97="",0,'Raw Data'!AZ97)</f>
        <v>833.333333333333</v>
      </c>
      <c r="AV87" s="12" t="n">
        <f aca="false">IF('Raw Data'!BA97="",0,'Raw Data'!BA97)</f>
        <v>833.333333333333</v>
      </c>
      <c r="AW87" s="12" t="n">
        <f aca="false">IF('Raw Data'!BB97="",0,'Raw Data'!BB97)</f>
        <v>833.333333333333</v>
      </c>
      <c r="AX87" s="12" t="n">
        <f aca="false">IF('Raw Data'!BC97="",0,'Raw Data'!BC97)</f>
        <v>833.333333333333</v>
      </c>
      <c r="AY87" s="12" t="n">
        <f aca="false">IF('Raw Data'!BD97="",0,'Raw Data'!BD97)</f>
        <v>833.333333333333</v>
      </c>
      <c r="AZ87" s="12" t="n">
        <f aca="false">IF('Raw Data'!BE97="",0,'Raw Data'!BE97)</f>
        <v>833.333333333333</v>
      </c>
      <c r="BA87" s="12" t="n">
        <f aca="false">IF('Raw Data'!BF97="",0,'Raw Data'!BF97)</f>
        <v>833.333333333333</v>
      </c>
      <c r="BB87" s="12" t="n">
        <f aca="false">IF('Raw Data'!BG97="",0,'Raw Data'!BG97)</f>
        <v>833.333333333333</v>
      </c>
      <c r="BC87" s="12" t="n">
        <f aca="false">IF('Raw Data'!BH97="",0,'Raw Data'!BH97)</f>
        <v>833.333333333333</v>
      </c>
      <c r="BD87" s="12" t="n">
        <f aca="false">IF('Raw Data'!BI97="",0,'Raw Data'!BI97)</f>
        <v>833.333333333333</v>
      </c>
      <c r="BE87" s="12" t="n">
        <f aca="false">IF('Raw Data'!BJ97="",0,'Raw Data'!BJ97)</f>
        <v>833.333333333333</v>
      </c>
      <c r="BF87" s="12" t="n">
        <f aca="false">IF('Raw Data'!BK97="",0,'Raw Data'!BK97)</f>
        <v>833.333333333333</v>
      </c>
      <c r="BG87" s="12" t="n">
        <f aca="false">IF('Raw Data'!BL97="",0,'Raw Data'!BL97)</f>
        <v>2000</v>
      </c>
      <c r="BH87" s="12" t="n">
        <f aca="false">IF('Raw Data'!BM97="",0,'Raw Data'!BM97)</f>
        <v>2000</v>
      </c>
      <c r="BI87" s="12" t="n">
        <f aca="false">IF('Raw Data'!BN97="",0,'Raw Data'!BN97)</f>
        <v>2000</v>
      </c>
      <c r="BJ87" s="12" t="n">
        <f aca="false">IF('Raw Data'!BO97="",0,'Raw Data'!BO97)</f>
        <v>2000</v>
      </c>
      <c r="BK87" s="12" t="n">
        <f aca="false">IF('Raw Data'!BP97="",0,'Raw Data'!BP97)</f>
        <v>2000</v>
      </c>
      <c r="BL87" s="12" t="n">
        <f aca="false">IF('Raw Data'!BQ97="",0,'Raw Data'!BQ97)</f>
        <v>2300</v>
      </c>
      <c r="BM87" s="12" t="n">
        <f aca="false">IF('Raw Data'!BR97="",0,'Raw Data'!BR97)</f>
        <v>2300</v>
      </c>
      <c r="BN87" s="12" t="n">
        <f aca="false">IF('Raw Data'!BS97="",0,'Raw Data'!BS97)</f>
        <v>2300</v>
      </c>
      <c r="BO87" s="21" t="b">
        <f aca="false">FALSE()</f>
        <v>0</v>
      </c>
    </row>
    <row r="88" customFormat="false" ht="15" hidden="false" customHeight="false" outlineLevel="0" collapsed="false">
      <c r="A88" s="20" t="str">
        <f aca="false">'Raw Data'!A98</f>
        <v>Local Account #88 from MI</v>
      </c>
      <c r="B88" s="12" t="n">
        <f aca="false">IF('Raw Data'!G98="",0,'Raw Data'!G98)</f>
        <v>2002.07666666667</v>
      </c>
      <c r="C88" s="12" t="n">
        <f aca="false">IF('Raw Data'!H98="",0,'Raw Data'!H98)</f>
        <v>2002.07666666667</v>
      </c>
      <c r="D88" s="12" t="n">
        <f aca="false">IF('Raw Data'!I98="",0,'Raw Data'!I98)</f>
        <v>2002.07666666667</v>
      </c>
      <c r="E88" s="12" t="n">
        <f aca="false">IF('Raw Data'!J98="",0,'Raw Data'!J98)</f>
        <v>2002.07666666667</v>
      </c>
      <c r="F88" s="12" t="n">
        <f aca="false">IF('Raw Data'!K98="",0,'Raw Data'!K98)</f>
        <v>2002.07666666667</v>
      </c>
      <c r="G88" s="12" t="n">
        <f aca="false">IF('Raw Data'!L98="",0,'Raw Data'!L98)</f>
        <v>2002.07666666667</v>
      </c>
      <c r="H88" s="12" t="n">
        <f aca="false">IF('Raw Data'!M98="",0,'Raw Data'!M98)</f>
        <v>2002.08333333333</v>
      </c>
      <c r="I88" s="12" t="n">
        <f aca="false">IF('Raw Data'!N98="",0,'Raw Data'!N98)</f>
        <v>2002.08333333333</v>
      </c>
      <c r="J88" s="12" t="n">
        <f aca="false">IF('Raw Data'!O98="",0,'Raw Data'!O98)</f>
        <v>2002.08333333333</v>
      </c>
      <c r="K88" s="12" t="n">
        <f aca="false">IF('Raw Data'!P98="",0,'Raw Data'!P98)</f>
        <v>2002.08333333333</v>
      </c>
      <c r="L88" s="12" t="n">
        <f aca="false">IF('Raw Data'!Q98="",0,'Raw Data'!Q98)</f>
        <v>2002.08333333333</v>
      </c>
      <c r="M88" s="12" t="n">
        <f aca="false">IF('Raw Data'!R98="",0,'Raw Data'!R98)</f>
        <v>2002.08333333333</v>
      </c>
      <c r="N88" s="12" t="n">
        <f aca="false">IF('Raw Data'!S98="",0,'Raw Data'!S98)</f>
        <v>2002.08333333333</v>
      </c>
      <c r="O88" s="12" t="n">
        <f aca="false">IF('Raw Data'!T98="",0,'Raw Data'!T98)</f>
        <v>2002.08333333333</v>
      </c>
      <c r="P88" s="12" t="n">
        <f aca="false">IF('Raw Data'!U98="",0,'Raw Data'!U98)</f>
        <v>2002.08333333333</v>
      </c>
      <c r="Q88" s="12" t="n">
        <f aca="false">IF('Raw Data'!V98="",0,'Raw Data'!V98)</f>
        <v>2002.08333333333</v>
      </c>
      <c r="R88" s="12" t="n">
        <f aca="false">IF('Raw Data'!W98="",0,'Raw Data'!W98)</f>
        <v>2002.08333333333</v>
      </c>
      <c r="S88" s="12" t="n">
        <f aca="false">IF('Raw Data'!X98="",0,'Raw Data'!X98)</f>
        <v>2002.08333333333</v>
      </c>
      <c r="T88" s="12" t="n">
        <f aca="false">IF('Raw Data'!Y98="",0,'Raw Data'!Y98)</f>
        <v>2002.08333333333</v>
      </c>
      <c r="U88" s="12" t="n">
        <f aca="false">IF('Raw Data'!Z98="",0,'Raw Data'!Z98)</f>
        <v>2002.08333333333</v>
      </c>
      <c r="V88" s="12" t="n">
        <f aca="false">IF('Raw Data'!AA98="",0,'Raw Data'!AA98)</f>
        <v>2002.08333333333</v>
      </c>
      <c r="W88" s="12" t="n">
        <f aca="false">IF('Raw Data'!AB98="",0,'Raw Data'!AB98)</f>
        <v>2002.08333333333</v>
      </c>
      <c r="X88" s="12" t="n">
        <f aca="false">IF('Raw Data'!AC98="",0,'Raw Data'!AC98)</f>
        <v>2002.08333333333</v>
      </c>
      <c r="Y88" s="12" t="n">
        <f aca="false">IF('Raw Data'!AD98="",0,'Raw Data'!AD98)</f>
        <v>2002.08333333333</v>
      </c>
      <c r="Z88" s="12" t="n">
        <f aca="false">IF('Raw Data'!AE98="",0,'Raw Data'!AE98)</f>
        <v>2002.08333333333</v>
      </c>
      <c r="AA88" s="12" t="n">
        <f aca="false">IF('Raw Data'!AF98="",0,'Raw Data'!AF98)</f>
        <v>2002.08333333333</v>
      </c>
      <c r="AB88" s="12" t="n">
        <f aca="false">IF('Raw Data'!AG98="",0,'Raw Data'!AG98)</f>
        <v>2002.08333333333</v>
      </c>
      <c r="AC88" s="12" t="n">
        <f aca="false">IF('Raw Data'!AH98="",0,'Raw Data'!AH98)</f>
        <v>2002.08333333333</v>
      </c>
      <c r="AD88" s="12" t="n">
        <f aca="false">IF('Raw Data'!AI98="",0,'Raw Data'!AI98)</f>
        <v>2002.08333333333</v>
      </c>
      <c r="AE88" s="12" t="n">
        <f aca="false">IF('Raw Data'!AJ98="",0,'Raw Data'!AJ98)</f>
        <v>2002.08333333333</v>
      </c>
      <c r="AF88" s="12" t="n">
        <f aca="false">IF('Raw Data'!AK98="",0,'Raw Data'!AK98)</f>
        <v>0</v>
      </c>
      <c r="AG88" s="12" t="n">
        <f aca="false">IF('Raw Data'!AL98="",0,'Raw Data'!AL98)</f>
        <v>0</v>
      </c>
      <c r="AH88" s="12" t="n">
        <f aca="false">IF('Raw Data'!AM98="",0,'Raw Data'!AM98)</f>
        <v>0</v>
      </c>
      <c r="AI88" s="12" t="n">
        <f aca="false">IF('Raw Data'!AN98="",0,'Raw Data'!AN98)</f>
        <v>0</v>
      </c>
      <c r="AJ88" s="12" t="n">
        <f aca="false">IF('Raw Data'!AO98="",0,'Raw Data'!AO98)</f>
        <v>0</v>
      </c>
      <c r="AK88" s="12" t="n">
        <f aca="false">IF('Raw Data'!AP98="",0,'Raw Data'!AP98)</f>
        <v>0</v>
      </c>
      <c r="AL88" s="12" t="n">
        <f aca="false">IF('Raw Data'!AQ98="",0,'Raw Data'!AQ98)</f>
        <v>0</v>
      </c>
      <c r="AM88" s="12" t="n">
        <f aca="false">IF('Raw Data'!AR98="",0,'Raw Data'!AR98)</f>
        <v>0</v>
      </c>
      <c r="AN88" s="12" t="n">
        <f aca="false">IF('Raw Data'!AS98="",0,'Raw Data'!AS98)</f>
        <v>0</v>
      </c>
      <c r="AO88" s="12" t="n">
        <f aca="false">IF('Raw Data'!AT98="",0,'Raw Data'!AT98)</f>
        <v>0</v>
      </c>
      <c r="AP88" s="12" t="n">
        <f aca="false">IF('Raw Data'!AU98="",0,'Raw Data'!AU98)</f>
        <v>0</v>
      </c>
      <c r="AQ88" s="12" t="n">
        <f aca="false">IF('Raw Data'!AV98="",0,'Raw Data'!AV98)</f>
        <v>0</v>
      </c>
      <c r="AR88" s="12" t="n">
        <f aca="false">IF('Raw Data'!AW98="",0,'Raw Data'!AW98)</f>
        <v>0</v>
      </c>
      <c r="AS88" s="12" t="n">
        <f aca="false">IF('Raw Data'!AX98="",0,'Raw Data'!AX98)</f>
        <v>0</v>
      </c>
      <c r="AT88" s="12" t="n">
        <f aca="false">IF('Raw Data'!AY98="",0,'Raw Data'!AY98)</f>
        <v>0</v>
      </c>
      <c r="AU88" s="12" t="n">
        <f aca="false">IF('Raw Data'!AZ98="",0,'Raw Data'!AZ98)</f>
        <v>0</v>
      </c>
      <c r="AV88" s="12" t="n">
        <f aca="false">IF('Raw Data'!BA98="",0,'Raw Data'!BA98)</f>
        <v>0</v>
      </c>
      <c r="AW88" s="12" t="n">
        <f aca="false">IF('Raw Data'!BB98="",0,'Raw Data'!BB98)</f>
        <v>0</v>
      </c>
      <c r="AX88" s="12" t="n">
        <f aca="false">IF('Raw Data'!BC98="",0,'Raw Data'!BC98)</f>
        <v>0</v>
      </c>
      <c r="AY88" s="12" t="n">
        <f aca="false">IF('Raw Data'!BD98="",0,'Raw Data'!BD98)</f>
        <v>0</v>
      </c>
      <c r="AZ88" s="12" t="n">
        <f aca="false">IF('Raw Data'!BE98="",0,'Raw Data'!BE98)</f>
        <v>0</v>
      </c>
      <c r="BA88" s="12" t="n">
        <f aca="false">IF('Raw Data'!BF98="",0,'Raw Data'!BF98)</f>
        <v>0</v>
      </c>
      <c r="BB88" s="12" t="n">
        <f aca="false">IF('Raw Data'!BG98="",0,'Raw Data'!BG98)</f>
        <v>0</v>
      </c>
      <c r="BC88" s="12" t="n">
        <f aca="false">IF('Raw Data'!BH98="",0,'Raw Data'!BH98)</f>
        <v>0</v>
      </c>
      <c r="BD88" s="12" t="n">
        <f aca="false">IF('Raw Data'!BI98="",0,'Raw Data'!BI98)</f>
        <v>0</v>
      </c>
      <c r="BE88" s="12" t="n">
        <f aca="false">IF('Raw Data'!BJ98="",0,'Raw Data'!BJ98)</f>
        <v>0</v>
      </c>
      <c r="BF88" s="12" t="n">
        <f aca="false">IF('Raw Data'!BK98="",0,'Raw Data'!BK98)</f>
        <v>0</v>
      </c>
      <c r="BG88" s="12" t="n">
        <f aca="false">IF('Raw Data'!BL98="",0,'Raw Data'!BL98)</f>
        <v>0</v>
      </c>
      <c r="BH88" s="12" t="n">
        <f aca="false">IF('Raw Data'!BM98="",0,'Raw Data'!BM98)</f>
        <v>0</v>
      </c>
      <c r="BI88" s="12" t="n">
        <f aca="false">IF('Raw Data'!BN98="",0,'Raw Data'!BN98)</f>
        <v>0</v>
      </c>
      <c r="BJ88" s="12" t="n">
        <f aca="false">IF('Raw Data'!BO98="",0,'Raw Data'!BO98)</f>
        <v>0</v>
      </c>
      <c r="BK88" s="12" t="n">
        <f aca="false">IF('Raw Data'!BP98="",0,'Raw Data'!BP98)</f>
        <v>0</v>
      </c>
      <c r="BL88" s="12" t="n">
        <f aca="false">IF('Raw Data'!BQ98="",0,'Raw Data'!BQ98)</f>
        <v>0</v>
      </c>
      <c r="BM88" s="12" t="n">
        <f aca="false">IF('Raw Data'!BR98="",0,'Raw Data'!BR98)</f>
        <v>0</v>
      </c>
      <c r="BN88" s="12" t="n">
        <f aca="false">IF('Raw Data'!BS98="",0,'Raw Data'!BS98)</f>
        <v>0</v>
      </c>
      <c r="BO88" s="21" t="b">
        <f aca="false">FALSE()</f>
        <v>0</v>
      </c>
    </row>
    <row r="89" customFormat="false" ht="15" hidden="false" customHeight="false" outlineLevel="0" collapsed="false">
      <c r="A89" s="20" t="str">
        <f aca="false">'Raw Data'!A99</f>
        <v>Local Account #89 from CA</v>
      </c>
      <c r="B89" s="12" t="n">
        <f aca="false">IF('Raw Data'!G99="",0,'Raw Data'!G99)</f>
        <v>0</v>
      </c>
      <c r="C89" s="12" t="n">
        <f aca="false">IF('Raw Data'!H99="",0,'Raw Data'!H99)</f>
        <v>0</v>
      </c>
      <c r="D89" s="12" t="n">
        <f aca="false">IF('Raw Data'!I99="",0,'Raw Data'!I99)</f>
        <v>0</v>
      </c>
      <c r="E89" s="12" t="n">
        <f aca="false">IF('Raw Data'!J99="",0,'Raw Data'!J99)</f>
        <v>0</v>
      </c>
      <c r="F89" s="12" t="n">
        <f aca="false">IF('Raw Data'!K99="",0,'Raw Data'!K99)</f>
        <v>0</v>
      </c>
      <c r="G89" s="12" t="n">
        <f aca="false">IF('Raw Data'!L99="",0,'Raw Data'!L99)</f>
        <v>0</v>
      </c>
      <c r="H89" s="12" t="n">
        <f aca="false">IF('Raw Data'!M99="",0,'Raw Data'!M99)</f>
        <v>0</v>
      </c>
      <c r="I89" s="12" t="n">
        <f aca="false">IF('Raw Data'!N99="",0,'Raw Data'!N99)</f>
        <v>0</v>
      </c>
      <c r="J89" s="12" t="n">
        <f aca="false">IF('Raw Data'!O99="",0,'Raw Data'!O99)</f>
        <v>0</v>
      </c>
      <c r="K89" s="12" t="n">
        <f aca="false">IF('Raw Data'!P99="",0,'Raw Data'!P99)</f>
        <v>0</v>
      </c>
      <c r="L89" s="12" t="n">
        <f aca="false">IF('Raw Data'!Q99="",0,'Raw Data'!Q99)</f>
        <v>0</v>
      </c>
      <c r="M89" s="12" t="n">
        <f aca="false">IF('Raw Data'!R99="",0,'Raw Data'!R99)</f>
        <v>0</v>
      </c>
      <c r="N89" s="12" t="n">
        <f aca="false">IF('Raw Data'!S99="",0,'Raw Data'!S99)</f>
        <v>0</v>
      </c>
      <c r="O89" s="12" t="n">
        <f aca="false">IF('Raw Data'!T99="",0,'Raw Data'!T99)</f>
        <v>0</v>
      </c>
      <c r="P89" s="12" t="n">
        <f aca="false">IF('Raw Data'!U99="",0,'Raw Data'!U99)</f>
        <v>0</v>
      </c>
      <c r="Q89" s="12" t="n">
        <f aca="false">IF('Raw Data'!V99="",0,'Raw Data'!V99)</f>
        <v>0</v>
      </c>
      <c r="R89" s="12" t="n">
        <f aca="false">IF('Raw Data'!W99="",0,'Raw Data'!W99)</f>
        <v>0</v>
      </c>
      <c r="S89" s="12" t="n">
        <f aca="false">IF('Raw Data'!X99="",0,'Raw Data'!X99)</f>
        <v>0</v>
      </c>
      <c r="T89" s="12" t="n">
        <f aca="false">IF('Raw Data'!Y99="",0,'Raw Data'!Y99)</f>
        <v>0</v>
      </c>
      <c r="U89" s="12" t="n">
        <f aca="false">IF('Raw Data'!Z99="",0,'Raw Data'!Z99)</f>
        <v>0</v>
      </c>
      <c r="V89" s="12" t="n">
        <f aca="false">IF('Raw Data'!AA99="",0,'Raw Data'!AA99)</f>
        <v>0</v>
      </c>
      <c r="W89" s="12" t="n">
        <f aca="false">IF('Raw Data'!AB99="",0,'Raw Data'!AB99)</f>
        <v>0</v>
      </c>
      <c r="X89" s="12" t="n">
        <f aca="false">IF('Raw Data'!AC99="",0,'Raw Data'!AC99)</f>
        <v>0</v>
      </c>
      <c r="Y89" s="12" t="n">
        <f aca="false">IF('Raw Data'!AD99="",0,'Raw Data'!AD99)</f>
        <v>500</v>
      </c>
      <c r="Z89" s="12" t="n">
        <f aca="false">IF('Raw Data'!AE99="",0,'Raw Data'!AE99)</f>
        <v>500</v>
      </c>
      <c r="AA89" s="12" t="n">
        <f aca="false">IF('Raw Data'!AF99="",0,'Raw Data'!AF99)</f>
        <v>500</v>
      </c>
      <c r="AB89" s="12" t="n">
        <f aca="false">IF('Raw Data'!AG99="",0,'Raw Data'!AG99)</f>
        <v>500</v>
      </c>
      <c r="AC89" s="12" t="n">
        <f aca="false">IF('Raw Data'!AH99="",0,'Raw Data'!AH99)</f>
        <v>500</v>
      </c>
      <c r="AD89" s="12" t="n">
        <f aca="false">IF('Raw Data'!AI99="",0,'Raw Data'!AI99)</f>
        <v>500</v>
      </c>
      <c r="AE89" s="12" t="n">
        <f aca="false">IF('Raw Data'!AJ99="",0,'Raw Data'!AJ99)</f>
        <v>500</v>
      </c>
      <c r="AF89" s="12" t="n">
        <f aca="false">IF('Raw Data'!AK99="",0,'Raw Data'!AK99)</f>
        <v>500</v>
      </c>
      <c r="AG89" s="12" t="n">
        <f aca="false">IF('Raw Data'!AL99="",0,'Raw Data'!AL99)</f>
        <v>500</v>
      </c>
      <c r="AH89" s="12" t="n">
        <f aca="false">IF('Raw Data'!AM99="",0,'Raw Data'!AM99)</f>
        <v>500</v>
      </c>
      <c r="AI89" s="12" t="n">
        <f aca="false">IF('Raw Data'!AN99="",0,'Raw Data'!AN99)</f>
        <v>500</v>
      </c>
      <c r="AJ89" s="12" t="n">
        <f aca="false">IF('Raw Data'!AO99="",0,'Raw Data'!AO99)</f>
        <v>500</v>
      </c>
      <c r="AK89" s="12" t="n">
        <f aca="false">IF('Raw Data'!AP99="",0,'Raw Data'!AP99)</f>
        <v>500</v>
      </c>
      <c r="AL89" s="12" t="n">
        <f aca="false">IF('Raw Data'!AQ99="",0,'Raw Data'!AQ99)</f>
        <v>500</v>
      </c>
      <c r="AM89" s="12" t="n">
        <f aca="false">IF('Raw Data'!AR99="",0,'Raw Data'!AR99)</f>
        <v>500</v>
      </c>
      <c r="AN89" s="12" t="n">
        <f aca="false">IF('Raw Data'!AS99="",0,'Raw Data'!AS99)</f>
        <v>500</v>
      </c>
      <c r="AO89" s="12" t="n">
        <f aca="false">IF('Raw Data'!AT99="",0,'Raw Data'!AT99)</f>
        <v>500</v>
      </c>
      <c r="AP89" s="12" t="n">
        <f aca="false">IF('Raw Data'!AU99="",0,'Raw Data'!AU99)</f>
        <v>500</v>
      </c>
      <c r="AQ89" s="12" t="n">
        <f aca="false">IF('Raw Data'!AV99="",0,'Raw Data'!AV99)</f>
        <v>500</v>
      </c>
      <c r="AR89" s="12" t="n">
        <f aca="false">IF('Raw Data'!AW99="",0,'Raw Data'!AW99)</f>
        <v>500</v>
      </c>
      <c r="AS89" s="12" t="n">
        <f aca="false">IF('Raw Data'!AX99="",0,'Raw Data'!AX99)</f>
        <v>500</v>
      </c>
      <c r="AT89" s="12" t="n">
        <f aca="false">IF('Raw Data'!AY99="",0,'Raw Data'!AY99)</f>
        <v>500</v>
      </c>
      <c r="AU89" s="12" t="n">
        <f aca="false">IF('Raw Data'!AZ99="",0,'Raw Data'!AZ99)</f>
        <v>500</v>
      </c>
      <c r="AV89" s="12" t="n">
        <f aca="false">IF('Raw Data'!BA99="",0,'Raw Data'!BA99)</f>
        <v>500</v>
      </c>
      <c r="AW89" s="12" t="n">
        <f aca="false">IF('Raw Data'!BB99="",0,'Raw Data'!BB99)</f>
        <v>883.333333333333</v>
      </c>
      <c r="AX89" s="12" t="n">
        <f aca="false">IF('Raw Data'!BC99="",0,'Raw Data'!BC99)</f>
        <v>883.333333333333</v>
      </c>
      <c r="AY89" s="12" t="n">
        <f aca="false">IF('Raw Data'!BD99="",0,'Raw Data'!BD99)</f>
        <v>883.333333333333</v>
      </c>
      <c r="AZ89" s="12" t="n">
        <f aca="false">IF('Raw Data'!BE99="",0,'Raw Data'!BE99)</f>
        <v>883.333333333333</v>
      </c>
      <c r="BA89" s="12" t="n">
        <f aca="false">IF('Raw Data'!BF99="",0,'Raw Data'!BF99)</f>
        <v>883.333333333333</v>
      </c>
      <c r="BB89" s="12" t="n">
        <f aca="false">IF('Raw Data'!BG99="",0,'Raw Data'!BG99)</f>
        <v>883.333333333333</v>
      </c>
      <c r="BC89" s="12" t="n">
        <f aca="false">IF('Raw Data'!BH99="",0,'Raw Data'!BH99)</f>
        <v>883.333333333333</v>
      </c>
      <c r="BD89" s="12" t="n">
        <f aca="false">IF('Raw Data'!BI99="",0,'Raw Data'!BI99)</f>
        <v>883.333333333333</v>
      </c>
      <c r="BE89" s="12" t="n">
        <f aca="false">IF('Raw Data'!BJ99="",0,'Raw Data'!BJ99)</f>
        <v>883.333333333333</v>
      </c>
      <c r="BF89" s="12" t="n">
        <f aca="false">IF('Raw Data'!BK99="",0,'Raw Data'!BK99)</f>
        <v>883.333333333333</v>
      </c>
      <c r="BG89" s="12" t="n">
        <f aca="false">IF('Raw Data'!BL99="",0,'Raw Data'!BL99)</f>
        <v>883.333333333333</v>
      </c>
      <c r="BH89" s="12" t="n">
        <f aca="false">IF('Raw Data'!BM99="",0,'Raw Data'!BM99)</f>
        <v>883.333333333333</v>
      </c>
      <c r="BI89" s="12" t="n">
        <f aca="false">IF('Raw Data'!BN99="",0,'Raw Data'!BN99)</f>
        <v>200</v>
      </c>
      <c r="BJ89" s="12" t="n">
        <f aca="false">IF('Raw Data'!BO99="",0,'Raw Data'!BO99)</f>
        <v>200</v>
      </c>
      <c r="BK89" s="12" t="n">
        <f aca="false">IF('Raw Data'!BP99="",0,'Raw Data'!BP99)</f>
        <v>200</v>
      </c>
      <c r="BL89" s="12" t="n">
        <f aca="false">IF('Raw Data'!BQ99="",0,'Raw Data'!BQ99)</f>
        <v>200</v>
      </c>
      <c r="BM89" s="12" t="n">
        <f aca="false">IF('Raw Data'!BR99="",0,'Raw Data'!BR99)</f>
        <v>200</v>
      </c>
      <c r="BN89" s="12" t="n">
        <f aca="false">IF('Raw Data'!BS99="",0,'Raw Data'!BS99)</f>
        <v>200</v>
      </c>
      <c r="BO89" s="21" t="b">
        <f aca="false">FALSE()</f>
        <v>0</v>
      </c>
    </row>
    <row r="90" customFormat="false" ht="15" hidden="false" customHeight="false" outlineLevel="0" collapsed="false">
      <c r="A90" s="20" t="str">
        <f aca="false">'Raw Data'!A20</f>
        <v>Local Account #9 from KY</v>
      </c>
      <c r="B90" s="12" t="n">
        <f aca="false">IF('Raw Data'!G20="",0,'Raw Data'!G20)</f>
        <v>3600.04833333333</v>
      </c>
      <c r="C90" s="12" t="n">
        <f aca="false">IF('Raw Data'!H20="",0,'Raw Data'!H20)</f>
        <v>3600.04833333333</v>
      </c>
      <c r="D90" s="12" t="n">
        <f aca="false">IF('Raw Data'!I20="",0,'Raw Data'!I20)</f>
        <v>3600.04833333333</v>
      </c>
      <c r="E90" s="12" t="n">
        <f aca="false">IF('Raw Data'!J20="",0,'Raw Data'!J20)</f>
        <v>3600.04833333333</v>
      </c>
      <c r="F90" s="12" t="n">
        <f aca="false">IF('Raw Data'!K20="",0,'Raw Data'!K20)</f>
        <v>3600.04833333333</v>
      </c>
      <c r="G90" s="12" t="n">
        <f aca="false">IF('Raw Data'!L20="",0,'Raw Data'!L20)</f>
        <v>3600.04833333333</v>
      </c>
      <c r="H90" s="12" t="n">
        <f aca="false">IF('Raw Data'!M20="",0,'Raw Data'!M20)</f>
        <v>3600.04833333333</v>
      </c>
      <c r="I90" s="12" t="n">
        <f aca="false">IF('Raw Data'!N20="",0,'Raw Data'!N20)</f>
        <v>3600.04833333333</v>
      </c>
      <c r="J90" s="12" t="n">
        <f aca="false">IF('Raw Data'!O20="",0,'Raw Data'!O20)</f>
        <v>3600.04833333333</v>
      </c>
      <c r="K90" s="12" t="n">
        <f aca="false">IF('Raw Data'!P20="",0,'Raw Data'!P20)</f>
        <v>3600.04833333333</v>
      </c>
      <c r="L90" s="12" t="n">
        <f aca="false">IF('Raw Data'!Q20="",0,'Raw Data'!Q20)</f>
        <v>3600.04833333333</v>
      </c>
      <c r="M90" s="12" t="n">
        <f aca="false">IF('Raw Data'!R20="",0,'Raw Data'!R20)</f>
        <v>487.083333333333</v>
      </c>
      <c r="N90" s="12" t="n">
        <f aca="false">IF('Raw Data'!S20="",0,'Raw Data'!S20)</f>
        <v>487.083333333333</v>
      </c>
      <c r="O90" s="12" t="n">
        <f aca="false">IF('Raw Data'!T20="",0,'Raw Data'!T20)</f>
        <v>487.083333333333</v>
      </c>
      <c r="P90" s="12" t="n">
        <f aca="false">IF('Raw Data'!U20="",0,'Raw Data'!U20)</f>
        <v>487.083333333333</v>
      </c>
      <c r="Q90" s="12" t="n">
        <f aca="false">IF('Raw Data'!V20="",0,'Raw Data'!V20)</f>
        <v>487.083333333333</v>
      </c>
      <c r="R90" s="12" t="n">
        <f aca="false">IF('Raw Data'!W20="",0,'Raw Data'!W20)</f>
        <v>487.083333333333</v>
      </c>
      <c r="S90" s="12" t="n">
        <f aca="false">IF('Raw Data'!X20="",0,'Raw Data'!X20)</f>
        <v>487.083333333333</v>
      </c>
      <c r="T90" s="12" t="n">
        <f aca="false">IF('Raw Data'!Y20="",0,'Raw Data'!Y20)</f>
        <v>487.083333333333</v>
      </c>
      <c r="U90" s="12" t="n">
        <f aca="false">IF('Raw Data'!Z20="",0,'Raw Data'!Z20)</f>
        <v>487.083333333333</v>
      </c>
      <c r="V90" s="12" t="n">
        <f aca="false">IF('Raw Data'!AA20="",0,'Raw Data'!AA20)</f>
        <v>487.083333333333</v>
      </c>
      <c r="W90" s="12" t="n">
        <f aca="false">IF('Raw Data'!AB20="",0,'Raw Data'!AB20)</f>
        <v>487.083333333333</v>
      </c>
      <c r="X90" s="12" t="n">
        <f aca="false">IF('Raw Data'!AC20="",0,'Raw Data'!AC20)</f>
        <v>487.083333333333</v>
      </c>
      <c r="Y90" s="12" t="n">
        <f aca="false">IF('Raw Data'!AD20="",0,'Raw Data'!AD20)</f>
        <v>0</v>
      </c>
      <c r="Z90" s="12" t="n">
        <f aca="false">IF('Raw Data'!AE20="",0,'Raw Data'!AE20)</f>
        <v>0</v>
      </c>
      <c r="AA90" s="12" t="n">
        <f aca="false">IF('Raw Data'!AF20="",0,'Raw Data'!AF20)</f>
        <v>0</v>
      </c>
      <c r="AB90" s="12" t="n">
        <f aca="false">IF('Raw Data'!AG20="",0,'Raw Data'!AG20)</f>
        <v>0</v>
      </c>
      <c r="AC90" s="12" t="n">
        <f aca="false">IF('Raw Data'!AH20="",0,'Raw Data'!AH20)</f>
        <v>0</v>
      </c>
      <c r="AD90" s="12" t="n">
        <f aca="false">IF('Raw Data'!AI20="",0,'Raw Data'!AI20)</f>
        <v>0</v>
      </c>
      <c r="AE90" s="12" t="n">
        <f aca="false">IF('Raw Data'!AJ20="",0,'Raw Data'!AJ20)</f>
        <v>0</v>
      </c>
      <c r="AF90" s="12" t="n">
        <f aca="false">IF('Raw Data'!AK20="",0,'Raw Data'!AK20)</f>
        <v>0</v>
      </c>
      <c r="AG90" s="12" t="n">
        <f aca="false">IF('Raw Data'!AL20="",0,'Raw Data'!AL20)</f>
        <v>0</v>
      </c>
      <c r="AH90" s="12" t="n">
        <f aca="false">IF('Raw Data'!AM20="",0,'Raw Data'!AM20)</f>
        <v>0</v>
      </c>
      <c r="AI90" s="12" t="n">
        <f aca="false">IF('Raw Data'!AN20="",0,'Raw Data'!AN20)</f>
        <v>0</v>
      </c>
      <c r="AJ90" s="12" t="n">
        <f aca="false">IF('Raw Data'!AO20="",0,'Raw Data'!AO20)</f>
        <v>0</v>
      </c>
      <c r="AK90" s="12" t="n">
        <f aca="false">IF('Raw Data'!AP20="",0,'Raw Data'!AP20)</f>
        <v>0</v>
      </c>
      <c r="AL90" s="12" t="n">
        <f aca="false">IF('Raw Data'!AQ20="",0,'Raw Data'!AQ20)</f>
        <v>0</v>
      </c>
      <c r="AM90" s="12" t="n">
        <f aca="false">IF('Raw Data'!AR20="",0,'Raw Data'!AR20)</f>
        <v>0</v>
      </c>
      <c r="AN90" s="12" t="n">
        <f aca="false">IF('Raw Data'!AS20="",0,'Raw Data'!AS20)</f>
        <v>0</v>
      </c>
      <c r="AO90" s="12" t="n">
        <f aca="false">IF('Raw Data'!AT20="",0,'Raw Data'!AT20)</f>
        <v>0</v>
      </c>
      <c r="AP90" s="12" t="n">
        <f aca="false">IF('Raw Data'!AU20="",0,'Raw Data'!AU20)</f>
        <v>0</v>
      </c>
      <c r="AQ90" s="12" t="n">
        <f aca="false">IF('Raw Data'!AV20="",0,'Raw Data'!AV20)</f>
        <v>0</v>
      </c>
      <c r="AR90" s="12" t="n">
        <f aca="false">IF('Raw Data'!AW20="",0,'Raw Data'!AW20)</f>
        <v>0</v>
      </c>
      <c r="AS90" s="12" t="n">
        <f aca="false">IF('Raw Data'!AX20="",0,'Raw Data'!AX20)</f>
        <v>0</v>
      </c>
      <c r="AT90" s="12" t="n">
        <f aca="false">IF('Raw Data'!AY20="",0,'Raw Data'!AY20)</f>
        <v>0</v>
      </c>
      <c r="AU90" s="12" t="n">
        <f aca="false">IF('Raw Data'!AZ20="",0,'Raw Data'!AZ20)</f>
        <v>0</v>
      </c>
      <c r="AV90" s="12" t="n">
        <f aca="false">IF('Raw Data'!BA20="",0,'Raw Data'!BA20)</f>
        <v>0</v>
      </c>
      <c r="AW90" s="12" t="n">
        <f aca="false">IF('Raw Data'!BB20="",0,'Raw Data'!BB20)</f>
        <v>0</v>
      </c>
      <c r="AX90" s="12" t="n">
        <f aca="false">IF('Raw Data'!BC20="",0,'Raw Data'!BC20)</f>
        <v>0</v>
      </c>
      <c r="AY90" s="12" t="n">
        <f aca="false">IF('Raw Data'!BD20="",0,'Raw Data'!BD20)</f>
        <v>0</v>
      </c>
      <c r="AZ90" s="12" t="n">
        <f aca="false">IF('Raw Data'!BE20="",0,'Raw Data'!BE20)</f>
        <v>0</v>
      </c>
      <c r="BA90" s="12" t="n">
        <f aca="false">IF('Raw Data'!BF20="",0,'Raw Data'!BF20)</f>
        <v>0</v>
      </c>
      <c r="BB90" s="12" t="n">
        <f aca="false">IF('Raw Data'!BG20="",0,'Raw Data'!BG20)</f>
        <v>0</v>
      </c>
      <c r="BC90" s="12" t="n">
        <f aca="false">IF('Raw Data'!BH20="",0,'Raw Data'!BH20)</f>
        <v>0</v>
      </c>
      <c r="BD90" s="12" t="n">
        <f aca="false">IF('Raw Data'!BI20="",0,'Raw Data'!BI20)</f>
        <v>0</v>
      </c>
      <c r="BE90" s="12" t="n">
        <f aca="false">IF('Raw Data'!BJ20="",0,'Raw Data'!BJ20)</f>
        <v>0</v>
      </c>
      <c r="BF90" s="12" t="n">
        <f aca="false">IF('Raw Data'!BK20="",0,'Raw Data'!BK20)</f>
        <v>0</v>
      </c>
      <c r="BG90" s="12" t="n">
        <f aca="false">IF('Raw Data'!BL20="",0,'Raw Data'!BL20)</f>
        <v>0</v>
      </c>
      <c r="BH90" s="12" t="n">
        <f aca="false">IF('Raw Data'!BM20="",0,'Raw Data'!BM20)</f>
        <v>0</v>
      </c>
      <c r="BI90" s="12" t="n">
        <f aca="false">IF('Raw Data'!BN20="",0,'Raw Data'!BN20)</f>
        <v>0</v>
      </c>
      <c r="BJ90" s="12" t="n">
        <f aca="false">IF('Raw Data'!BO20="",0,'Raw Data'!BO20)</f>
        <v>0</v>
      </c>
      <c r="BK90" s="12" t="n">
        <f aca="false">IF('Raw Data'!BP20="",0,'Raw Data'!BP20)</f>
        <v>0</v>
      </c>
      <c r="BL90" s="12" t="n">
        <f aca="false">IF('Raw Data'!BQ20="",0,'Raw Data'!BQ20)</f>
        <v>0</v>
      </c>
      <c r="BM90" s="12" t="n">
        <f aca="false">IF('Raw Data'!BR20="",0,'Raw Data'!BR20)</f>
        <v>0</v>
      </c>
      <c r="BN90" s="12" t="n">
        <f aca="false">IF('Raw Data'!BS20="",0,'Raw Data'!BS20)</f>
        <v>0</v>
      </c>
      <c r="BO90" s="21" t="b">
        <f aca="false">FALSE()</f>
        <v>0</v>
      </c>
    </row>
    <row r="91" customFormat="false" ht="15" hidden="false" customHeight="false" outlineLevel="0" collapsed="false">
      <c r="A91" s="20" t="str">
        <f aca="false">'Raw Data'!A100</f>
        <v>Local Account #90 from CA</v>
      </c>
      <c r="B91" s="12" t="n">
        <f aca="false">IF('Raw Data'!G100="",0,'Raw Data'!G100)</f>
        <v>500</v>
      </c>
      <c r="C91" s="12" t="n">
        <f aca="false">IF('Raw Data'!H100="",0,'Raw Data'!H100)</f>
        <v>500</v>
      </c>
      <c r="D91" s="12" t="n">
        <f aca="false">IF('Raw Data'!I100="",0,'Raw Data'!I100)</f>
        <v>500</v>
      </c>
      <c r="E91" s="12" t="n">
        <f aca="false">IF('Raw Data'!J100="",0,'Raw Data'!J100)</f>
        <v>600</v>
      </c>
      <c r="F91" s="12" t="n">
        <f aca="false">IF('Raw Data'!K100="",0,'Raw Data'!K100)</f>
        <v>600</v>
      </c>
      <c r="G91" s="12" t="n">
        <f aca="false">IF('Raw Data'!L100="",0,'Raw Data'!L100)</f>
        <v>600</v>
      </c>
      <c r="H91" s="12" t="n">
        <f aca="false">IF('Raw Data'!M100="",0,'Raw Data'!M100)</f>
        <v>600</v>
      </c>
      <c r="I91" s="12" t="n">
        <f aca="false">IF('Raw Data'!N100="",0,'Raw Data'!N100)</f>
        <v>600</v>
      </c>
      <c r="J91" s="12" t="n">
        <f aca="false">IF('Raw Data'!O100="",0,'Raw Data'!O100)</f>
        <v>600</v>
      </c>
      <c r="K91" s="12" t="n">
        <f aca="false">IF('Raw Data'!P100="",0,'Raw Data'!P100)</f>
        <v>600</v>
      </c>
      <c r="L91" s="12" t="n">
        <f aca="false">IF('Raw Data'!Q100="",0,'Raw Data'!Q100)</f>
        <v>600</v>
      </c>
      <c r="M91" s="12" t="n">
        <f aca="false">IF('Raw Data'!R100="",0,'Raw Data'!R100)</f>
        <v>600</v>
      </c>
      <c r="N91" s="12" t="n">
        <f aca="false">IF('Raw Data'!S100="",0,'Raw Data'!S100)</f>
        <v>600</v>
      </c>
      <c r="O91" s="12" t="n">
        <f aca="false">IF('Raw Data'!T100="",0,'Raw Data'!T100)</f>
        <v>600</v>
      </c>
      <c r="P91" s="12" t="n">
        <f aca="false">IF('Raw Data'!U100="",0,'Raw Data'!U100)</f>
        <v>600</v>
      </c>
      <c r="Q91" s="12" t="n">
        <f aca="false">IF('Raw Data'!V100="",0,'Raw Data'!V100)</f>
        <v>600</v>
      </c>
      <c r="R91" s="12" t="n">
        <f aca="false">IF('Raw Data'!W100="",0,'Raw Data'!W100)</f>
        <v>600</v>
      </c>
      <c r="S91" s="12" t="n">
        <f aca="false">IF('Raw Data'!X100="",0,'Raw Data'!X100)</f>
        <v>600</v>
      </c>
      <c r="T91" s="12" t="n">
        <f aca="false">IF('Raw Data'!Y100="",0,'Raw Data'!Y100)</f>
        <v>1100</v>
      </c>
      <c r="U91" s="12" t="n">
        <f aca="false">IF('Raw Data'!Z100="",0,'Raw Data'!Z100)</f>
        <v>1100</v>
      </c>
      <c r="V91" s="12" t="n">
        <f aca="false">IF('Raw Data'!AA100="",0,'Raw Data'!AA100)</f>
        <v>1100</v>
      </c>
      <c r="W91" s="12" t="n">
        <f aca="false">IF('Raw Data'!AB100="",0,'Raw Data'!AB100)</f>
        <v>1100</v>
      </c>
      <c r="X91" s="12" t="n">
        <f aca="false">IF('Raw Data'!AC100="",0,'Raw Data'!AC100)</f>
        <v>1100</v>
      </c>
      <c r="Y91" s="12" t="n">
        <f aca="false">IF('Raw Data'!AD100="",0,'Raw Data'!AD100)</f>
        <v>1100</v>
      </c>
      <c r="Z91" s="12" t="n">
        <f aca="false">IF('Raw Data'!AE100="",0,'Raw Data'!AE100)</f>
        <v>1100</v>
      </c>
      <c r="AA91" s="12" t="n">
        <f aca="false">IF('Raw Data'!AF100="",0,'Raw Data'!AF100)</f>
        <v>1100</v>
      </c>
      <c r="AB91" s="12" t="n">
        <f aca="false">IF('Raw Data'!AG100="",0,'Raw Data'!AG100)</f>
        <v>1100</v>
      </c>
      <c r="AC91" s="12" t="n">
        <f aca="false">IF('Raw Data'!AH100="",0,'Raw Data'!AH100)</f>
        <v>1100</v>
      </c>
      <c r="AD91" s="12" t="n">
        <f aca="false">IF('Raw Data'!AI100="",0,'Raw Data'!AI100)</f>
        <v>1100</v>
      </c>
      <c r="AE91" s="12" t="n">
        <f aca="false">IF('Raw Data'!AJ100="",0,'Raw Data'!AJ100)</f>
        <v>1100</v>
      </c>
      <c r="AF91" s="12" t="n">
        <f aca="false">IF('Raw Data'!AK100="",0,'Raw Data'!AK100)</f>
        <v>1200</v>
      </c>
      <c r="AG91" s="12" t="n">
        <f aca="false">IF('Raw Data'!AL100="",0,'Raw Data'!AL100)</f>
        <v>1200</v>
      </c>
      <c r="AH91" s="12" t="n">
        <f aca="false">IF('Raw Data'!AM100="",0,'Raw Data'!AM100)</f>
        <v>1200</v>
      </c>
      <c r="AI91" s="12" t="n">
        <f aca="false">IF('Raw Data'!AN100="",0,'Raw Data'!AN100)</f>
        <v>1200</v>
      </c>
      <c r="AJ91" s="12" t="n">
        <f aca="false">IF('Raw Data'!AO100="",0,'Raw Data'!AO100)</f>
        <v>1200</v>
      </c>
      <c r="AK91" s="12" t="n">
        <f aca="false">IF('Raw Data'!AP100="",0,'Raw Data'!AP100)</f>
        <v>1200</v>
      </c>
      <c r="AL91" s="12" t="n">
        <f aca="false">IF('Raw Data'!AQ100="",0,'Raw Data'!AQ100)</f>
        <v>1200</v>
      </c>
      <c r="AM91" s="12" t="n">
        <f aca="false">IF('Raw Data'!AR100="",0,'Raw Data'!AR100)</f>
        <v>1200</v>
      </c>
      <c r="AN91" s="12" t="n">
        <f aca="false">IF('Raw Data'!AS100="",0,'Raw Data'!AS100)</f>
        <v>1200</v>
      </c>
      <c r="AO91" s="12" t="n">
        <f aca="false">IF('Raw Data'!AT100="",0,'Raw Data'!AT100)</f>
        <v>1200</v>
      </c>
      <c r="AP91" s="12" t="n">
        <f aca="false">IF('Raw Data'!AU100="",0,'Raw Data'!AU100)</f>
        <v>1200</v>
      </c>
      <c r="AQ91" s="12" t="n">
        <f aca="false">IF('Raw Data'!AV100="",0,'Raw Data'!AV100)</f>
        <v>1200</v>
      </c>
      <c r="AR91" s="12" t="n">
        <f aca="false">IF('Raw Data'!AW100="",0,'Raw Data'!AW100)</f>
        <v>1000</v>
      </c>
      <c r="AS91" s="12" t="n">
        <f aca="false">IF('Raw Data'!AX100="",0,'Raw Data'!AX100)</f>
        <v>1000</v>
      </c>
      <c r="AT91" s="12" t="n">
        <f aca="false">IF('Raw Data'!AY100="",0,'Raw Data'!AY100)</f>
        <v>1000</v>
      </c>
      <c r="AU91" s="12" t="n">
        <f aca="false">IF('Raw Data'!AZ100="",0,'Raw Data'!AZ100)</f>
        <v>1000</v>
      </c>
      <c r="AV91" s="12" t="n">
        <f aca="false">IF('Raw Data'!BA100="",0,'Raw Data'!BA100)</f>
        <v>1000</v>
      </c>
      <c r="AW91" s="12" t="n">
        <f aca="false">IF('Raw Data'!BB100="",0,'Raw Data'!BB100)</f>
        <v>1000</v>
      </c>
      <c r="AX91" s="12" t="n">
        <f aca="false">IF('Raw Data'!BC100="",0,'Raw Data'!BC100)</f>
        <v>1100</v>
      </c>
      <c r="AY91" s="12" t="n">
        <f aca="false">IF('Raw Data'!BD100="",0,'Raw Data'!BD100)</f>
        <v>1100</v>
      </c>
      <c r="AZ91" s="12" t="n">
        <f aca="false">IF('Raw Data'!BE100="",0,'Raw Data'!BE100)</f>
        <v>1100</v>
      </c>
      <c r="BA91" s="12" t="n">
        <f aca="false">IF('Raw Data'!BF100="",0,'Raw Data'!BF100)</f>
        <v>1100</v>
      </c>
      <c r="BB91" s="12" t="n">
        <f aca="false">IF('Raw Data'!BG100="",0,'Raw Data'!BG100)</f>
        <v>1100</v>
      </c>
      <c r="BC91" s="12" t="n">
        <f aca="false">IF('Raw Data'!BH100="",0,'Raw Data'!BH100)</f>
        <v>1100</v>
      </c>
      <c r="BD91" s="12" t="n">
        <f aca="false">IF('Raw Data'!BI100="",0,'Raw Data'!BI100)</f>
        <v>1400</v>
      </c>
      <c r="BE91" s="12" t="n">
        <f aca="false">IF('Raw Data'!BJ100="",0,'Raw Data'!BJ100)</f>
        <v>1400</v>
      </c>
      <c r="BF91" s="12" t="n">
        <f aca="false">IF('Raw Data'!BK100="",0,'Raw Data'!BK100)</f>
        <v>1400</v>
      </c>
      <c r="BG91" s="12" t="n">
        <f aca="false">IF('Raw Data'!BL100="",0,'Raw Data'!BL100)</f>
        <v>1400</v>
      </c>
      <c r="BH91" s="12" t="n">
        <f aca="false">IF('Raw Data'!BM100="",0,'Raw Data'!BM100)</f>
        <v>1400</v>
      </c>
      <c r="BI91" s="12" t="n">
        <f aca="false">IF('Raw Data'!BN100="",0,'Raw Data'!BN100)</f>
        <v>1400</v>
      </c>
      <c r="BJ91" s="12" t="n">
        <f aca="false">IF('Raw Data'!BO100="",0,'Raw Data'!BO100)</f>
        <v>1400</v>
      </c>
      <c r="BK91" s="12" t="n">
        <f aca="false">IF('Raw Data'!BP100="",0,'Raw Data'!BP100)</f>
        <v>1400</v>
      </c>
      <c r="BL91" s="12" t="n">
        <f aca="false">IF('Raw Data'!BQ100="",0,'Raw Data'!BQ100)</f>
        <v>1400</v>
      </c>
      <c r="BM91" s="12" t="n">
        <f aca="false">IF('Raw Data'!BR100="",0,'Raw Data'!BR100)</f>
        <v>1400</v>
      </c>
      <c r="BN91" s="12" t="n">
        <f aca="false">IF('Raw Data'!BS100="",0,'Raw Data'!BS100)</f>
        <v>1400</v>
      </c>
      <c r="BO91" s="21" t="b">
        <f aca="false">FALSE()</f>
        <v>0</v>
      </c>
    </row>
    <row r="92" customFormat="false" ht="15" hidden="false" customHeight="false" outlineLevel="0" collapsed="false">
      <c r="A92" s="20" t="str">
        <f aca="false">'Raw Data'!A101</f>
        <v>Local Account #91 from CA</v>
      </c>
      <c r="B92" s="12" t="n">
        <f aca="false">IF('Raw Data'!G101="",0,'Raw Data'!G101)</f>
        <v>0</v>
      </c>
      <c r="C92" s="12" t="n">
        <f aca="false">IF('Raw Data'!H101="",0,'Raw Data'!H101)</f>
        <v>0</v>
      </c>
      <c r="D92" s="12" t="n">
        <f aca="false">IF('Raw Data'!I101="",0,'Raw Data'!I101)</f>
        <v>0</v>
      </c>
      <c r="E92" s="12" t="n">
        <f aca="false">IF('Raw Data'!J101="",0,'Raw Data'!J101)</f>
        <v>0</v>
      </c>
      <c r="F92" s="12" t="n">
        <f aca="false">IF('Raw Data'!K101="",0,'Raw Data'!K101)</f>
        <v>0</v>
      </c>
      <c r="G92" s="12" t="n">
        <f aca="false">IF('Raw Data'!L101="",0,'Raw Data'!L101)</f>
        <v>0</v>
      </c>
      <c r="H92" s="12" t="n">
        <f aca="false">IF('Raw Data'!M101="",0,'Raw Data'!M101)</f>
        <v>0</v>
      </c>
      <c r="I92" s="12" t="n">
        <f aca="false">IF('Raw Data'!N101="",0,'Raw Data'!N101)</f>
        <v>66.67</v>
      </c>
      <c r="J92" s="12" t="n">
        <f aca="false">IF('Raw Data'!O101="",0,'Raw Data'!O101)</f>
        <v>66.67</v>
      </c>
      <c r="K92" s="12" t="n">
        <f aca="false">IF('Raw Data'!P101="",0,'Raw Data'!P101)</f>
        <v>66.67</v>
      </c>
      <c r="L92" s="12" t="n">
        <f aca="false">IF('Raw Data'!Q101="",0,'Raw Data'!Q101)</f>
        <v>66.67</v>
      </c>
      <c r="M92" s="12" t="n">
        <f aca="false">IF('Raw Data'!R101="",0,'Raw Data'!R101)</f>
        <v>66.67</v>
      </c>
      <c r="N92" s="12" t="n">
        <f aca="false">IF('Raw Data'!S101="",0,'Raw Data'!S101)</f>
        <v>66.67</v>
      </c>
      <c r="O92" s="12" t="n">
        <f aca="false">IF('Raw Data'!T101="",0,'Raw Data'!T101)</f>
        <v>66.67</v>
      </c>
      <c r="P92" s="12" t="n">
        <f aca="false">IF('Raw Data'!U101="",0,'Raw Data'!U101)</f>
        <v>66.67</v>
      </c>
      <c r="Q92" s="12" t="n">
        <f aca="false">IF('Raw Data'!V101="",0,'Raw Data'!V101)</f>
        <v>66.67</v>
      </c>
      <c r="R92" s="12" t="n">
        <f aca="false">IF('Raw Data'!W101="",0,'Raw Data'!W101)</f>
        <v>66.67</v>
      </c>
      <c r="S92" s="12" t="n">
        <f aca="false">IF('Raw Data'!X101="",0,'Raw Data'!X101)</f>
        <v>0</v>
      </c>
      <c r="T92" s="12" t="n">
        <f aca="false">IF('Raw Data'!Y101="",0,'Raw Data'!Y101)</f>
        <v>0</v>
      </c>
      <c r="U92" s="12" t="n">
        <f aca="false">IF('Raw Data'!Z101="",0,'Raw Data'!Z101)</f>
        <v>0</v>
      </c>
      <c r="V92" s="12" t="n">
        <f aca="false">IF('Raw Data'!AA101="",0,'Raw Data'!AA101)</f>
        <v>0</v>
      </c>
      <c r="W92" s="12" t="n">
        <f aca="false">IF('Raw Data'!AB101="",0,'Raw Data'!AB101)</f>
        <v>0</v>
      </c>
      <c r="X92" s="12" t="n">
        <f aca="false">IF('Raw Data'!AC101="",0,'Raw Data'!AC101)</f>
        <v>0</v>
      </c>
      <c r="Y92" s="12" t="n">
        <f aca="false">IF('Raw Data'!AD101="",0,'Raw Data'!AD101)</f>
        <v>0</v>
      </c>
      <c r="Z92" s="12" t="n">
        <f aca="false">IF('Raw Data'!AE101="",0,'Raw Data'!AE101)</f>
        <v>0</v>
      </c>
      <c r="AA92" s="12" t="n">
        <f aca="false">IF('Raw Data'!AF101="",0,'Raw Data'!AF101)</f>
        <v>0</v>
      </c>
      <c r="AB92" s="12" t="n">
        <f aca="false">IF('Raw Data'!AG101="",0,'Raw Data'!AG101)</f>
        <v>0</v>
      </c>
      <c r="AC92" s="12" t="n">
        <f aca="false">IF('Raw Data'!AH101="",0,'Raw Data'!AH101)</f>
        <v>0</v>
      </c>
      <c r="AD92" s="12" t="n">
        <f aca="false">IF('Raw Data'!AI101="",0,'Raw Data'!AI101)</f>
        <v>0</v>
      </c>
      <c r="AE92" s="12" t="n">
        <f aca="false">IF('Raw Data'!AJ101="",0,'Raw Data'!AJ101)</f>
        <v>0</v>
      </c>
      <c r="AF92" s="12" t="n">
        <f aca="false">IF('Raw Data'!AK101="",0,'Raw Data'!AK101)</f>
        <v>0</v>
      </c>
      <c r="AG92" s="12" t="n">
        <f aca="false">IF('Raw Data'!AL101="",0,'Raw Data'!AL101)</f>
        <v>0</v>
      </c>
      <c r="AH92" s="12" t="n">
        <f aca="false">IF('Raw Data'!AM101="",0,'Raw Data'!AM101)</f>
        <v>0</v>
      </c>
      <c r="AI92" s="12" t="n">
        <f aca="false">IF('Raw Data'!AN101="",0,'Raw Data'!AN101)</f>
        <v>0</v>
      </c>
      <c r="AJ92" s="12" t="n">
        <f aca="false">IF('Raw Data'!AO101="",0,'Raw Data'!AO101)</f>
        <v>0</v>
      </c>
      <c r="AK92" s="12" t="n">
        <f aca="false">IF('Raw Data'!AP101="",0,'Raw Data'!AP101)</f>
        <v>0</v>
      </c>
      <c r="AL92" s="12" t="n">
        <f aca="false">IF('Raw Data'!AQ101="",0,'Raw Data'!AQ101)</f>
        <v>0</v>
      </c>
      <c r="AM92" s="12" t="n">
        <f aca="false">IF('Raw Data'!AR101="",0,'Raw Data'!AR101)</f>
        <v>0</v>
      </c>
      <c r="AN92" s="12" t="n">
        <f aca="false">IF('Raw Data'!AS101="",0,'Raw Data'!AS101)</f>
        <v>0</v>
      </c>
      <c r="AO92" s="12" t="n">
        <f aca="false">IF('Raw Data'!AT101="",0,'Raw Data'!AT101)</f>
        <v>0</v>
      </c>
      <c r="AP92" s="12" t="n">
        <f aca="false">IF('Raw Data'!AU101="",0,'Raw Data'!AU101)</f>
        <v>0</v>
      </c>
      <c r="AQ92" s="12" t="n">
        <f aca="false">IF('Raw Data'!AV101="",0,'Raw Data'!AV101)</f>
        <v>0</v>
      </c>
      <c r="AR92" s="12" t="n">
        <f aca="false">IF('Raw Data'!AW101="",0,'Raw Data'!AW101)</f>
        <v>0</v>
      </c>
      <c r="AS92" s="12" t="n">
        <f aca="false">IF('Raw Data'!AX101="",0,'Raw Data'!AX101)</f>
        <v>0</v>
      </c>
      <c r="AT92" s="12" t="n">
        <f aca="false">IF('Raw Data'!AY101="",0,'Raw Data'!AY101)</f>
        <v>0</v>
      </c>
      <c r="AU92" s="12" t="n">
        <f aca="false">IF('Raw Data'!AZ101="",0,'Raw Data'!AZ101)</f>
        <v>0</v>
      </c>
      <c r="AV92" s="12" t="n">
        <f aca="false">IF('Raw Data'!BA101="",0,'Raw Data'!BA101)</f>
        <v>0</v>
      </c>
      <c r="AW92" s="12" t="n">
        <f aca="false">IF('Raw Data'!BB101="",0,'Raw Data'!BB101)</f>
        <v>0</v>
      </c>
      <c r="AX92" s="12" t="n">
        <f aca="false">IF('Raw Data'!BC101="",0,'Raw Data'!BC101)</f>
        <v>0</v>
      </c>
      <c r="AY92" s="12" t="n">
        <f aca="false">IF('Raw Data'!BD101="",0,'Raw Data'!BD101)</f>
        <v>0</v>
      </c>
      <c r="AZ92" s="12" t="n">
        <f aca="false">IF('Raw Data'!BE101="",0,'Raw Data'!BE101)</f>
        <v>0</v>
      </c>
      <c r="BA92" s="12" t="n">
        <f aca="false">IF('Raw Data'!BF101="",0,'Raw Data'!BF101)</f>
        <v>0</v>
      </c>
      <c r="BB92" s="12" t="n">
        <f aca="false">IF('Raw Data'!BG101="",0,'Raw Data'!BG101)</f>
        <v>0</v>
      </c>
      <c r="BC92" s="12" t="n">
        <f aca="false">IF('Raw Data'!BH101="",0,'Raw Data'!BH101)</f>
        <v>0</v>
      </c>
      <c r="BD92" s="12" t="n">
        <f aca="false">IF('Raw Data'!BI101="",0,'Raw Data'!BI101)</f>
        <v>0</v>
      </c>
      <c r="BE92" s="12" t="n">
        <f aca="false">IF('Raw Data'!BJ101="",0,'Raw Data'!BJ101)</f>
        <v>0</v>
      </c>
      <c r="BF92" s="12" t="n">
        <f aca="false">IF('Raw Data'!BK101="",0,'Raw Data'!BK101)</f>
        <v>0</v>
      </c>
      <c r="BG92" s="12" t="n">
        <f aca="false">IF('Raw Data'!BL101="",0,'Raw Data'!BL101)</f>
        <v>0</v>
      </c>
      <c r="BH92" s="12" t="n">
        <f aca="false">IF('Raw Data'!BM101="",0,'Raw Data'!BM101)</f>
        <v>0</v>
      </c>
      <c r="BI92" s="12" t="n">
        <f aca="false">IF('Raw Data'!BN101="",0,'Raw Data'!BN101)</f>
        <v>0</v>
      </c>
      <c r="BJ92" s="12" t="n">
        <f aca="false">IF('Raw Data'!BO101="",0,'Raw Data'!BO101)</f>
        <v>0</v>
      </c>
      <c r="BK92" s="12" t="n">
        <f aca="false">IF('Raw Data'!BP101="",0,'Raw Data'!BP101)</f>
        <v>0</v>
      </c>
      <c r="BL92" s="12" t="n">
        <f aca="false">IF('Raw Data'!BQ101="",0,'Raw Data'!BQ101)</f>
        <v>0</v>
      </c>
      <c r="BM92" s="12" t="n">
        <f aca="false">IF('Raw Data'!BR101="",0,'Raw Data'!BR101)</f>
        <v>0</v>
      </c>
      <c r="BN92" s="12" t="n">
        <f aca="false">IF('Raw Data'!BS101="",0,'Raw Data'!BS101)</f>
        <v>0</v>
      </c>
      <c r="BO92" s="21" t="b">
        <f aca="false">FALSE()</f>
        <v>0</v>
      </c>
    </row>
    <row r="93" customFormat="false" ht="15" hidden="false" customHeight="false" outlineLevel="0" collapsed="false">
      <c r="A93" s="20" t="str">
        <f aca="false">'Raw Data'!A102</f>
        <v>Local Account #92 from WI</v>
      </c>
      <c r="B93" s="12" t="n">
        <f aca="false">IF('Raw Data'!G102="",0,'Raw Data'!G102)</f>
        <v>0</v>
      </c>
      <c r="C93" s="12" t="n">
        <f aca="false">IF('Raw Data'!H102="",0,'Raw Data'!H102)</f>
        <v>0</v>
      </c>
      <c r="D93" s="12" t="n">
        <f aca="false">IF('Raw Data'!I102="",0,'Raw Data'!I102)</f>
        <v>0</v>
      </c>
      <c r="E93" s="12" t="n">
        <f aca="false">IF('Raw Data'!J102="",0,'Raw Data'!J102)</f>
        <v>0</v>
      </c>
      <c r="F93" s="12" t="n">
        <f aca="false">IF('Raw Data'!K102="",0,'Raw Data'!K102)</f>
        <v>0</v>
      </c>
      <c r="G93" s="12" t="n">
        <f aca="false">IF('Raw Data'!L102="",0,'Raw Data'!L102)</f>
        <v>0</v>
      </c>
      <c r="H93" s="12" t="n">
        <f aca="false">IF('Raw Data'!M102="",0,'Raw Data'!M102)</f>
        <v>916.666666666667</v>
      </c>
      <c r="I93" s="12" t="n">
        <f aca="false">IF('Raw Data'!N102="",0,'Raw Data'!N102)</f>
        <v>916.666666666667</v>
      </c>
      <c r="J93" s="12" t="n">
        <f aca="false">IF('Raw Data'!O102="",0,'Raw Data'!O102)</f>
        <v>916.666666666667</v>
      </c>
      <c r="K93" s="12" t="n">
        <f aca="false">IF('Raw Data'!P102="",0,'Raw Data'!P102)</f>
        <v>916.666666666667</v>
      </c>
      <c r="L93" s="12" t="n">
        <f aca="false">IF('Raw Data'!Q102="",0,'Raw Data'!Q102)</f>
        <v>916.666666666667</v>
      </c>
      <c r="M93" s="12" t="n">
        <f aca="false">IF('Raw Data'!R102="",0,'Raw Data'!R102)</f>
        <v>916.666666666667</v>
      </c>
      <c r="N93" s="12" t="n">
        <f aca="false">IF('Raw Data'!S102="",0,'Raw Data'!S102)</f>
        <v>916.666666666667</v>
      </c>
      <c r="O93" s="12" t="n">
        <f aca="false">IF('Raw Data'!T102="",0,'Raw Data'!T102)</f>
        <v>916.666666666667</v>
      </c>
      <c r="P93" s="12" t="n">
        <f aca="false">IF('Raw Data'!U102="",0,'Raw Data'!U102)</f>
        <v>999.996666666667</v>
      </c>
      <c r="Q93" s="12" t="n">
        <f aca="false">IF('Raw Data'!V102="",0,'Raw Data'!V102)</f>
        <v>999.996666666667</v>
      </c>
      <c r="R93" s="12" t="n">
        <f aca="false">IF('Raw Data'!W102="",0,'Raw Data'!W102)</f>
        <v>999.996666666667</v>
      </c>
      <c r="S93" s="12" t="n">
        <f aca="false">IF('Raw Data'!X102="",0,'Raw Data'!X102)</f>
        <v>999.996666666667</v>
      </c>
      <c r="T93" s="12" t="n">
        <f aca="false">IF('Raw Data'!Y102="",0,'Raw Data'!Y102)</f>
        <v>1083.33333333333</v>
      </c>
      <c r="U93" s="12" t="n">
        <f aca="false">IF('Raw Data'!Z102="",0,'Raw Data'!Z102)</f>
        <v>1083.33333333333</v>
      </c>
      <c r="V93" s="12" t="n">
        <f aca="false">IF('Raw Data'!AA102="",0,'Raw Data'!AA102)</f>
        <v>1083.33333333333</v>
      </c>
      <c r="W93" s="12" t="n">
        <f aca="false">IF('Raw Data'!AB102="",0,'Raw Data'!AB102)</f>
        <v>1083.33333333333</v>
      </c>
      <c r="X93" s="12" t="n">
        <f aca="false">IF('Raw Data'!AC102="",0,'Raw Data'!AC102)</f>
        <v>1083.33333333333</v>
      </c>
      <c r="Y93" s="12" t="n">
        <f aca="false">IF('Raw Data'!AD102="",0,'Raw Data'!AD102)</f>
        <v>1083.33333333333</v>
      </c>
      <c r="Z93" s="12" t="n">
        <f aca="false">IF('Raw Data'!AE102="",0,'Raw Data'!AE102)</f>
        <v>1083.33333333333</v>
      </c>
      <c r="AA93" s="12" t="n">
        <f aca="false">IF('Raw Data'!AF102="",0,'Raw Data'!AF102)</f>
        <v>1083.33333333333</v>
      </c>
      <c r="AB93" s="12" t="n">
        <f aca="false">IF('Raw Data'!AG102="",0,'Raw Data'!AG102)</f>
        <v>1083.33333333333</v>
      </c>
      <c r="AC93" s="12" t="n">
        <f aca="false">IF('Raw Data'!AH102="",0,'Raw Data'!AH102)</f>
        <v>1083.33333333333</v>
      </c>
      <c r="AD93" s="12" t="n">
        <f aca="false">IF('Raw Data'!AI102="",0,'Raw Data'!AI102)</f>
        <v>1083.33333333333</v>
      </c>
      <c r="AE93" s="12" t="n">
        <f aca="false">IF('Raw Data'!AJ102="",0,'Raw Data'!AJ102)</f>
        <v>1083.33333333333</v>
      </c>
      <c r="AF93" s="12" t="n">
        <f aca="false">IF('Raw Data'!AK102="",0,'Raw Data'!AK102)</f>
        <v>1000</v>
      </c>
      <c r="AG93" s="12" t="n">
        <f aca="false">IF('Raw Data'!AL102="",0,'Raw Data'!AL102)</f>
        <v>1000</v>
      </c>
      <c r="AH93" s="12" t="n">
        <f aca="false">IF('Raw Data'!AM102="",0,'Raw Data'!AM102)</f>
        <v>1000</v>
      </c>
      <c r="AI93" s="12" t="n">
        <f aca="false">IF('Raw Data'!AN102="",0,'Raw Data'!AN102)</f>
        <v>1000</v>
      </c>
      <c r="AJ93" s="12" t="n">
        <f aca="false">IF('Raw Data'!AO102="",0,'Raw Data'!AO102)</f>
        <v>1000</v>
      </c>
      <c r="AK93" s="12" t="n">
        <f aca="false">IF('Raw Data'!AP102="",0,'Raw Data'!AP102)</f>
        <v>1000</v>
      </c>
      <c r="AL93" s="12" t="n">
        <f aca="false">IF('Raw Data'!AQ102="",0,'Raw Data'!AQ102)</f>
        <v>1000</v>
      </c>
      <c r="AM93" s="12" t="n">
        <f aca="false">IF('Raw Data'!AR102="",0,'Raw Data'!AR102)</f>
        <v>1000</v>
      </c>
      <c r="AN93" s="12" t="n">
        <f aca="false">IF('Raw Data'!AS102="",0,'Raw Data'!AS102)</f>
        <v>1000</v>
      </c>
      <c r="AO93" s="12" t="n">
        <f aca="false">IF('Raw Data'!AT102="",0,'Raw Data'!AT102)</f>
        <v>1000</v>
      </c>
      <c r="AP93" s="12" t="n">
        <f aca="false">IF('Raw Data'!AU102="",0,'Raw Data'!AU102)</f>
        <v>1000</v>
      </c>
      <c r="AQ93" s="12" t="n">
        <f aca="false">IF('Raw Data'!AV102="",0,'Raw Data'!AV102)</f>
        <v>1000</v>
      </c>
      <c r="AR93" s="12" t="n">
        <f aca="false">IF('Raw Data'!AW102="",0,'Raw Data'!AW102)</f>
        <v>1100</v>
      </c>
      <c r="AS93" s="12" t="n">
        <f aca="false">IF('Raw Data'!AX102="",0,'Raw Data'!AX102)</f>
        <v>1100</v>
      </c>
      <c r="AT93" s="12" t="n">
        <f aca="false">IF('Raw Data'!AY102="",0,'Raw Data'!AY102)</f>
        <v>1100</v>
      </c>
      <c r="AU93" s="12" t="n">
        <f aca="false">IF('Raw Data'!AZ102="",0,'Raw Data'!AZ102)</f>
        <v>1100</v>
      </c>
      <c r="AV93" s="12" t="n">
        <f aca="false">IF('Raw Data'!BA102="",0,'Raw Data'!BA102)</f>
        <v>1100</v>
      </c>
      <c r="AW93" s="12" t="n">
        <f aca="false">IF('Raw Data'!BB102="",0,'Raw Data'!BB102)</f>
        <v>1100</v>
      </c>
      <c r="AX93" s="12" t="n">
        <f aca="false">IF('Raw Data'!BC102="",0,'Raw Data'!BC102)</f>
        <v>1100</v>
      </c>
      <c r="AY93" s="12" t="n">
        <f aca="false">IF('Raw Data'!BD102="",0,'Raw Data'!BD102)</f>
        <v>1100</v>
      </c>
      <c r="AZ93" s="12" t="n">
        <f aca="false">IF('Raw Data'!BE102="",0,'Raw Data'!BE102)</f>
        <v>1100</v>
      </c>
      <c r="BA93" s="12" t="n">
        <f aca="false">IF('Raw Data'!BF102="",0,'Raw Data'!BF102)</f>
        <v>1100</v>
      </c>
      <c r="BB93" s="12" t="n">
        <f aca="false">IF('Raw Data'!BG102="",0,'Raw Data'!BG102)</f>
        <v>1100</v>
      </c>
      <c r="BC93" s="12" t="n">
        <f aca="false">IF('Raw Data'!BH102="",0,'Raw Data'!BH102)</f>
        <v>1100</v>
      </c>
      <c r="BD93" s="12" t="n">
        <f aca="false">IF('Raw Data'!BI102="",0,'Raw Data'!BI102)</f>
        <v>1000</v>
      </c>
      <c r="BE93" s="12" t="n">
        <f aca="false">IF('Raw Data'!BJ102="",0,'Raw Data'!BJ102)</f>
        <v>1000</v>
      </c>
      <c r="BF93" s="12" t="n">
        <f aca="false">IF('Raw Data'!BK102="",0,'Raw Data'!BK102)</f>
        <v>1000</v>
      </c>
      <c r="BG93" s="12" t="n">
        <f aca="false">IF('Raw Data'!BL102="",0,'Raw Data'!BL102)</f>
        <v>1000</v>
      </c>
      <c r="BH93" s="12" t="n">
        <f aca="false">IF('Raw Data'!BM102="",0,'Raw Data'!BM102)</f>
        <v>1000</v>
      </c>
      <c r="BI93" s="12" t="n">
        <f aca="false">IF('Raw Data'!BN102="",0,'Raw Data'!BN102)</f>
        <v>1000</v>
      </c>
      <c r="BJ93" s="12" t="n">
        <f aca="false">IF('Raw Data'!BO102="",0,'Raw Data'!BO102)</f>
        <v>1000</v>
      </c>
      <c r="BK93" s="12" t="n">
        <f aca="false">IF('Raw Data'!BP102="",0,'Raw Data'!BP102)</f>
        <v>1000</v>
      </c>
      <c r="BL93" s="12" t="n">
        <f aca="false">IF('Raw Data'!BQ102="",0,'Raw Data'!BQ102)</f>
        <v>1000</v>
      </c>
      <c r="BM93" s="12" t="n">
        <f aca="false">IF('Raw Data'!BR102="",0,'Raw Data'!BR102)</f>
        <v>1000</v>
      </c>
      <c r="BN93" s="12" t="n">
        <f aca="false">IF('Raw Data'!BS102="",0,'Raw Data'!BS102)</f>
        <v>1000</v>
      </c>
      <c r="BO93" s="21" t="b">
        <f aca="false">FALSE()</f>
        <v>0</v>
      </c>
    </row>
    <row r="94" customFormat="false" ht="15" hidden="false" customHeight="false" outlineLevel="0" collapsed="false">
      <c r="A94" s="20" t="str">
        <f aca="false">'Raw Data'!A103</f>
        <v>Local Account #93 from WI</v>
      </c>
      <c r="B94" s="12" t="n">
        <f aca="false">IF('Raw Data'!G103="",0,'Raw Data'!G103)</f>
        <v>1770.83333333333</v>
      </c>
      <c r="C94" s="12" t="n">
        <f aca="false">IF('Raw Data'!H103="",0,'Raw Data'!H103)</f>
        <v>1770.83333333333</v>
      </c>
      <c r="D94" s="12" t="n">
        <f aca="false">IF('Raw Data'!I103="",0,'Raw Data'!I103)</f>
        <v>1770.83333333333</v>
      </c>
      <c r="E94" s="12" t="n">
        <f aca="false">IF('Raw Data'!J103="",0,'Raw Data'!J103)</f>
        <v>1770.83333333333</v>
      </c>
      <c r="F94" s="12" t="n">
        <f aca="false">IF('Raw Data'!K103="",0,'Raw Data'!K103)</f>
        <v>1770.83333333333</v>
      </c>
      <c r="G94" s="12" t="n">
        <f aca="false">IF('Raw Data'!L103="",0,'Raw Data'!L103)</f>
        <v>1770.83333333333</v>
      </c>
      <c r="H94" s="12" t="n">
        <f aca="false">IF('Raw Data'!M103="",0,'Raw Data'!M103)</f>
        <v>0</v>
      </c>
      <c r="I94" s="12" t="n">
        <f aca="false">IF('Raw Data'!N103="",0,'Raw Data'!N103)</f>
        <v>0</v>
      </c>
      <c r="J94" s="12" t="n">
        <f aca="false">IF('Raw Data'!O103="",0,'Raw Data'!O103)</f>
        <v>0</v>
      </c>
      <c r="K94" s="12" t="n">
        <f aca="false">IF('Raw Data'!P103="",0,'Raw Data'!P103)</f>
        <v>0</v>
      </c>
      <c r="L94" s="12" t="n">
        <f aca="false">IF('Raw Data'!Q103="",0,'Raw Data'!Q103)</f>
        <v>0</v>
      </c>
      <c r="M94" s="12" t="n">
        <f aca="false">IF('Raw Data'!R103="",0,'Raw Data'!R103)</f>
        <v>0</v>
      </c>
      <c r="N94" s="12" t="n">
        <f aca="false">IF('Raw Data'!S103="",0,'Raw Data'!S103)</f>
        <v>0</v>
      </c>
      <c r="O94" s="12" t="n">
        <f aca="false">IF('Raw Data'!T103="",0,'Raw Data'!T103)</f>
        <v>0</v>
      </c>
      <c r="P94" s="12" t="n">
        <f aca="false">IF('Raw Data'!U103="",0,'Raw Data'!U103)</f>
        <v>0</v>
      </c>
      <c r="Q94" s="12" t="n">
        <f aca="false">IF('Raw Data'!V103="",0,'Raw Data'!V103)</f>
        <v>0</v>
      </c>
      <c r="R94" s="12" t="n">
        <f aca="false">IF('Raw Data'!W103="",0,'Raw Data'!W103)</f>
        <v>0</v>
      </c>
      <c r="S94" s="12" t="n">
        <f aca="false">IF('Raw Data'!X103="",0,'Raw Data'!X103)</f>
        <v>0</v>
      </c>
      <c r="T94" s="12" t="n">
        <f aca="false">IF('Raw Data'!Y103="",0,'Raw Data'!Y103)</f>
        <v>0</v>
      </c>
      <c r="U94" s="12" t="n">
        <f aca="false">IF('Raw Data'!Z103="",0,'Raw Data'!Z103)</f>
        <v>0</v>
      </c>
      <c r="V94" s="12" t="n">
        <f aca="false">IF('Raw Data'!AA103="",0,'Raw Data'!AA103)</f>
        <v>0</v>
      </c>
      <c r="W94" s="12" t="n">
        <f aca="false">IF('Raw Data'!AB103="",0,'Raw Data'!AB103)</f>
        <v>0</v>
      </c>
      <c r="X94" s="12" t="n">
        <f aca="false">IF('Raw Data'!AC103="",0,'Raw Data'!AC103)</f>
        <v>0</v>
      </c>
      <c r="Y94" s="12" t="n">
        <f aca="false">IF('Raw Data'!AD103="",0,'Raw Data'!AD103)</f>
        <v>0</v>
      </c>
      <c r="Z94" s="12" t="n">
        <f aca="false">IF('Raw Data'!AE103="",0,'Raw Data'!AE103)</f>
        <v>0</v>
      </c>
      <c r="AA94" s="12" t="n">
        <f aca="false">IF('Raw Data'!AF103="",0,'Raw Data'!AF103)</f>
        <v>0</v>
      </c>
      <c r="AB94" s="12" t="n">
        <f aca="false">IF('Raw Data'!AG103="",0,'Raw Data'!AG103)</f>
        <v>0</v>
      </c>
      <c r="AC94" s="12" t="n">
        <f aca="false">IF('Raw Data'!AH103="",0,'Raw Data'!AH103)</f>
        <v>0</v>
      </c>
      <c r="AD94" s="12" t="n">
        <f aca="false">IF('Raw Data'!AI103="",0,'Raw Data'!AI103)</f>
        <v>0</v>
      </c>
      <c r="AE94" s="12" t="n">
        <f aca="false">IF('Raw Data'!AJ103="",0,'Raw Data'!AJ103)</f>
        <v>0</v>
      </c>
      <c r="AF94" s="12" t="n">
        <f aca="false">IF('Raw Data'!AK103="",0,'Raw Data'!AK103)</f>
        <v>0</v>
      </c>
      <c r="AG94" s="12" t="n">
        <f aca="false">IF('Raw Data'!AL103="",0,'Raw Data'!AL103)</f>
        <v>0</v>
      </c>
      <c r="AH94" s="12" t="n">
        <f aca="false">IF('Raw Data'!AM103="",0,'Raw Data'!AM103)</f>
        <v>0</v>
      </c>
      <c r="AI94" s="12" t="n">
        <f aca="false">IF('Raw Data'!AN103="",0,'Raw Data'!AN103)</f>
        <v>0</v>
      </c>
      <c r="AJ94" s="12" t="n">
        <f aca="false">IF('Raw Data'!AO103="",0,'Raw Data'!AO103)</f>
        <v>0</v>
      </c>
      <c r="AK94" s="12" t="n">
        <f aca="false">IF('Raw Data'!AP103="",0,'Raw Data'!AP103)</f>
        <v>0</v>
      </c>
      <c r="AL94" s="12" t="n">
        <f aca="false">IF('Raw Data'!AQ103="",0,'Raw Data'!AQ103)</f>
        <v>0</v>
      </c>
      <c r="AM94" s="12" t="n">
        <f aca="false">IF('Raw Data'!AR103="",0,'Raw Data'!AR103)</f>
        <v>0</v>
      </c>
      <c r="AN94" s="12" t="n">
        <f aca="false">IF('Raw Data'!AS103="",0,'Raw Data'!AS103)</f>
        <v>0</v>
      </c>
      <c r="AO94" s="12" t="n">
        <f aca="false">IF('Raw Data'!AT103="",0,'Raw Data'!AT103)</f>
        <v>0</v>
      </c>
      <c r="AP94" s="12" t="n">
        <f aca="false">IF('Raw Data'!AU103="",0,'Raw Data'!AU103)</f>
        <v>0</v>
      </c>
      <c r="AQ94" s="12" t="n">
        <f aca="false">IF('Raw Data'!AV103="",0,'Raw Data'!AV103)</f>
        <v>0</v>
      </c>
      <c r="AR94" s="12" t="n">
        <f aca="false">IF('Raw Data'!AW103="",0,'Raw Data'!AW103)</f>
        <v>0</v>
      </c>
      <c r="AS94" s="12" t="n">
        <f aca="false">IF('Raw Data'!AX103="",0,'Raw Data'!AX103)</f>
        <v>0</v>
      </c>
      <c r="AT94" s="12" t="n">
        <f aca="false">IF('Raw Data'!AY103="",0,'Raw Data'!AY103)</f>
        <v>0</v>
      </c>
      <c r="AU94" s="12" t="n">
        <f aca="false">IF('Raw Data'!AZ103="",0,'Raw Data'!AZ103)</f>
        <v>0</v>
      </c>
      <c r="AV94" s="12" t="n">
        <f aca="false">IF('Raw Data'!BA103="",0,'Raw Data'!BA103)</f>
        <v>0</v>
      </c>
      <c r="AW94" s="12" t="n">
        <f aca="false">IF('Raw Data'!BB103="",0,'Raw Data'!BB103)</f>
        <v>0</v>
      </c>
      <c r="AX94" s="12" t="n">
        <f aca="false">IF('Raw Data'!BC103="",0,'Raw Data'!BC103)</f>
        <v>0</v>
      </c>
      <c r="AY94" s="12" t="n">
        <f aca="false">IF('Raw Data'!BD103="",0,'Raw Data'!BD103)</f>
        <v>0</v>
      </c>
      <c r="AZ94" s="12" t="n">
        <f aca="false">IF('Raw Data'!BE103="",0,'Raw Data'!BE103)</f>
        <v>0</v>
      </c>
      <c r="BA94" s="12" t="n">
        <f aca="false">IF('Raw Data'!BF103="",0,'Raw Data'!BF103)</f>
        <v>0</v>
      </c>
      <c r="BB94" s="12" t="n">
        <f aca="false">IF('Raw Data'!BG103="",0,'Raw Data'!BG103)</f>
        <v>0</v>
      </c>
      <c r="BC94" s="12" t="n">
        <f aca="false">IF('Raw Data'!BH103="",0,'Raw Data'!BH103)</f>
        <v>0</v>
      </c>
      <c r="BD94" s="12" t="n">
        <f aca="false">IF('Raw Data'!BI103="",0,'Raw Data'!BI103)</f>
        <v>0</v>
      </c>
      <c r="BE94" s="12" t="n">
        <f aca="false">IF('Raw Data'!BJ103="",0,'Raw Data'!BJ103)</f>
        <v>0</v>
      </c>
      <c r="BF94" s="12" t="n">
        <f aca="false">IF('Raw Data'!BK103="",0,'Raw Data'!BK103)</f>
        <v>0</v>
      </c>
      <c r="BG94" s="12" t="n">
        <f aca="false">IF('Raw Data'!BL103="",0,'Raw Data'!BL103)</f>
        <v>0</v>
      </c>
      <c r="BH94" s="12" t="n">
        <f aca="false">IF('Raw Data'!BM103="",0,'Raw Data'!BM103)</f>
        <v>0</v>
      </c>
      <c r="BI94" s="12" t="n">
        <f aca="false">IF('Raw Data'!BN103="",0,'Raw Data'!BN103)</f>
        <v>0</v>
      </c>
      <c r="BJ94" s="12" t="n">
        <f aca="false">IF('Raw Data'!BO103="",0,'Raw Data'!BO103)</f>
        <v>0</v>
      </c>
      <c r="BK94" s="12" t="n">
        <f aca="false">IF('Raw Data'!BP103="",0,'Raw Data'!BP103)</f>
        <v>0</v>
      </c>
      <c r="BL94" s="12" t="n">
        <f aca="false">IF('Raw Data'!BQ103="",0,'Raw Data'!BQ103)</f>
        <v>0</v>
      </c>
      <c r="BM94" s="12" t="n">
        <f aca="false">IF('Raw Data'!BR103="",0,'Raw Data'!BR103)</f>
        <v>0</v>
      </c>
      <c r="BN94" s="12" t="n">
        <f aca="false">IF('Raw Data'!BS103="",0,'Raw Data'!BS103)</f>
        <v>0</v>
      </c>
      <c r="BO94" s="21" t="b">
        <f aca="false">FALSE()</f>
        <v>0</v>
      </c>
    </row>
    <row r="95" customFormat="false" ht="15" hidden="false" customHeight="false" outlineLevel="0" collapsed="false">
      <c r="A95" s="20" t="str">
        <f aca="false">'Raw Data'!A104</f>
        <v>Local Account #94 from WA</v>
      </c>
      <c r="B95" s="12" t="n">
        <f aca="false">IF('Raw Data'!G104="",0,'Raw Data'!G104)</f>
        <v>0</v>
      </c>
      <c r="C95" s="12" t="n">
        <f aca="false">IF('Raw Data'!H104="",0,'Raw Data'!H104)</f>
        <v>0</v>
      </c>
      <c r="D95" s="12" t="n">
        <f aca="false">IF('Raw Data'!I104="",0,'Raw Data'!I104)</f>
        <v>0</v>
      </c>
      <c r="E95" s="12" t="n">
        <f aca="false">IF('Raw Data'!J104="",0,'Raw Data'!J104)</f>
        <v>0</v>
      </c>
      <c r="F95" s="12" t="n">
        <f aca="false">IF('Raw Data'!K104="",0,'Raw Data'!K104)</f>
        <v>0</v>
      </c>
      <c r="G95" s="12" t="n">
        <f aca="false">IF('Raw Data'!L104="",0,'Raw Data'!L104)</f>
        <v>0</v>
      </c>
      <c r="H95" s="12" t="n">
        <f aca="false">IF('Raw Data'!M104="",0,'Raw Data'!M104)</f>
        <v>0</v>
      </c>
      <c r="I95" s="12" t="n">
        <f aca="false">IF('Raw Data'!N104="",0,'Raw Data'!N104)</f>
        <v>0</v>
      </c>
      <c r="J95" s="12" t="n">
        <f aca="false">IF('Raw Data'!O104="",0,'Raw Data'!O104)</f>
        <v>0</v>
      </c>
      <c r="K95" s="12" t="n">
        <f aca="false">IF('Raw Data'!P104="",0,'Raw Data'!P104)</f>
        <v>0</v>
      </c>
      <c r="L95" s="12" t="n">
        <f aca="false">IF('Raw Data'!Q104="",0,'Raw Data'!Q104)</f>
        <v>0</v>
      </c>
      <c r="M95" s="12" t="n">
        <f aca="false">IF('Raw Data'!R104="",0,'Raw Data'!R104)</f>
        <v>0</v>
      </c>
      <c r="N95" s="12" t="n">
        <f aca="false">IF('Raw Data'!S104="",0,'Raw Data'!S104)</f>
        <v>0</v>
      </c>
      <c r="O95" s="12" t="n">
        <f aca="false">IF('Raw Data'!T104="",0,'Raw Data'!T104)</f>
        <v>0</v>
      </c>
      <c r="P95" s="12" t="n">
        <f aca="false">IF('Raw Data'!U104="",0,'Raw Data'!U104)</f>
        <v>0</v>
      </c>
      <c r="Q95" s="12" t="n">
        <f aca="false">IF('Raw Data'!V104="",0,'Raw Data'!V104)</f>
        <v>0</v>
      </c>
      <c r="R95" s="12" t="n">
        <f aca="false">IF('Raw Data'!W104="",0,'Raw Data'!W104)</f>
        <v>0</v>
      </c>
      <c r="S95" s="12" t="n">
        <f aca="false">IF('Raw Data'!X104="",0,'Raw Data'!X104)</f>
        <v>0</v>
      </c>
      <c r="T95" s="12" t="n">
        <f aca="false">IF('Raw Data'!Y104="",0,'Raw Data'!Y104)</f>
        <v>0</v>
      </c>
      <c r="U95" s="12" t="n">
        <f aca="false">IF('Raw Data'!Z104="",0,'Raw Data'!Z104)</f>
        <v>0</v>
      </c>
      <c r="V95" s="12" t="n">
        <f aca="false">IF('Raw Data'!AA104="",0,'Raw Data'!AA104)</f>
        <v>0</v>
      </c>
      <c r="W95" s="12" t="n">
        <f aca="false">IF('Raw Data'!AB104="",0,'Raw Data'!AB104)</f>
        <v>0</v>
      </c>
      <c r="X95" s="12" t="n">
        <f aca="false">IF('Raw Data'!AC104="",0,'Raw Data'!AC104)</f>
        <v>0</v>
      </c>
      <c r="Y95" s="12" t="n">
        <f aca="false">IF('Raw Data'!AD104="",0,'Raw Data'!AD104)</f>
        <v>0</v>
      </c>
      <c r="Z95" s="12" t="n">
        <f aca="false">IF('Raw Data'!AE104="",0,'Raw Data'!AE104)</f>
        <v>0</v>
      </c>
      <c r="AA95" s="12" t="n">
        <f aca="false">IF('Raw Data'!AF104="",0,'Raw Data'!AF104)</f>
        <v>0</v>
      </c>
      <c r="AB95" s="12" t="n">
        <f aca="false">IF('Raw Data'!AG104="",0,'Raw Data'!AG104)</f>
        <v>0</v>
      </c>
      <c r="AC95" s="12" t="n">
        <f aca="false">IF('Raw Data'!AH104="",0,'Raw Data'!AH104)</f>
        <v>0</v>
      </c>
      <c r="AD95" s="12" t="n">
        <f aca="false">IF('Raw Data'!AI104="",0,'Raw Data'!AI104)</f>
        <v>0</v>
      </c>
      <c r="AE95" s="12" t="n">
        <f aca="false">IF('Raw Data'!AJ104="",0,'Raw Data'!AJ104)</f>
        <v>0</v>
      </c>
      <c r="AF95" s="12" t="n">
        <f aca="false">IF('Raw Data'!AK104="",0,'Raw Data'!AK104)</f>
        <v>0</v>
      </c>
      <c r="AG95" s="12" t="n">
        <f aca="false">IF('Raw Data'!AL104="",0,'Raw Data'!AL104)</f>
        <v>0</v>
      </c>
      <c r="AH95" s="12" t="n">
        <f aca="false">IF('Raw Data'!AM104="",0,'Raw Data'!AM104)</f>
        <v>0</v>
      </c>
      <c r="AI95" s="12" t="n">
        <f aca="false">IF('Raw Data'!AN104="",0,'Raw Data'!AN104)</f>
        <v>0</v>
      </c>
      <c r="AJ95" s="12" t="n">
        <f aca="false">IF('Raw Data'!AO104="",0,'Raw Data'!AO104)</f>
        <v>0</v>
      </c>
      <c r="AK95" s="12" t="n">
        <f aca="false">IF('Raw Data'!AP104="",0,'Raw Data'!AP104)</f>
        <v>0</v>
      </c>
      <c r="AL95" s="12" t="n">
        <f aca="false">IF('Raw Data'!AQ104="",0,'Raw Data'!AQ104)</f>
        <v>0</v>
      </c>
      <c r="AM95" s="12" t="n">
        <f aca="false">IF('Raw Data'!AR104="",0,'Raw Data'!AR104)</f>
        <v>0</v>
      </c>
      <c r="AN95" s="12" t="n">
        <f aca="false">IF('Raw Data'!AS104="",0,'Raw Data'!AS104)</f>
        <v>0</v>
      </c>
      <c r="AO95" s="12" t="n">
        <f aca="false">IF('Raw Data'!AT104="",0,'Raw Data'!AT104)</f>
        <v>0</v>
      </c>
      <c r="AP95" s="12" t="n">
        <f aca="false">IF('Raw Data'!AU104="",0,'Raw Data'!AU104)</f>
        <v>0</v>
      </c>
      <c r="AQ95" s="12" t="n">
        <f aca="false">IF('Raw Data'!AV104="",0,'Raw Data'!AV104)</f>
        <v>0</v>
      </c>
      <c r="AR95" s="12" t="n">
        <f aca="false">IF('Raw Data'!AW104="",0,'Raw Data'!AW104)</f>
        <v>0</v>
      </c>
      <c r="AS95" s="12" t="n">
        <f aca="false">IF('Raw Data'!AX104="",0,'Raw Data'!AX104)</f>
        <v>0</v>
      </c>
      <c r="AT95" s="12" t="n">
        <f aca="false">IF('Raw Data'!AY104="",0,'Raw Data'!AY104)</f>
        <v>0</v>
      </c>
      <c r="AU95" s="12" t="n">
        <f aca="false">IF('Raw Data'!AZ104="",0,'Raw Data'!AZ104)</f>
        <v>0</v>
      </c>
      <c r="AV95" s="12" t="n">
        <f aca="false">IF('Raw Data'!BA104="",0,'Raw Data'!BA104)</f>
        <v>0</v>
      </c>
      <c r="AW95" s="12" t="n">
        <f aca="false">IF('Raw Data'!BB104="",0,'Raw Data'!BB104)</f>
        <v>0</v>
      </c>
      <c r="AX95" s="12" t="n">
        <f aca="false">IF('Raw Data'!BC104="",0,'Raw Data'!BC104)</f>
        <v>0</v>
      </c>
      <c r="AY95" s="12" t="n">
        <f aca="false">IF('Raw Data'!BD104="",0,'Raw Data'!BD104)</f>
        <v>825</v>
      </c>
      <c r="AZ95" s="12" t="n">
        <f aca="false">IF('Raw Data'!BE104="",0,'Raw Data'!BE104)</f>
        <v>825</v>
      </c>
      <c r="BA95" s="12" t="n">
        <f aca="false">IF('Raw Data'!BF104="",0,'Raw Data'!BF104)</f>
        <v>825</v>
      </c>
      <c r="BB95" s="12" t="n">
        <f aca="false">IF('Raw Data'!BG104="",0,'Raw Data'!BG104)</f>
        <v>825</v>
      </c>
      <c r="BC95" s="12" t="n">
        <f aca="false">IF('Raw Data'!BH104="",0,'Raw Data'!BH104)</f>
        <v>825</v>
      </c>
      <c r="BD95" s="12" t="n">
        <f aca="false">IF('Raw Data'!BI104="",0,'Raw Data'!BI104)</f>
        <v>825</v>
      </c>
      <c r="BE95" s="12" t="n">
        <f aca="false">IF('Raw Data'!BJ104="",0,'Raw Data'!BJ104)</f>
        <v>825</v>
      </c>
      <c r="BF95" s="12" t="n">
        <f aca="false">IF('Raw Data'!BK104="",0,'Raw Data'!BK104)</f>
        <v>825</v>
      </c>
      <c r="BG95" s="12" t="n">
        <f aca="false">IF('Raw Data'!BL104="",0,'Raw Data'!BL104)</f>
        <v>825</v>
      </c>
      <c r="BH95" s="12" t="n">
        <f aca="false">IF('Raw Data'!BM104="",0,'Raw Data'!BM104)</f>
        <v>825</v>
      </c>
      <c r="BI95" s="12" t="n">
        <f aca="false">IF('Raw Data'!BN104="",0,'Raw Data'!BN104)</f>
        <v>825</v>
      </c>
      <c r="BJ95" s="12" t="n">
        <f aca="false">IF('Raw Data'!BO104="",0,'Raw Data'!BO104)</f>
        <v>825</v>
      </c>
      <c r="BK95" s="12" t="n">
        <f aca="false">IF('Raw Data'!BP104="",0,'Raw Data'!BP104)</f>
        <v>0</v>
      </c>
      <c r="BL95" s="12" t="n">
        <f aca="false">IF('Raw Data'!BQ104="",0,'Raw Data'!BQ104)</f>
        <v>0</v>
      </c>
      <c r="BM95" s="12" t="n">
        <f aca="false">IF('Raw Data'!BR104="",0,'Raw Data'!BR104)</f>
        <v>0</v>
      </c>
      <c r="BN95" s="12" t="n">
        <f aca="false">IF('Raw Data'!BS104="",0,'Raw Data'!BS104)</f>
        <v>0</v>
      </c>
      <c r="BO95" s="21" t="b">
        <f aca="false">FALSE()</f>
        <v>0</v>
      </c>
    </row>
    <row r="96" customFormat="false" ht="15" hidden="false" customHeight="false" outlineLevel="0" collapsed="false">
      <c r="A96" s="20" t="str">
        <f aca="false">'Raw Data'!A105</f>
        <v>Local Account #95 from WA</v>
      </c>
      <c r="B96" s="12" t="n">
        <f aca="false">IF('Raw Data'!G105="",0,'Raw Data'!G105)</f>
        <v>1508.33333333333</v>
      </c>
      <c r="C96" s="12" t="n">
        <f aca="false">IF('Raw Data'!H105="",0,'Raw Data'!H105)</f>
        <v>1458.33333333333</v>
      </c>
      <c r="D96" s="12" t="n">
        <f aca="false">IF('Raw Data'!I105="",0,'Raw Data'!I105)</f>
        <v>1458.33333333333</v>
      </c>
      <c r="E96" s="12" t="n">
        <f aca="false">IF('Raw Data'!J105="",0,'Raw Data'!J105)</f>
        <v>1458.33333333333</v>
      </c>
      <c r="F96" s="12" t="n">
        <f aca="false">IF('Raw Data'!K105="",0,'Raw Data'!K105)</f>
        <v>1458.33333333333</v>
      </c>
      <c r="G96" s="12" t="n">
        <f aca="false">IF('Raw Data'!L105="",0,'Raw Data'!L105)</f>
        <v>1458.33333333333</v>
      </c>
      <c r="H96" s="12" t="n">
        <f aca="false">IF('Raw Data'!M105="",0,'Raw Data'!M105)</f>
        <v>1458.33333333333</v>
      </c>
      <c r="I96" s="12" t="n">
        <f aca="false">IF('Raw Data'!N105="",0,'Raw Data'!N105)</f>
        <v>1458.33333333333</v>
      </c>
      <c r="J96" s="12" t="n">
        <f aca="false">IF('Raw Data'!O105="",0,'Raw Data'!O105)</f>
        <v>2258.33333333333</v>
      </c>
      <c r="K96" s="12" t="n">
        <f aca="false">IF('Raw Data'!P105="",0,'Raw Data'!P105)</f>
        <v>2258.33333333333</v>
      </c>
      <c r="L96" s="12" t="n">
        <f aca="false">IF('Raw Data'!Q105="",0,'Raw Data'!Q105)</f>
        <v>2258.33333333333</v>
      </c>
      <c r="M96" s="12" t="n">
        <f aca="false">IF('Raw Data'!R105="",0,'Raw Data'!R105)</f>
        <v>2258.33333333333</v>
      </c>
      <c r="N96" s="12" t="n">
        <f aca="false">IF('Raw Data'!S105="",0,'Raw Data'!S105)</f>
        <v>2258.33333333333</v>
      </c>
      <c r="O96" s="12" t="n">
        <f aca="false">IF('Raw Data'!T105="",0,'Raw Data'!T105)</f>
        <v>2255</v>
      </c>
      <c r="P96" s="12" t="n">
        <f aca="false">IF('Raw Data'!U105="",0,'Raw Data'!U105)</f>
        <v>2255</v>
      </c>
      <c r="Q96" s="12" t="n">
        <f aca="false">IF('Raw Data'!V105="",0,'Raw Data'!V105)</f>
        <v>2255</v>
      </c>
      <c r="R96" s="12" t="n">
        <f aca="false">IF('Raw Data'!W105="",0,'Raw Data'!W105)</f>
        <v>2255</v>
      </c>
      <c r="S96" s="12" t="n">
        <f aca="false">IF('Raw Data'!X105="",0,'Raw Data'!X105)</f>
        <v>2255</v>
      </c>
      <c r="T96" s="12" t="n">
        <f aca="false">IF('Raw Data'!Y105="",0,'Raw Data'!Y105)</f>
        <v>2255</v>
      </c>
      <c r="U96" s="12" t="n">
        <f aca="false">IF('Raw Data'!Z105="",0,'Raw Data'!Z105)</f>
        <v>2255</v>
      </c>
      <c r="V96" s="12" t="n">
        <f aca="false">IF('Raw Data'!AA105="",0,'Raw Data'!AA105)</f>
        <v>2255</v>
      </c>
      <c r="W96" s="12" t="n">
        <f aca="false">IF('Raw Data'!AB105="",0,'Raw Data'!AB105)</f>
        <v>2255</v>
      </c>
      <c r="X96" s="12" t="n">
        <f aca="false">IF('Raw Data'!AC105="",0,'Raw Data'!AC105)</f>
        <v>2255</v>
      </c>
      <c r="Y96" s="12" t="n">
        <f aca="false">IF('Raw Data'!AD105="",0,'Raw Data'!AD105)</f>
        <v>2255</v>
      </c>
      <c r="Z96" s="12" t="n">
        <f aca="false">IF('Raw Data'!AE105="",0,'Raw Data'!AE105)</f>
        <v>2255</v>
      </c>
      <c r="AA96" s="12" t="n">
        <f aca="false">IF('Raw Data'!AF105="",0,'Raw Data'!AF105)</f>
        <v>1961.66666666667</v>
      </c>
      <c r="AB96" s="12" t="n">
        <f aca="false">IF('Raw Data'!AG105="",0,'Raw Data'!AG105)</f>
        <v>1961.66666666667</v>
      </c>
      <c r="AC96" s="12" t="n">
        <f aca="false">IF('Raw Data'!AH105="",0,'Raw Data'!AH105)</f>
        <v>1961.66666666667</v>
      </c>
      <c r="AD96" s="12" t="n">
        <f aca="false">IF('Raw Data'!AI105="",0,'Raw Data'!AI105)</f>
        <v>1961.66666666667</v>
      </c>
      <c r="AE96" s="12" t="n">
        <f aca="false">IF('Raw Data'!AJ105="",0,'Raw Data'!AJ105)</f>
        <v>1961.66666666667</v>
      </c>
      <c r="AF96" s="12" t="n">
        <f aca="false">IF('Raw Data'!AK105="",0,'Raw Data'!AK105)</f>
        <v>1961.66666666667</v>
      </c>
      <c r="AG96" s="12" t="n">
        <f aca="false">IF('Raw Data'!AL105="",0,'Raw Data'!AL105)</f>
        <v>1961.66666666667</v>
      </c>
      <c r="AH96" s="12" t="n">
        <f aca="false">IF('Raw Data'!AM105="",0,'Raw Data'!AM105)</f>
        <v>1961.66666666667</v>
      </c>
      <c r="AI96" s="12" t="n">
        <f aca="false">IF('Raw Data'!AN105="",0,'Raw Data'!AN105)</f>
        <v>1961.66666666667</v>
      </c>
      <c r="AJ96" s="12" t="n">
        <f aca="false">IF('Raw Data'!AO105="",0,'Raw Data'!AO105)</f>
        <v>1961.66666666667</v>
      </c>
      <c r="AK96" s="12" t="n">
        <f aca="false">IF('Raw Data'!AP105="",0,'Raw Data'!AP105)</f>
        <v>1961.66666666667</v>
      </c>
      <c r="AL96" s="12" t="n">
        <f aca="false">IF('Raw Data'!AQ105="",0,'Raw Data'!AQ105)</f>
        <v>1961.66666666667</v>
      </c>
      <c r="AM96" s="12" t="n">
        <f aca="false">IF('Raw Data'!AR105="",0,'Raw Data'!AR105)</f>
        <v>2011.42666666667</v>
      </c>
      <c r="AN96" s="12" t="n">
        <f aca="false">IF('Raw Data'!AS105="",0,'Raw Data'!AS105)</f>
        <v>2011.42666666667</v>
      </c>
      <c r="AO96" s="12" t="n">
        <f aca="false">IF('Raw Data'!AT105="",0,'Raw Data'!AT105)</f>
        <v>2011.42666666667</v>
      </c>
      <c r="AP96" s="12" t="n">
        <f aca="false">IF('Raw Data'!AU105="",0,'Raw Data'!AU105)</f>
        <v>2011.42666666667</v>
      </c>
      <c r="AQ96" s="12" t="n">
        <f aca="false">IF('Raw Data'!AV105="",0,'Raw Data'!AV105)</f>
        <v>2011.42666666667</v>
      </c>
      <c r="AR96" s="12" t="n">
        <f aca="false">IF('Raw Data'!AW105="",0,'Raw Data'!AW105)</f>
        <v>2011.42666666667</v>
      </c>
      <c r="AS96" s="12" t="n">
        <f aca="false">IF('Raw Data'!AX105="",0,'Raw Data'!AX105)</f>
        <v>2011.42666666667</v>
      </c>
      <c r="AT96" s="12" t="n">
        <f aca="false">IF('Raw Data'!AY105="",0,'Raw Data'!AY105)</f>
        <v>2011.42666666667</v>
      </c>
      <c r="AU96" s="12" t="n">
        <f aca="false">IF('Raw Data'!AZ105="",0,'Raw Data'!AZ105)</f>
        <v>2011.42666666667</v>
      </c>
      <c r="AV96" s="12" t="n">
        <f aca="false">IF('Raw Data'!BA105="",0,'Raw Data'!BA105)</f>
        <v>2011.42666666667</v>
      </c>
      <c r="AW96" s="12" t="n">
        <f aca="false">IF('Raw Data'!BB105="",0,'Raw Data'!BB105)</f>
        <v>2011.42666666667</v>
      </c>
      <c r="AX96" s="12" t="n">
        <f aca="false">IF('Raw Data'!BC105="",0,'Raw Data'!BC105)</f>
        <v>2011.42666666667</v>
      </c>
      <c r="AY96" s="12" t="n">
        <f aca="false">IF('Raw Data'!BD105="",0,'Raw Data'!BD105)</f>
        <v>1019.33333333333</v>
      </c>
      <c r="AZ96" s="12" t="n">
        <f aca="false">IF('Raw Data'!BE105="",0,'Raw Data'!BE105)</f>
        <v>1019.33333333333</v>
      </c>
      <c r="BA96" s="12" t="n">
        <f aca="false">IF('Raw Data'!BF105="",0,'Raw Data'!BF105)</f>
        <v>1019.33333333333</v>
      </c>
      <c r="BB96" s="12" t="n">
        <f aca="false">IF('Raw Data'!BG105="",0,'Raw Data'!BG105)</f>
        <v>1019.33333333333</v>
      </c>
      <c r="BC96" s="12" t="n">
        <f aca="false">IF('Raw Data'!BH105="",0,'Raw Data'!BH105)</f>
        <v>1019.33333333333</v>
      </c>
      <c r="BD96" s="12" t="n">
        <f aca="false">IF('Raw Data'!BI105="",0,'Raw Data'!BI105)</f>
        <v>1019.33333333333</v>
      </c>
      <c r="BE96" s="12" t="n">
        <f aca="false">IF('Raw Data'!BJ105="",0,'Raw Data'!BJ105)</f>
        <v>1019.33333333333</v>
      </c>
      <c r="BF96" s="12" t="n">
        <f aca="false">IF('Raw Data'!BK105="",0,'Raw Data'!BK105)</f>
        <v>1019.33333333333</v>
      </c>
      <c r="BG96" s="12" t="n">
        <f aca="false">IF('Raw Data'!BL105="",0,'Raw Data'!BL105)</f>
        <v>1019.33333333333</v>
      </c>
      <c r="BH96" s="12" t="n">
        <f aca="false">IF('Raw Data'!BM105="",0,'Raw Data'!BM105)</f>
        <v>1019.33333333333</v>
      </c>
      <c r="BI96" s="12" t="n">
        <f aca="false">IF('Raw Data'!BN105="",0,'Raw Data'!BN105)</f>
        <v>1019.33333333333</v>
      </c>
      <c r="BJ96" s="12" t="n">
        <f aca="false">IF('Raw Data'!BO105="",0,'Raw Data'!BO105)</f>
        <v>1019.33333333333</v>
      </c>
      <c r="BK96" s="12" t="n">
        <f aca="false">IF('Raw Data'!BP105="",0,'Raw Data'!BP105)</f>
        <v>662.106666666667</v>
      </c>
      <c r="BL96" s="12" t="n">
        <f aca="false">IF('Raw Data'!BQ105="",0,'Raw Data'!BQ105)</f>
        <v>662.106666666667</v>
      </c>
      <c r="BM96" s="12" t="n">
        <f aca="false">IF('Raw Data'!BR105="",0,'Raw Data'!BR105)</f>
        <v>662.106666666667</v>
      </c>
      <c r="BN96" s="12" t="n">
        <f aca="false">IF('Raw Data'!BS105="",0,'Raw Data'!BS105)</f>
        <v>662.106666666667</v>
      </c>
      <c r="BO96" s="21" t="b">
        <f aca="false">FALSE()</f>
        <v>0</v>
      </c>
    </row>
    <row r="97" customFormat="false" ht="15" hidden="false" customHeight="false" outlineLevel="0" collapsed="false">
      <c r="A97" s="20" t="str">
        <f aca="false">'Raw Data'!A106</f>
        <v>Local Account #96 from CA</v>
      </c>
      <c r="B97" s="12" t="n">
        <f aca="false">IF('Raw Data'!G106="",0,'Raw Data'!G106)</f>
        <v>0</v>
      </c>
      <c r="C97" s="12" t="n">
        <f aca="false">IF('Raw Data'!H106="",0,'Raw Data'!H106)</f>
        <v>0</v>
      </c>
      <c r="D97" s="12" t="n">
        <f aca="false">IF('Raw Data'!I106="",0,'Raw Data'!I106)</f>
        <v>0</v>
      </c>
      <c r="E97" s="12" t="n">
        <f aca="false">IF('Raw Data'!J106="",0,'Raw Data'!J106)</f>
        <v>0</v>
      </c>
      <c r="F97" s="12" t="n">
        <f aca="false">IF('Raw Data'!K106="",0,'Raw Data'!K106)</f>
        <v>0</v>
      </c>
      <c r="G97" s="12" t="n">
        <f aca="false">IF('Raw Data'!L106="",0,'Raw Data'!L106)</f>
        <v>58.3333333333333</v>
      </c>
      <c r="H97" s="12" t="n">
        <f aca="false">IF('Raw Data'!M106="",0,'Raw Data'!M106)</f>
        <v>58.3333333333333</v>
      </c>
      <c r="I97" s="12" t="n">
        <f aca="false">IF('Raw Data'!N106="",0,'Raw Data'!N106)</f>
        <v>58.3333333333333</v>
      </c>
      <c r="J97" s="12" t="n">
        <f aca="false">IF('Raw Data'!O106="",0,'Raw Data'!O106)</f>
        <v>58.3333333333333</v>
      </c>
      <c r="K97" s="12" t="n">
        <f aca="false">IF('Raw Data'!P106="",0,'Raw Data'!P106)</f>
        <v>58.3333333333333</v>
      </c>
      <c r="L97" s="12" t="n">
        <f aca="false">IF('Raw Data'!Q106="",0,'Raw Data'!Q106)</f>
        <v>58.3333333333333</v>
      </c>
      <c r="M97" s="12" t="n">
        <f aca="false">IF('Raw Data'!R106="",0,'Raw Data'!R106)</f>
        <v>58.3333333333333</v>
      </c>
      <c r="N97" s="12" t="n">
        <f aca="false">IF('Raw Data'!S106="",0,'Raw Data'!S106)</f>
        <v>58.3333333333333</v>
      </c>
      <c r="O97" s="12" t="n">
        <f aca="false">IF('Raw Data'!T106="",0,'Raw Data'!T106)</f>
        <v>58.3333333333333</v>
      </c>
      <c r="P97" s="12" t="n">
        <f aca="false">IF('Raw Data'!U106="",0,'Raw Data'!U106)</f>
        <v>58.3333333333333</v>
      </c>
      <c r="Q97" s="12" t="n">
        <f aca="false">IF('Raw Data'!V106="",0,'Raw Data'!V106)</f>
        <v>58.3333333333333</v>
      </c>
      <c r="R97" s="12" t="n">
        <f aca="false">IF('Raw Data'!W106="",0,'Raw Data'!W106)</f>
        <v>58.3333333333333</v>
      </c>
      <c r="S97" s="12" t="n">
        <f aca="false">IF('Raw Data'!X106="",0,'Raw Data'!X106)</f>
        <v>58.3333333333333</v>
      </c>
      <c r="T97" s="12" t="n">
        <f aca="false">IF('Raw Data'!Y106="",0,'Raw Data'!Y106)</f>
        <v>58.3333333333333</v>
      </c>
      <c r="U97" s="12" t="n">
        <f aca="false">IF('Raw Data'!Z106="",0,'Raw Data'!Z106)</f>
        <v>58.3333333333333</v>
      </c>
      <c r="V97" s="12" t="n">
        <f aca="false">IF('Raw Data'!AA106="",0,'Raw Data'!AA106)</f>
        <v>58.3333333333333</v>
      </c>
      <c r="W97" s="12" t="n">
        <f aca="false">IF('Raw Data'!AB106="",0,'Raw Data'!AB106)</f>
        <v>58.3333333333333</v>
      </c>
      <c r="X97" s="12" t="n">
        <f aca="false">IF('Raw Data'!AC106="",0,'Raw Data'!AC106)</f>
        <v>58.3333333333333</v>
      </c>
      <c r="Y97" s="12" t="n">
        <f aca="false">IF('Raw Data'!AD106="",0,'Raw Data'!AD106)</f>
        <v>58.3333333333333</v>
      </c>
      <c r="Z97" s="12" t="n">
        <f aca="false">IF('Raw Data'!AE106="",0,'Raw Data'!AE106)</f>
        <v>58.3333333333333</v>
      </c>
      <c r="AA97" s="12" t="n">
        <f aca="false">IF('Raw Data'!AF106="",0,'Raw Data'!AF106)</f>
        <v>58.3333333333333</v>
      </c>
      <c r="AB97" s="12" t="n">
        <f aca="false">IF('Raw Data'!AG106="",0,'Raw Data'!AG106)</f>
        <v>58.3333333333333</v>
      </c>
      <c r="AC97" s="12" t="n">
        <f aca="false">IF('Raw Data'!AH106="",0,'Raw Data'!AH106)</f>
        <v>58.3333333333333</v>
      </c>
      <c r="AD97" s="12" t="n">
        <f aca="false">IF('Raw Data'!AI106="",0,'Raw Data'!AI106)</f>
        <v>58.3333333333333</v>
      </c>
      <c r="AE97" s="12" t="n">
        <f aca="false">IF('Raw Data'!AJ106="",0,'Raw Data'!AJ106)</f>
        <v>58.3333333333333</v>
      </c>
      <c r="AF97" s="12" t="n">
        <f aca="false">IF('Raw Data'!AK106="",0,'Raw Data'!AK106)</f>
        <v>58.3333333333333</v>
      </c>
      <c r="AG97" s="12" t="n">
        <f aca="false">IF('Raw Data'!AL106="",0,'Raw Data'!AL106)</f>
        <v>58.3333333333333</v>
      </c>
      <c r="AH97" s="12" t="n">
        <f aca="false">IF('Raw Data'!AM106="",0,'Raw Data'!AM106)</f>
        <v>58.3333333333333</v>
      </c>
      <c r="AI97" s="12" t="n">
        <f aca="false">IF('Raw Data'!AN106="",0,'Raw Data'!AN106)</f>
        <v>58.3333333333333</v>
      </c>
      <c r="AJ97" s="12" t="n">
        <f aca="false">IF('Raw Data'!AO106="",0,'Raw Data'!AO106)</f>
        <v>58.3333333333333</v>
      </c>
      <c r="AK97" s="12" t="n">
        <f aca="false">IF('Raw Data'!AP106="",0,'Raw Data'!AP106)</f>
        <v>58.3333333333333</v>
      </c>
      <c r="AL97" s="12" t="n">
        <f aca="false">IF('Raw Data'!AQ106="",0,'Raw Data'!AQ106)</f>
        <v>58.3333333333333</v>
      </c>
      <c r="AM97" s="12" t="n">
        <f aca="false">IF('Raw Data'!AR106="",0,'Raw Data'!AR106)</f>
        <v>58.3333333333333</v>
      </c>
      <c r="AN97" s="12" t="n">
        <f aca="false">IF('Raw Data'!AS106="",0,'Raw Data'!AS106)</f>
        <v>58.3333333333333</v>
      </c>
      <c r="AO97" s="12" t="n">
        <f aca="false">IF('Raw Data'!AT106="",0,'Raw Data'!AT106)</f>
        <v>58.3333333333333</v>
      </c>
      <c r="AP97" s="12" t="n">
        <f aca="false">IF('Raw Data'!AU106="",0,'Raw Data'!AU106)</f>
        <v>58.3333333333333</v>
      </c>
      <c r="AQ97" s="12" t="n">
        <f aca="false">IF('Raw Data'!AV106="",0,'Raw Data'!AV106)</f>
        <v>0</v>
      </c>
      <c r="AR97" s="12" t="n">
        <f aca="false">IF('Raw Data'!AW106="",0,'Raw Data'!AW106)</f>
        <v>0</v>
      </c>
      <c r="AS97" s="12" t="n">
        <f aca="false">IF('Raw Data'!AX106="",0,'Raw Data'!AX106)</f>
        <v>0</v>
      </c>
      <c r="AT97" s="12" t="n">
        <f aca="false">IF('Raw Data'!AY106="",0,'Raw Data'!AY106)</f>
        <v>0</v>
      </c>
      <c r="AU97" s="12" t="n">
        <f aca="false">IF('Raw Data'!AZ106="",0,'Raw Data'!AZ106)</f>
        <v>0</v>
      </c>
      <c r="AV97" s="12" t="n">
        <f aca="false">IF('Raw Data'!BA106="",0,'Raw Data'!BA106)</f>
        <v>0</v>
      </c>
      <c r="AW97" s="12" t="n">
        <f aca="false">IF('Raw Data'!BB106="",0,'Raw Data'!BB106)</f>
        <v>0</v>
      </c>
      <c r="AX97" s="12" t="n">
        <f aca="false">IF('Raw Data'!BC106="",0,'Raw Data'!BC106)</f>
        <v>0</v>
      </c>
      <c r="AY97" s="12" t="n">
        <f aca="false">IF('Raw Data'!BD106="",0,'Raw Data'!BD106)</f>
        <v>0</v>
      </c>
      <c r="AZ97" s="12" t="n">
        <f aca="false">IF('Raw Data'!BE106="",0,'Raw Data'!BE106)</f>
        <v>0</v>
      </c>
      <c r="BA97" s="12" t="n">
        <f aca="false">IF('Raw Data'!BF106="",0,'Raw Data'!BF106)</f>
        <v>0</v>
      </c>
      <c r="BB97" s="12" t="n">
        <f aca="false">IF('Raw Data'!BG106="",0,'Raw Data'!BG106)</f>
        <v>0</v>
      </c>
      <c r="BC97" s="12" t="n">
        <f aca="false">IF('Raw Data'!BH106="",0,'Raw Data'!BH106)</f>
        <v>0</v>
      </c>
      <c r="BD97" s="12" t="n">
        <f aca="false">IF('Raw Data'!BI106="",0,'Raw Data'!BI106)</f>
        <v>0</v>
      </c>
      <c r="BE97" s="12" t="n">
        <f aca="false">IF('Raw Data'!BJ106="",0,'Raw Data'!BJ106)</f>
        <v>0</v>
      </c>
      <c r="BF97" s="12" t="n">
        <f aca="false">IF('Raw Data'!BK106="",0,'Raw Data'!BK106)</f>
        <v>0</v>
      </c>
      <c r="BG97" s="12" t="n">
        <f aca="false">IF('Raw Data'!BL106="",0,'Raw Data'!BL106)</f>
        <v>0</v>
      </c>
      <c r="BH97" s="12" t="n">
        <f aca="false">IF('Raw Data'!BM106="",0,'Raw Data'!BM106)</f>
        <v>0</v>
      </c>
      <c r="BI97" s="12" t="n">
        <f aca="false">IF('Raw Data'!BN106="",0,'Raw Data'!BN106)</f>
        <v>0</v>
      </c>
      <c r="BJ97" s="12" t="n">
        <f aca="false">IF('Raw Data'!BO106="",0,'Raw Data'!BO106)</f>
        <v>0</v>
      </c>
      <c r="BK97" s="12" t="n">
        <f aca="false">IF('Raw Data'!BP106="",0,'Raw Data'!BP106)</f>
        <v>0</v>
      </c>
      <c r="BL97" s="12" t="n">
        <f aca="false">IF('Raw Data'!BQ106="",0,'Raw Data'!BQ106)</f>
        <v>0</v>
      </c>
      <c r="BM97" s="12" t="n">
        <f aca="false">IF('Raw Data'!BR106="",0,'Raw Data'!BR106)</f>
        <v>0</v>
      </c>
      <c r="BN97" s="12" t="n">
        <f aca="false">IF('Raw Data'!BS106="",0,'Raw Data'!BS106)</f>
        <v>0</v>
      </c>
      <c r="BO97" s="21" t="b">
        <f aca="false">FALSE()</f>
        <v>0</v>
      </c>
    </row>
    <row r="98" customFormat="false" ht="15" hidden="false" customHeight="false" outlineLevel="0" collapsed="false">
      <c r="A98" s="20" t="str">
        <f aca="false">'Raw Data'!A107</f>
        <v>Local Account #97 from OR</v>
      </c>
      <c r="B98" s="12" t="n">
        <f aca="false">IF('Raw Data'!G107="",0,'Raw Data'!G107)</f>
        <v>0</v>
      </c>
      <c r="C98" s="12" t="n">
        <f aca="false">IF('Raw Data'!H107="",0,'Raw Data'!H107)</f>
        <v>0</v>
      </c>
      <c r="D98" s="12" t="n">
        <f aca="false">IF('Raw Data'!I107="",0,'Raw Data'!I107)</f>
        <v>0</v>
      </c>
      <c r="E98" s="12" t="n">
        <f aca="false">IF('Raw Data'!J107="",0,'Raw Data'!J107)</f>
        <v>0</v>
      </c>
      <c r="F98" s="12" t="n">
        <f aca="false">IF('Raw Data'!K107="",0,'Raw Data'!K107)</f>
        <v>0</v>
      </c>
      <c r="G98" s="12" t="n">
        <f aca="false">IF('Raw Data'!L107="",0,'Raw Data'!L107)</f>
        <v>0</v>
      </c>
      <c r="H98" s="12" t="n">
        <f aca="false">IF('Raw Data'!M107="",0,'Raw Data'!M107)</f>
        <v>0</v>
      </c>
      <c r="I98" s="12" t="n">
        <f aca="false">IF('Raw Data'!N107="",0,'Raw Data'!N107)</f>
        <v>0</v>
      </c>
      <c r="J98" s="12" t="n">
        <f aca="false">IF('Raw Data'!O107="",0,'Raw Data'!O107)</f>
        <v>0</v>
      </c>
      <c r="K98" s="12" t="n">
        <f aca="false">IF('Raw Data'!P107="",0,'Raw Data'!P107)</f>
        <v>0</v>
      </c>
      <c r="L98" s="12" t="n">
        <f aca="false">IF('Raw Data'!Q107="",0,'Raw Data'!Q107)</f>
        <v>0</v>
      </c>
      <c r="M98" s="12" t="n">
        <f aca="false">IF('Raw Data'!R107="",0,'Raw Data'!R107)</f>
        <v>0</v>
      </c>
      <c r="N98" s="12" t="n">
        <f aca="false">IF('Raw Data'!S107="",0,'Raw Data'!S107)</f>
        <v>0</v>
      </c>
      <c r="O98" s="12" t="n">
        <f aca="false">IF('Raw Data'!T107="",0,'Raw Data'!T107)</f>
        <v>0</v>
      </c>
      <c r="P98" s="12" t="n">
        <f aca="false">IF('Raw Data'!U107="",0,'Raw Data'!U107)</f>
        <v>0</v>
      </c>
      <c r="Q98" s="12" t="n">
        <f aca="false">IF('Raw Data'!V107="",0,'Raw Data'!V107)</f>
        <v>0</v>
      </c>
      <c r="R98" s="12" t="n">
        <f aca="false">IF('Raw Data'!W107="",0,'Raw Data'!W107)</f>
        <v>0</v>
      </c>
      <c r="S98" s="12" t="n">
        <f aca="false">IF('Raw Data'!X107="",0,'Raw Data'!X107)</f>
        <v>0</v>
      </c>
      <c r="T98" s="12" t="n">
        <f aca="false">IF('Raw Data'!Y107="",0,'Raw Data'!Y107)</f>
        <v>0</v>
      </c>
      <c r="U98" s="12" t="n">
        <f aca="false">IF('Raw Data'!Z107="",0,'Raw Data'!Z107)</f>
        <v>0</v>
      </c>
      <c r="V98" s="12" t="n">
        <f aca="false">IF('Raw Data'!AA107="",0,'Raw Data'!AA107)</f>
        <v>0</v>
      </c>
      <c r="W98" s="12" t="n">
        <f aca="false">IF('Raw Data'!AB107="",0,'Raw Data'!AB107)</f>
        <v>0</v>
      </c>
      <c r="X98" s="12" t="n">
        <f aca="false">IF('Raw Data'!AC107="",0,'Raw Data'!AC107)</f>
        <v>0</v>
      </c>
      <c r="Y98" s="12" t="n">
        <f aca="false">IF('Raw Data'!AD107="",0,'Raw Data'!AD107)</f>
        <v>0</v>
      </c>
      <c r="Z98" s="12" t="n">
        <f aca="false">IF('Raw Data'!AE107="",0,'Raw Data'!AE107)</f>
        <v>0</v>
      </c>
      <c r="AA98" s="12" t="n">
        <f aca="false">IF('Raw Data'!AF107="",0,'Raw Data'!AF107)</f>
        <v>825</v>
      </c>
      <c r="AB98" s="12" t="n">
        <f aca="false">IF('Raw Data'!AG107="",0,'Raw Data'!AG107)</f>
        <v>1100</v>
      </c>
      <c r="AC98" s="12" t="n">
        <f aca="false">IF('Raw Data'!AH107="",0,'Raw Data'!AH107)</f>
        <v>1100</v>
      </c>
      <c r="AD98" s="12" t="n">
        <f aca="false">IF('Raw Data'!AI107="",0,'Raw Data'!AI107)</f>
        <v>1100</v>
      </c>
      <c r="AE98" s="12" t="n">
        <f aca="false">IF('Raw Data'!AJ107="",0,'Raw Data'!AJ107)</f>
        <v>1100</v>
      </c>
      <c r="AF98" s="12" t="n">
        <f aca="false">IF('Raw Data'!AK107="",0,'Raw Data'!AK107)</f>
        <v>1100</v>
      </c>
      <c r="AG98" s="12" t="n">
        <f aca="false">IF('Raw Data'!AL107="",0,'Raw Data'!AL107)</f>
        <v>1100</v>
      </c>
      <c r="AH98" s="12" t="n">
        <f aca="false">IF('Raw Data'!AM107="",0,'Raw Data'!AM107)</f>
        <v>1100</v>
      </c>
      <c r="AI98" s="12" t="n">
        <f aca="false">IF('Raw Data'!AN107="",0,'Raw Data'!AN107)</f>
        <v>1100</v>
      </c>
      <c r="AJ98" s="12" t="n">
        <f aca="false">IF('Raw Data'!AO107="",0,'Raw Data'!AO107)</f>
        <v>1100</v>
      </c>
      <c r="AK98" s="12" t="n">
        <f aca="false">IF('Raw Data'!AP107="",0,'Raw Data'!AP107)</f>
        <v>1100</v>
      </c>
      <c r="AL98" s="12" t="n">
        <f aca="false">IF('Raw Data'!AQ107="",0,'Raw Data'!AQ107)</f>
        <v>1100</v>
      </c>
      <c r="AM98" s="12" t="n">
        <f aca="false">IF('Raw Data'!AR107="",0,'Raw Data'!AR107)</f>
        <v>1237.5</v>
      </c>
      <c r="AN98" s="12" t="n">
        <f aca="false">IF('Raw Data'!AS107="",0,'Raw Data'!AS107)</f>
        <v>1237.5</v>
      </c>
      <c r="AO98" s="12" t="n">
        <f aca="false">IF('Raw Data'!AT107="",0,'Raw Data'!AT107)</f>
        <v>1237.5</v>
      </c>
      <c r="AP98" s="12" t="n">
        <f aca="false">IF('Raw Data'!AU107="",0,'Raw Data'!AU107)</f>
        <v>1237.5</v>
      </c>
      <c r="AQ98" s="12" t="n">
        <f aca="false">IF('Raw Data'!AV107="",0,'Raw Data'!AV107)</f>
        <v>1237.5</v>
      </c>
      <c r="AR98" s="12" t="n">
        <f aca="false">IF('Raw Data'!AW107="",0,'Raw Data'!AW107)</f>
        <v>1237.5</v>
      </c>
      <c r="AS98" s="12" t="n">
        <f aca="false">IF('Raw Data'!AX107="",0,'Raw Data'!AX107)</f>
        <v>1237.5</v>
      </c>
      <c r="AT98" s="12" t="n">
        <f aca="false">IF('Raw Data'!AY107="",0,'Raw Data'!AY107)</f>
        <v>1237.5</v>
      </c>
      <c r="AU98" s="12" t="n">
        <f aca="false">IF('Raw Data'!AZ107="",0,'Raw Data'!AZ107)</f>
        <v>1237.5</v>
      </c>
      <c r="AV98" s="12" t="n">
        <f aca="false">IF('Raw Data'!BA107="",0,'Raw Data'!BA107)</f>
        <v>1237.5</v>
      </c>
      <c r="AW98" s="12" t="n">
        <f aca="false">IF('Raw Data'!BB107="",0,'Raw Data'!BB107)</f>
        <v>1237.5</v>
      </c>
      <c r="AX98" s="12" t="n">
        <f aca="false">IF('Raw Data'!BC107="",0,'Raw Data'!BC107)</f>
        <v>1237.5</v>
      </c>
      <c r="AY98" s="12" t="n">
        <f aca="false">IF('Raw Data'!BD107="",0,'Raw Data'!BD107)</f>
        <v>0</v>
      </c>
      <c r="AZ98" s="12" t="n">
        <f aca="false">IF('Raw Data'!BE107="",0,'Raw Data'!BE107)</f>
        <v>0</v>
      </c>
      <c r="BA98" s="12" t="n">
        <f aca="false">IF('Raw Data'!BF107="",0,'Raw Data'!BF107)</f>
        <v>0</v>
      </c>
      <c r="BB98" s="12" t="n">
        <f aca="false">IF('Raw Data'!BG107="",0,'Raw Data'!BG107)</f>
        <v>0</v>
      </c>
      <c r="BC98" s="12" t="n">
        <f aca="false">IF('Raw Data'!BH107="",0,'Raw Data'!BH107)</f>
        <v>0</v>
      </c>
      <c r="BD98" s="12" t="n">
        <f aca="false">IF('Raw Data'!BI107="",0,'Raw Data'!BI107)</f>
        <v>0</v>
      </c>
      <c r="BE98" s="12" t="n">
        <f aca="false">IF('Raw Data'!BJ107="",0,'Raw Data'!BJ107)</f>
        <v>0</v>
      </c>
      <c r="BF98" s="12" t="n">
        <f aca="false">IF('Raw Data'!BK107="",0,'Raw Data'!BK107)</f>
        <v>0</v>
      </c>
      <c r="BG98" s="12" t="n">
        <f aca="false">IF('Raw Data'!BL107="",0,'Raw Data'!BL107)</f>
        <v>0</v>
      </c>
      <c r="BH98" s="12" t="n">
        <f aca="false">IF('Raw Data'!BM107="",0,'Raw Data'!BM107)</f>
        <v>0</v>
      </c>
      <c r="BI98" s="12" t="n">
        <f aca="false">IF('Raw Data'!BN107="",0,'Raw Data'!BN107)</f>
        <v>0</v>
      </c>
      <c r="BJ98" s="12" t="n">
        <f aca="false">IF('Raw Data'!BO107="",0,'Raw Data'!BO107)</f>
        <v>0</v>
      </c>
      <c r="BK98" s="12" t="n">
        <f aca="false">IF('Raw Data'!BP107="",0,'Raw Data'!BP107)</f>
        <v>0</v>
      </c>
      <c r="BL98" s="12" t="n">
        <f aca="false">IF('Raw Data'!BQ107="",0,'Raw Data'!BQ107)</f>
        <v>0</v>
      </c>
      <c r="BM98" s="12" t="n">
        <f aca="false">IF('Raw Data'!BR107="",0,'Raw Data'!BR107)</f>
        <v>0</v>
      </c>
      <c r="BN98" s="12" t="n">
        <f aca="false">IF('Raw Data'!BS107="",0,'Raw Data'!BS107)</f>
        <v>0</v>
      </c>
      <c r="BO98" s="21" t="b">
        <f aca="false">FALSE()</f>
        <v>0</v>
      </c>
    </row>
    <row r="99" customFormat="false" ht="15" hidden="false" customHeight="false" outlineLevel="0" collapsed="false">
      <c r="A99" s="20" t="str">
        <f aca="false">'Raw Data'!A108</f>
        <v>Local Account #98 from MA</v>
      </c>
      <c r="B99" s="12" t="n">
        <f aca="false">IF('Raw Data'!G108="",0,'Raw Data'!G108)</f>
        <v>0</v>
      </c>
      <c r="C99" s="12" t="n">
        <f aca="false">IF('Raw Data'!H108="",0,'Raw Data'!H108)</f>
        <v>0</v>
      </c>
      <c r="D99" s="12" t="n">
        <f aca="false">IF('Raw Data'!I108="",0,'Raw Data'!I108)</f>
        <v>0</v>
      </c>
      <c r="E99" s="12" t="n">
        <f aca="false">IF('Raw Data'!J108="",0,'Raw Data'!J108)</f>
        <v>0</v>
      </c>
      <c r="F99" s="12" t="n">
        <f aca="false">IF('Raw Data'!K108="",0,'Raw Data'!K108)</f>
        <v>0</v>
      </c>
      <c r="G99" s="12" t="n">
        <f aca="false">IF('Raw Data'!L108="",0,'Raw Data'!L108)</f>
        <v>0</v>
      </c>
      <c r="H99" s="12" t="n">
        <f aca="false">IF('Raw Data'!M108="",0,'Raw Data'!M108)</f>
        <v>0</v>
      </c>
      <c r="I99" s="12" t="n">
        <f aca="false">IF('Raw Data'!N108="",0,'Raw Data'!N108)</f>
        <v>0</v>
      </c>
      <c r="J99" s="12" t="n">
        <f aca="false">IF('Raw Data'!O108="",0,'Raw Data'!O108)</f>
        <v>0</v>
      </c>
      <c r="K99" s="12" t="n">
        <f aca="false">IF('Raw Data'!P108="",0,'Raw Data'!P108)</f>
        <v>0</v>
      </c>
      <c r="L99" s="12" t="n">
        <f aca="false">IF('Raw Data'!Q108="",0,'Raw Data'!Q108)</f>
        <v>66.67</v>
      </c>
      <c r="M99" s="12" t="n">
        <f aca="false">IF('Raw Data'!R108="",0,'Raw Data'!R108)</f>
        <v>66.67</v>
      </c>
      <c r="N99" s="12" t="n">
        <f aca="false">IF('Raw Data'!S108="",0,'Raw Data'!S108)</f>
        <v>66.67</v>
      </c>
      <c r="O99" s="12" t="n">
        <f aca="false">IF('Raw Data'!T108="",0,'Raw Data'!T108)</f>
        <v>66.67</v>
      </c>
      <c r="P99" s="12" t="n">
        <f aca="false">IF('Raw Data'!U108="",0,'Raw Data'!U108)</f>
        <v>66.67</v>
      </c>
      <c r="Q99" s="12" t="n">
        <f aca="false">IF('Raw Data'!V108="",0,'Raw Data'!V108)</f>
        <v>66.67</v>
      </c>
      <c r="R99" s="12" t="n">
        <f aca="false">IF('Raw Data'!W108="",0,'Raw Data'!W108)</f>
        <v>66.67</v>
      </c>
      <c r="S99" s="12" t="n">
        <f aca="false">IF('Raw Data'!X108="",0,'Raw Data'!X108)</f>
        <v>0</v>
      </c>
      <c r="T99" s="12" t="n">
        <f aca="false">IF('Raw Data'!Y108="",0,'Raw Data'!Y108)</f>
        <v>0</v>
      </c>
      <c r="U99" s="12" t="n">
        <f aca="false">IF('Raw Data'!Z108="",0,'Raw Data'!Z108)</f>
        <v>0</v>
      </c>
      <c r="V99" s="12" t="n">
        <f aca="false">IF('Raw Data'!AA108="",0,'Raw Data'!AA108)</f>
        <v>0</v>
      </c>
      <c r="W99" s="12" t="n">
        <f aca="false">IF('Raw Data'!AB108="",0,'Raw Data'!AB108)</f>
        <v>0</v>
      </c>
      <c r="X99" s="12" t="n">
        <f aca="false">IF('Raw Data'!AC108="",0,'Raw Data'!AC108)</f>
        <v>0</v>
      </c>
      <c r="Y99" s="12" t="n">
        <f aca="false">IF('Raw Data'!AD108="",0,'Raw Data'!AD108)</f>
        <v>0</v>
      </c>
      <c r="Z99" s="12" t="n">
        <f aca="false">IF('Raw Data'!AE108="",0,'Raw Data'!AE108)</f>
        <v>0</v>
      </c>
      <c r="AA99" s="12" t="n">
        <f aca="false">IF('Raw Data'!AF108="",0,'Raw Data'!AF108)</f>
        <v>0</v>
      </c>
      <c r="AB99" s="12" t="n">
        <f aca="false">IF('Raw Data'!AG108="",0,'Raw Data'!AG108)</f>
        <v>0</v>
      </c>
      <c r="AC99" s="12" t="n">
        <f aca="false">IF('Raw Data'!AH108="",0,'Raw Data'!AH108)</f>
        <v>0</v>
      </c>
      <c r="AD99" s="12" t="n">
        <f aca="false">IF('Raw Data'!AI108="",0,'Raw Data'!AI108)</f>
        <v>0</v>
      </c>
      <c r="AE99" s="12" t="n">
        <f aca="false">IF('Raw Data'!AJ108="",0,'Raw Data'!AJ108)</f>
        <v>0</v>
      </c>
      <c r="AF99" s="12" t="n">
        <f aca="false">IF('Raw Data'!AK108="",0,'Raw Data'!AK108)</f>
        <v>0</v>
      </c>
      <c r="AG99" s="12" t="n">
        <f aca="false">IF('Raw Data'!AL108="",0,'Raw Data'!AL108)</f>
        <v>0</v>
      </c>
      <c r="AH99" s="12" t="n">
        <f aca="false">IF('Raw Data'!AM108="",0,'Raw Data'!AM108)</f>
        <v>0</v>
      </c>
      <c r="AI99" s="12" t="n">
        <f aca="false">IF('Raw Data'!AN108="",0,'Raw Data'!AN108)</f>
        <v>0</v>
      </c>
      <c r="AJ99" s="12" t="n">
        <f aca="false">IF('Raw Data'!AO108="",0,'Raw Data'!AO108)</f>
        <v>0</v>
      </c>
      <c r="AK99" s="12" t="n">
        <f aca="false">IF('Raw Data'!AP108="",0,'Raw Data'!AP108)</f>
        <v>0</v>
      </c>
      <c r="AL99" s="12" t="n">
        <f aca="false">IF('Raw Data'!AQ108="",0,'Raw Data'!AQ108)</f>
        <v>0</v>
      </c>
      <c r="AM99" s="12" t="n">
        <f aca="false">IF('Raw Data'!AR108="",0,'Raw Data'!AR108)</f>
        <v>0</v>
      </c>
      <c r="AN99" s="12" t="n">
        <f aca="false">IF('Raw Data'!AS108="",0,'Raw Data'!AS108)</f>
        <v>0</v>
      </c>
      <c r="AO99" s="12" t="n">
        <f aca="false">IF('Raw Data'!AT108="",0,'Raw Data'!AT108)</f>
        <v>0</v>
      </c>
      <c r="AP99" s="12" t="n">
        <f aca="false">IF('Raw Data'!AU108="",0,'Raw Data'!AU108)</f>
        <v>0</v>
      </c>
      <c r="AQ99" s="12" t="n">
        <f aca="false">IF('Raw Data'!AV108="",0,'Raw Data'!AV108)</f>
        <v>0</v>
      </c>
      <c r="AR99" s="12" t="n">
        <f aca="false">IF('Raw Data'!AW108="",0,'Raw Data'!AW108)</f>
        <v>0</v>
      </c>
      <c r="AS99" s="12" t="n">
        <f aca="false">IF('Raw Data'!AX108="",0,'Raw Data'!AX108)</f>
        <v>0</v>
      </c>
      <c r="AT99" s="12" t="n">
        <f aca="false">IF('Raw Data'!AY108="",0,'Raw Data'!AY108)</f>
        <v>0</v>
      </c>
      <c r="AU99" s="12" t="n">
        <f aca="false">IF('Raw Data'!AZ108="",0,'Raw Data'!AZ108)</f>
        <v>0</v>
      </c>
      <c r="AV99" s="12" t="n">
        <f aca="false">IF('Raw Data'!BA108="",0,'Raw Data'!BA108)</f>
        <v>0</v>
      </c>
      <c r="AW99" s="12" t="n">
        <f aca="false">IF('Raw Data'!BB108="",0,'Raw Data'!BB108)</f>
        <v>0</v>
      </c>
      <c r="AX99" s="12" t="n">
        <f aca="false">IF('Raw Data'!BC108="",0,'Raw Data'!BC108)</f>
        <v>0</v>
      </c>
      <c r="AY99" s="12" t="n">
        <f aca="false">IF('Raw Data'!BD108="",0,'Raw Data'!BD108)</f>
        <v>0</v>
      </c>
      <c r="AZ99" s="12" t="n">
        <f aca="false">IF('Raw Data'!BE108="",0,'Raw Data'!BE108)</f>
        <v>0</v>
      </c>
      <c r="BA99" s="12" t="n">
        <f aca="false">IF('Raw Data'!BF108="",0,'Raw Data'!BF108)</f>
        <v>0</v>
      </c>
      <c r="BB99" s="12" t="n">
        <f aca="false">IF('Raw Data'!BG108="",0,'Raw Data'!BG108)</f>
        <v>0</v>
      </c>
      <c r="BC99" s="12" t="n">
        <f aca="false">IF('Raw Data'!BH108="",0,'Raw Data'!BH108)</f>
        <v>0</v>
      </c>
      <c r="BD99" s="12" t="n">
        <f aca="false">IF('Raw Data'!BI108="",0,'Raw Data'!BI108)</f>
        <v>0</v>
      </c>
      <c r="BE99" s="12" t="n">
        <f aca="false">IF('Raw Data'!BJ108="",0,'Raw Data'!BJ108)</f>
        <v>0</v>
      </c>
      <c r="BF99" s="12" t="n">
        <f aca="false">IF('Raw Data'!BK108="",0,'Raw Data'!BK108)</f>
        <v>0</v>
      </c>
      <c r="BG99" s="12" t="n">
        <f aca="false">IF('Raw Data'!BL108="",0,'Raw Data'!BL108)</f>
        <v>0</v>
      </c>
      <c r="BH99" s="12" t="n">
        <f aca="false">IF('Raw Data'!BM108="",0,'Raw Data'!BM108)</f>
        <v>0</v>
      </c>
      <c r="BI99" s="12" t="n">
        <f aca="false">IF('Raw Data'!BN108="",0,'Raw Data'!BN108)</f>
        <v>0</v>
      </c>
      <c r="BJ99" s="12" t="n">
        <f aca="false">IF('Raw Data'!BO108="",0,'Raw Data'!BO108)</f>
        <v>0</v>
      </c>
      <c r="BK99" s="12" t="n">
        <f aca="false">IF('Raw Data'!BP108="",0,'Raw Data'!BP108)</f>
        <v>0</v>
      </c>
      <c r="BL99" s="12" t="n">
        <f aca="false">IF('Raw Data'!BQ108="",0,'Raw Data'!BQ108)</f>
        <v>0</v>
      </c>
      <c r="BM99" s="12" t="n">
        <f aca="false">IF('Raw Data'!BR108="",0,'Raw Data'!BR108)</f>
        <v>0</v>
      </c>
      <c r="BN99" s="12" t="n">
        <f aca="false">IF('Raw Data'!BS108="",0,'Raw Data'!BS108)</f>
        <v>0</v>
      </c>
      <c r="BO99" s="21" t="b">
        <f aca="false">FALSE()</f>
        <v>0</v>
      </c>
    </row>
    <row r="100" customFormat="false" ht="15" hidden="false" customHeight="false" outlineLevel="0" collapsed="false">
      <c r="A100" s="20" t="str">
        <f aca="false">'Raw Data'!A23</f>
        <v>State Account #12 from MA</v>
      </c>
      <c r="B100" s="12" t="n">
        <f aca="false">IF('Raw Data'!G23="",0,'Raw Data'!G23)</f>
        <v>0</v>
      </c>
      <c r="C100" s="12" t="n">
        <f aca="false">IF('Raw Data'!H23="",0,'Raw Data'!H23)</f>
        <v>0</v>
      </c>
      <c r="D100" s="12" t="n">
        <f aca="false">IF('Raw Data'!I23="",0,'Raw Data'!I23)</f>
        <v>0</v>
      </c>
      <c r="E100" s="12" t="n">
        <f aca="false">IF('Raw Data'!J23="",0,'Raw Data'!J23)</f>
        <v>0</v>
      </c>
      <c r="F100" s="12" t="n">
        <f aca="false">IF('Raw Data'!K23="",0,'Raw Data'!K23)</f>
        <v>0</v>
      </c>
      <c r="G100" s="12" t="n">
        <f aca="false">IF('Raw Data'!L23="",0,'Raw Data'!L23)</f>
        <v>0</v>
      </c>
      <c r="H100" s="12" t="n">
        <f aca="false">IF('Raw Data'!M23="",0,'Raw Data'!M23)</f>
        <v>0</v>
      </c>
      <c r="I100" s="12" t="n">
        <f aca="false">IF('Raw Data'!N23="",0,'Raw Data'!N23)</f>
        <v>0</v>
      </c>
      <c r="J100" s="12" t="n">
        <f aca="false">IF('Raw Data'!O23="",0,'Raw Data'!O23)</f>
        <v>0</v>
      </c>
      <c r="K100" s="12" t="n">
        <f aca="false">IF('Raw Data'!P23="",0,'Raw Data'!P23)</f>
        <v>0</v>
      </c>
      <c r="L100" s="12" t="n">
        <f aca="false">IF('Raw Data'!Q23="",0,'Raw Data'!Q23)</f>
        <v>0</v>
      </c>
      <c r="M100" s="12" t="n">
        <f aca="false">IF('Raw Data'!R23="",0,'Raw Data'!R23)</f>
        <v>0</v>
      </c>
      <c r="N100" s="12" t="n">
        <f aca="false">IF('Raw Data'!S23="",0,'Raw Data'!S23)</f>
        <v>0</v>
      </c>
      <c r="O100" s="12" t="n">
        <f aca="false">IF('Raw Data'!T23="",0,'Raw Data'!T23)</f>
        <v>0</v>
      </c>
      <c r="P100" s="12" t="n">
        <f aca="false">IF('Raw Data'!U23="",0,'Raw Data'!U23)</f>
        <v>0</v>
      </c>
      <c r="Q100" s="12" t="n">
        <f aca="false">IF('Raw Data'!V23="",0,'Raw Data'!V23)</f>
        <v>0</v>
      </c>
      <c r="R100" s="12" t="n">
        <f aca="false">IF('Raw Data'!W23="",0,'Raw Data'!W23)</f>
        <v>0</v>
      </c>
      <c r="S100" s="12" t="n">
        <f aca="false">IF('Raw Data'!X23="",0,'Raw Data'!X23)</f>
        <v>0</v>
      </c>
      <c r="T100" s="12" t="n">
        <f aca="false">IF('Raw Data'!Y23="",0,'Raw Data'!Y23)</f>
        <v>0</v>
      </c>
      <c r="U100" s="12" t="n">
        <f aca="false">IF('Raw Data'!Z23="",0,'Raw Data'!Z23)</f>
        <v>0</v>
      </c>
      <c r="V100" s="12" t="n">
        <f aca="false">IF('Raw Data'!AA23="",0,'Raw Data'!AA23)</f>
        <v>0</v>
      </c>
      <c r="W100" s="12" t="n">
        <f aca="false">IF('Raw Data'!AB23="",0,'Raw Data'!AB23)</f>
        <v>0</v>
      </c>
      <c r="X100" s="12" t="n">
        <f aca="false">IF('Raw Data'!AC23="",0,'Raw Data'!AC23)</f>
        <v>0</v>
      </c>
      <c r="Y100" s="12" t="n">
        <f aca="false">IF('Raw Data'!AD23="",0,'Raw Data'!AD23)</f>
        <v>0</v>
      </c>
      <c r="Z100" s="12" t="n">
        <f aca="false">IF('Raw Data'!AE23="",0,'Raw Data'!AE23)</f>
        <v>0</v>
      </c>
      <c r="AA100" s="12" t="n">
        <f aca="false">IF('Raw Data'!AF23="",0,'Raw Data'!AF23)</f>
        <v>0</v>
      </c>
      <c r="AB100" s="12" t="n">
        <f aca="false">IF('Raw Data'!AG23="",0,'Raw Data'!AG23)</f>
        <v>0</v>
      </c>
      <c r="AC100" s="12" t="n">
        <f aca="false">IF('Raw Data'!AH23="",0,'Raw Data'!AH23)</f>
        <v>0</v>
      </c>
      <c r="AD100" s="12" t="n">
        <f aca="false">IF('Raw Data'!AI23="",0,'Raw Data'!AI23)</f>
        <v>0</v>
      </c>
      <c r="AE100" s="12" t="n">
        <f aca="false">IF('Raw Data'!AJ23="",0,'Raw Data'!AJ23)</f>
        <v>0</v>
      </c>
      <c r="AF100" s="12" t="n">
        <f aca="false">IF('Raw Data'!AK23="",0,'Raw Data'!AK23)</f>
        <v>0</v>
      </c>
      <c r="AG100" s="12" t="n">
        <f aca="false">IF('Raw Data'!AL23="",0,'Raw Data'!AL23)</f>
        <v>0</v>
      </c>
      <c r="AH100" s="12" t="n">
        <f aca="false">IF('Raw Data'!AM23="",0,'Raw Data'!AM23)</f>
        <v>0</v>
      </c>
      <c r="AI100" s="12" t="n">
        <f aca="false">IF('Raw Data'!AN23="",0,'Raw Data'!AN23)</f>
        <v>0</v>
      </c>
      <c r="AJ100" s="12" t="n">
        <f aca="false">IF('Raw Data'!AO23="",0,'Raw Data'!AO23)</f>
        <v>0</v>
      </c>
      <c r="AK100" s="12" t="n">
        <f aca="false">IF('Raw Data'!AP23="",0,'Raw Data'!AP23)</f>
        <v>0</v>
      </c>
      <c r="AL100" s="12" t="n">
        <f aca="false">IF('Raw Data'!AQ23="",0,'Raw Data'!AQ23)</f>
        <v>0</v>
      </c>
      <c r="AM100" s="12" t="n">
        <f aca="false">IF('Raw Data'!AR23="",0,'Raw Data'!AR23)</f>
        <v>0</v>
      </c>
      <c r="AN100" s="12" t="n">
        <f aca="false">IF('Raw Data'!AS23="",0,'Raw Data'!AS23)</f>
        <v>0</v>
      </c>
      <c r="AO100" s="12" t="n">
        <f aca="false">IF('Raw Data'!AT23="",0,'Raw Data'!AT23)</f>
        <v>0</v>
      </c>
      <c r="AP100" s="12" t="n">
        <f aca="false">IF('Raw Data'!AU23="",0,'Raw Data'!AU23)</f>
        <v>0</v>
      </c>
      <c r="AQ100" s="12" t="n">
        <f aca="false">IF('Raw Data'!AV23="",0,'Raw Data'!AV23)</f>
        <v>2250</v>
      </c>
      <c r="AR100" s="12" t="n">
        <f aca="false">IF('Raw Data'!AW23="",0,'Raw Data'!AW23)</f>
        <v>2250</v>
      </c>
      <c r="AS100" s="12" t="n">
        <f aca="false">IF('Raw Data'!AX23="",0,'Raw Data'!AX23)</f>
        <v>2250</v>
      </c>
      <c r="AT100" s="12" t="n">
        <f aca="false">IF('Raw Data'!AY23="",0,'Raw Data'!AY23)</f>
        <v>2250</v>
      </c>
      <c r="AU100" s="12" t="n">
        <f aca="false">IF('Raw Data'!AZ23="",0,'Raw Data'!AZ23)</f>
        <v>2250</v>
      </c>
      <c r="AV100" s="12" t="n">
        <f aca="false">IF('Raw Data'!BA23="",0,'Raw Data'!BA23)</f>
        <v>2250</v>
      </c>
      <c r="AW100" s="12" t="n">
        <f aca="false">IF('Raw Data'!BB23="",0,'Raw Data'!BB23)</f>
        <v>2250</v>
      </c>
      <c r="AX100" s="12" t="n">
        <f aca="false">IF('Raw Data'!BC23="",0,'Raw Data'!BC23)</f>
        <v>2250</v>
      </c>
      <c r="AY100" s="12" t="n">
        <f aca="false">IF('Raw Data'!BD23="",0,'Raw Data'!BD23)</f>
        <v>2250</v>
      </c>
      <c r="AZ100" s="12" t="n">
        <f aca="false">IF('Raw Data'!BE23="",0,'Raw Data'!BE23)</f>
        <v>2250</v>
      </c>
      <c r="BA100" s="12" t="n">
        <f aca="false">IF('Raw Data'!BF23="",0,'Raw Data'!BF23)</f>
        <v>2250</v>
      </c>
      <c r="BB100" s="12" t="n">
        <f aca="false">IF('Raw Data'!BG23="",0,'Raw Data'!BG23)</f>
        <v>2250</v>
      </c>
      <c r="BC100" s="12" t="n">
        <f aca="false">IF('Raw Data'!BH23="",0,'Raw Data'!BH23)</f>
        <v>2250</v>
      </c>
      <c r="BD100" s="12" t="n">
        <f aca="false">IF('Raw Data'!BI23="",0,'Raw Data'!BI23)</f>
        <v>2437.5</v>
      </c>
      <c r="BE100" s="12" t="n">
        <f aca="false">IF('Raw Data'!BJ23="",0,'Raw Data'!BJ23)</f>
        <v>3385.44</v>
      </c>
      <c r="BF100" s="12" t="n">
        <f aca="false">IF('Raw Data'!BK23="",0,'Raw Data'!BK23)</f>
        <v>3385.44</v>
      </c>
      <c r="BG100" s="12" t="n">
        <f aca="false">IF('Raw Data'!BL23="",0,'Raw Data'!BL23)</f>
        <v>3385.44</v>
      </c>
      <c r="BH100" s="12" t="n">
        <f aca="false">IF('Raw Data'!BM23="",0,'Raw Data'!BM23)</f>
        <v>3385.44</v>
      </c>
      <c r="BI100" s="12" t="n">
        <f aca="false">IF('Raw Data'!BN23="",0,'Raw Data'!BN23)</f>
        <v>3385.44</v>
      </c>
      <c r="BJ100" s="12" t="n">
        <f aca="false">IF('Raw Data'!BO23="",0,'Raw Data'!BO23)</f>
        <v>3385.44</v>
      </c>
      <c r="BK100" s="12" t="n">
        <f aca="false">IF('Raw Data'!BP23="",0,'Raw Data'!BP23)</f>
        <v>3385.44</v>
      </c>
      <c r="BL100" s="12" t="n">
        <f aca="false">IF('Raw Data'!BQ23="",0,'Raw Data'!BQ23)</f>
        <v>3791.7</v>
      </c>
      <c r="BM100" s="12" t="n">
        <f aca="false">IF('Raw Data'!BR23="",0,'Raw Data'!BR23)</f>
        <v>3791.7</v>
      </c>
      <c r="BN100" s="12" t="n">
        <f aca="false">IF('Raw Data'!BS23="",0,'Raw Data'!BS23)</f>
        <v>3791.7</v>
      </c>
      <c r="BO100" s="21" t="b">
        <f aca="false">FALSE()</f>
        <v>0</v>
      </c>
    </row>
    <row r="101" customFormat="false" ht="15" hidden="false" customHeight="false" outlineLevel="0" collapsed="false">
      <c r="A101" s="20" t="str">
        <f aca="false">'Raw Data'!A25</f>
        <v>State Account #14 from MD</v>
      </c>
      <c r="B101" s="12" t="n">
        <f aca="false">IF('Raw Data'!G25="",0,'Raw Data'!G25)</f>
        <v>0</v>
      </c>
      <c r="C101" s="12" t="n">
        <f aca="false">IF('Raw Data'!H25="",0,'Raw Data'!H25)</f>
        <v>0</v>
      </c>
      <c r="D101" s="12" t="n">
        <f aca="false">IF('Raw Data'!I25="",0,'Raw Data'!I25)</f>
        <v>0</v>
      </c>
      <c r="E101" s="12" t="n">
        <f aca="false">IF('Raw Data'!J25="",0,'Raw Data'!J25)</f>
        <v>0</v>
      </c>
      <c r="F101" s="12" t="n">
        <f aca="false">IF('Raw Data'!K25="",0,'Raw Data'!K25)</f>
        <v>0</v>
      </c>
      <c r="G101" s="12" t="n">
        <f aca="false">IF('Raw Data'!L25="",0,'Raw Data'!L25)</f>
        <v>0</v>
      </c>
      <c r="H101" s="12" t="n">
        <f aca="false">IF('Raw Data'!M25="",0,'Raw Data'!M25)</f>
        <v>0</v>
      </c>
      <c r="I101" s="12" t="n">
        <f aca="false">IF('Raw Data'!N25="",0,'Raw Data'!N25)</f>
        <v>0</v>
      </c>
      <c r="J101" s="12" t="n">
        <f aca="false">IF('Raw Data'!O25="",0,'Raw Data'!O25)</f>
        <v>0</v>
      </c>
      <c r="K101" s="12" t="n">
        <f aca="false">IF('Raw Data'!P25="",0,'Raw Data'!P25)</f>
        <v>0</v>
      </c>
      <c r="L101" s="12" t="n">
        <f aca="false">IF('Raw Data'!Q25="",0,'Raw Data'!Q25)</f>
        <v>0</v>
      </c>
      <c r="M101" s="12" t="n">
        <f aca="false">IF('Raw Data'!R25="",0,'Raw Data'!R25)</f>
        <v>0</v>
      </c>
      <c r="N101" s="12" t="n">
        <f aca="false">IF('Raw Data'!S25="",0,'Raw Data'!S25)</f>
        <v>0</v>
      </c>
      <c r="O101" s="12" t="n">
        <f aca="false">IF('Raw Data'!T25="",0,'Raw Data'!T25)</f>
        <v>0</v>
      </c>
      <c r="P101" s="12" t="n">
        <f aca="false">IF('Raw Data'!U25="",0,'Raw Data'!U25)</f>
        <v>0</v>
      </c>
      <c r="Q101" s="12" t="n">
        <f aca="false">IF('Raw Data'!V25="",0,'Raw Data'!V25)</f>
        <v>0</v>
      </c>
      <c r="R101" s="12" t="n">
        <f aca="false">IF('Raw Data'!W25="",0,'Raw Data'!W25)</f>
        <v>0</v>
      </c>
      <c r="S101" s="12" t="n">
        <f aca="false">IF('Raw Data'!X25="",0,'Raw Data'!X25)</f>
        <v>0</v>
      </c>
      <c r="T101" s="12" t="n">
        <f aca="false">IF('Raw Data'!Y25="",0,'Raw Data'!Y25)</f>
        <v>0</v>
      </c>
      <c r="U101" s="12" t="n">
        <f aca="false">IF('Raw Data'!Z25="",0,'Raw Data'!Z25)</f>
        <v>0</v>
      </c>
      <c r="V101" s="12" t="n">
        <f aca="false">IF('Raw Data'!AA25="",0,'Raw Data'!AA25)</f>
        <v>0</v>
      </c>
      <c r="W101" s="12" t="n">
        <f aca="false">IF('Raw Data'!AB25="",0,'Raw Data'!AB25)</f>
        <v>0</v>
      </c>
      <c r="X101" s="12" t="n">
        <f aca="false">IF('Raw Data'!AC25="",0,'Raw Data'!AC25)</f>
        <v>0</v>
      </c>
      <c r="Y101" s="12" t="n">
        <f aca="false">IF('Raw Data'!AD25="",0,'Raw Data'!AD25)</f>
        <v>0</v>
      </c>
      <c r="Z101" s="12" t="n">
        <f aca="false">IF('Raw Data'!AE25="",0,'Raw Data'!AE25)</f>
        <v>0</v>
      </c>
      <c r="AA101" s="12" t="n">
        <f aca="false">IF('Raw Data'!AF25="",0,'Raw Data'!AF25)</f>
        <v>0</v>
      </c>
      <c r="AB101" s="12" t="n">
        <f aca="false">IF('Raw Data'!AG25="",0,'Raw Data'!AG25)</f>
        <v>0</v>
      </c>
      <c r="AC101" s="12" t="n">
        <f aca="false">IF('Raw Data'!AH25="",0,'Raw Data'!AH25)</f>
        <v>0</v>
      </c>
      <c r="AD101" s="12" t="n">
        <f aca="false">IF('Raw Data'!AI25="",0,'Raw Data'!AI25)</f>
        <v>0</v>
      </c>
      <c r="AE101" s="12" t="n">
        <f aca="false">IF('Raw Data'!AJ25="",0,'Raw Data'!AJ25)</f>
        <v>0</v>
      </c>
      <c r="AF101" s="12" t="n">
        <f aca="false">IF('Raw Data'!AK25="",0,'Raw Data'!AK25)</f>
        <v>0</v>
      </c>
      <c r="AG101" s="12" t="n">
        <f aca="false">IF('Raw Data'!AL25="",0,'Raw Data'!AL25)</f>
        <v>0</v>
      </c>
      <c r="AH101" s="12" t="n">
        <f aca="false">IF('Raw Data'!AM25="",0,'Raw Data'!AM25)</f>
        <v>0</v>
      </c>
      <c r="AI101" s="12" t="n">
        <f aca="false">IF('Raw Data'!AN25="",0,'Raw Data'!AN25)</f>
        <v>0</v>
      </c>
      <c r="AJ101" s="12" t="n">
        <f aca="false">IF('Raw Data'!AO25="",0,'Raw Data'!AO25)</f>
        <v>0</v>
      </c>
      <c r="AK101" s="12" t="n">
        <f aca="false">IF('Raw Data'!AP25="",0,'Raw Data'!AP25)</f>
        <v>0</v>
      </c>
      <c r="AL101" s="12" t="n">
        <f aca="false">IF('Raw Data'!AQ25="",0,'Raw Data'!AQ25)</f>
        <v>0</v>
      </c>
      <c r="AM101" s="12" t="n">
        <f aca="false">IF('Raw Data'!AR25="",0,'Raw Data'!AR25)</f>
        <v>0</v>
      </c>
      <c r="AN101" s="12" t="n">
        <f aca="false">IF('Raw Data'!AS25="",0,'Raw Data'!AS25)</f>
        <v>0</v>
      </c>
      <c r="AO101" s="12" t="n">
        <f aca="false">IF('Raw Data'!AT25="",0,'Raw Data'!AT25)</f>
        <v>0</v>
      </c>
      <c r="AP101" s="12" t="n">
        <f aca="false">IF('Raw Data'!AU25="",0,'Raw Data'!AU25)</f>
        <v>0</v>
      </c>
      <c r="AQ101" s="12" t="n">
        <f aca="false">IF('Raw Data'!AV25="",0,'Raw Data'!AV25)</f>
        <v>0</v>
      </c>
      <c r="AR101" s="12" t="n">
        <f aca="false">IF('Raw Data'!AW25="",0,'Raw Data'!AW25)</f>
        <v>0</v>
      </c>
      <c r="AS101" s="12" t="n">
        <f aca="false">IF('Raw Data'!AX25="",0,'Raw Data'!AX25)</f>
        <v>0</v>
      </c>
      <c r="AT101" s="12" t="n">
        <f aca="false">IF('Raw Data'!AY25="",0,'Raw Data'!AY25)</f>
        <v>0</v>
      </c>
      <c r="AU101" s="12" t="n">
        <f aca="false">IF('Raw Data'!AZ25="",0,'Raw Data'!AZ25)</f>
        <v>0</v>
      </c>
      <c r="AV101" s="12" t="n">
        <f aca="false">IF('Raw Data'!BA25="",0,'Raw Data'!BA25)</f>
        <v>0</v>
      </c>
      <c r="AW101" s="12" t="n">
        <f aca="false">IF('Raw Data'!BB25="",0,'Raw Data'!BB25)</f>
        <v>0</v>
      </c>
      <c r="AX101" s="12" t="n">
        <f aca="false">IF('Raw Data'!BC25="",0,'Raw Data'!BC25)</f>
        <v>0</v>
      </c>
      <c r="AY101" s="12" t="n">
        <f aca="false">IF('Raw Data'!BD25="",0,'Raw Data'!BD25)</f>
        <v>0</v>
      </c>
      <c r="AZ101" s="12" t="n">
        <f aca="false">IF('Raw Data'!BE25="",0,'Raw Data'!BE25)</f>
        <v>0</v>
      </c>
      <c r="BA101" s="12" t="n">
        <f aca="false">IF('Raw Data'!BF25="",0,'Raw Data'!BF25)</f>
        <v>4455</v>
      </c>
      <c r="BB101" s="12" t="n">
        <f aca="false">IF('Raw Data'!BG25="",0,'Raw Data'!BG25)</f>
        <v>4455</v>
      </c>
      <c r="BC101" s="12" t="n">
        <f aca="false">IF('Raw Data'!BH25="",0,'Raw Data'!BH25)</f>
        <v>4455</v>
      </c>
      <c r="BD101" s="12" t="n">
        <f aca="false">IF('Raw Data'!BI25="",0,'Raw Data'!BI25)</f>
        <v>4455</v>
      </c>
      <c r="BE101" s="12" t="n">
        <f aca="false">IF('Raw Data'!BJ25="",0,'Raw Data'!BJ25)</f>
        <v>4455</v>
      </c>
      <c r="BF101" s="12" t="n">
        <f aca="false">IF('Raw Data'!BK25="",0,'Raw Data'!BK25)</f>
        <v>4455</v>
      </c>
      <c r="BG101" s="12" t="n">
        <f aca="false">IF('Raw Data'!BL25="",0,'Raw Data'!BL25)</f>
        <v>4455</v>
      </c>
      <c r="BH101" s="12" t="n">
        <f aca="false">IF('Raw Data'!BM25="",0,'Raw Data'!BM25)</f>
        <v>4455</v>
      </c>
      <c r="BI101" s="12" t="n">
        <f aca="false">IF('Raw Data'!BN25="",0,'Raw Data'!BN25)</f>
        <v>4455</v>
      </c>
      <c r="BJ101" s="12" t="n">
        <f aca="false">IF('Raw Data'!BO25="",0,'Raw Data'!BO25)</f>
        <v>4455</v>
      </c>
      <c r="BK101" s="12" t="n">
        <f aca="false">IF('Raw Data'!BP25="",0,'Raw Data'!BP25)</f>
        <v>4455</v>
      </c>
      <c r="BL101" s="12" t="n">
        <f aca="false">IF('Raw Data'!BQ25="",0,'Raw Data'!BQ25)</f>
        <v>4455</v>
      </c>
      <c r="BM101" s="12" t="n">
        <f aca="false">IF('Raw Data'!BR25="",0,'Raw Data'!BR25)</f>
        <v>4455</v>
      </c>
      <c r="BN101" s="12" t="n">
        <f aca="false">IF('Raw Data'!BS25="",0,'Raw Data'!BS25)</f>
        <v>0</v>
      </c>
      <c r="BO101" s="21" t="b">
        <f aca="false">FALSE()</f>
        <v>0</v>
      </c>
    </row>
    <row r="102" customFormat="false" ht="15" hidden="false" customHeight="false" outlineLevel="0" collapsed="false">
      <c r="A102" s="20" t="str">
        <f aca="false">'Raw Data'!A26</f>
        <v>State Account #15 from OK</v>
      </c>
      <c r="B102" s="12" t="n">
        <f aca="false">IF('Raw Data'!G26="",0,'Raw Data'!G26)</f>
        <v>0</v>
      </c>
      <c r="C102" s="12" t="n">
        <f aca="false">IF('Raw Data'!H26="",0,'Raw Data'!H26)</f>
        <v>0</v>
      </c>
      <c r="D102" s="12" t="n">
        <f aca="false">IF('Raw Data'!I26="",0,'Raw Data'!I26)</f>
        <v>0</v>
      </c>
      <c r="E102" s="12" t="n">
        <f aca="false">IF('Raw Data'!J26="",0,'Raw Data'!J26)</f>
        <v>0</v>
      </c>
      <c r="F102" s="12" t="n">
        <f aca="false">IF('Raw Data'!K26="",0,'Raw Data'!K26)</f>
        <v>0</v>
      </c>
      <c r="G102" s="12" t="n">
        <f aca="false">IF('Raw Data'!L26="",0,'Raw Data'!L26)</f>
        <v>0</v>
      </c>
      <c r="H102" s="12" t="n">
        <f aca="false">IF('Raw Data'!M26="",0,'Raw Data'!M26)</f>
        <v>0</v>
      </c>
      <c r="I102" s="12" t="n">
        <f aca="false">IF('Raw Data'!N26="",0,'Raw Data'!N26)</f>
        <v>0</v>
      </c>
      <c r="J102" s="12" t="n">
        <f aca="false">IF('Raw Data'!O26="",0,'Raw Data'!O26)</f>
        <v>0</v>
      </c>
      <c r="K102" s="12" t="n">
        <f aca="false">IF('Raw Data'!P26="",0,'Raw Data'!P26)</f>
        <v>0</v>
      </c>
      <c r="L102" s="12" t="n">
        <f aca="false">IF('Raw Data'!Q26="",0,'Raw Data'!Q26)</f>
        <v>0</v>
      </c>
      <c r="M102" s="12" t="n">
        <f aca="false">IF('Raw Data'!R26="",0,'Raw Data'!R26)</f>
        <v>0</v>
      </c>
      <c r="N102" s="12" t="n">
        <f aca="false">IF('Raw Data'!S26="",0,'Raw Data'!S26)</f>
        <v>0</v>
      </c>
      <c r="O102" s="12" t="n">
        <f aca="false">IF('Raw Data'!T26="",0,'Raw Data'!T26)</f>
        <v>0</v>
      </c>
      <c r="P102" s="12" t="n">
        <f aca="false">IF('Raw Data'!U26="",0,'Raw Data'!U26)</f>
        <v>0</v>
      </c>
      <c r="Q102" s="12" t="n">
        <f aca="false">IF('Raw Data'!V26="",0,'Raw Data'!V26)</f>
        <v>0</v>
      </c>
      <c r="R102" s="12" t="n">
        <f aca="false">IF('Raw Data'!W26="",0,'Raw Data'!W26)</f>
        <v>0</v>
      </c>
      <c r="S102" s="12" t="n">
        <f aca="false">IF('Raw Data'!X26="",0,'Raw Data'!X26)</f>
        <v>0</v>
      </c>
      <c r="T102" s="12" t="n">
        <f aca="false">IF('Raw Data'!Y26="",0,'Raw Data'!Y26)</f>
        <v>0</v>
      </c>
      <c r="U102" s="12" t="n">
        <f aca="false">IF('Raw Data'!Z26="",0,'Raw Data'!Z26)</f>
        <v>0</v>
      </c>
      <c r="V102" s="12" t="n">
        <f aca="false">IF('Raw Data'!AA26="",0,'Raw Data'!AA26)</f>
        <v>0</v>
      </c>
      <c r="W102" s="12" t="n">
        <f aca="false">IF('Raw Data'!AB26="",0,'Raw Data'!AB26)</f>
        <v>0</v>
      </c>
      <c r="X102" s="12" t="n">
        <f aca="false">IF('Raw Data'!AC26="",0,'Raw Data'!AC26)</f>
        <v>0</v>
      </c>
      <c r="Y102" s="12" t="n">
        <f aca="false">IF('Raw Data'!AD26="",0,'Raw Data'!AD26)</f>
        <v>7925</v>
      </c>
      <c r="Z102" s="12" t="n">
        <f aca="false">IF('Raw Data'!AE26="",0,'Raw Data'!AE26)</f>
        <v>7925</v>
      </c>
      <c r="AA102" s="12" t="n">
        <f aca="false">IF('Raw Data'!AF26="",0,'Raw Data'!AF26)</f>
        <v>7925</v>
      </c>
      <c r="AB102" s="12" t="n">
        <f aca="false">IF('Raw Data'!AG26="",0,'Raw Data'!AG26)</f>
        <v>7925</v>
      </c>
      <c r="AC102" s="12" t="n">
        <f aca="false">IF('Raw Data'!AH26="",0,'Raw Data'!AH26)</f>
        <v>7925</v>
      </c>
      <c r="AD102" s="12" t="n">
        <f aca="false">IF('Raw Data'!AI26="",0,'Raw Data'!AI26)</f>
        <v>7925</v>
      </c>
      <c r="AE102" s="12" t="n">
        <f aca="false">IF('Raw Data'!AJ26="",0,'Raw Data'!AJ26)</f>
        <v>7925</v>
      </c>
      <c r="AF102" s="12" t="n">
        <f aca="false">IF('Raw Data'!AK26="",0,'Raw Data'!AK26)</f>
        <v>7925</v>
      </c>
      <c r="AG102" s="12" t="n">
        <f aca="false">IF('Raw Data'!AL26="",0,'Raw Data'!AL26)</f>
        <v>7925</v>
      </c>
      <c r="AH102" s="12" t="n">
        <f aca="false">IF('Raw Data'!AM26="",0,'Raw Data'!AM26)</f>
        <v>7925</v>
      </c>
      <c r="AI102" s="12" t="n">
        <f aca="false">IF('Raw Data'!AN26="",0,'Raw Data'!AN26)</f>
        <v>7925</v>
      </c>
      <c r="AJ102" s="12" t="n">
        <f aca="false">IF('Raw Data'!AO26="",0,'Raw Data'!AO26)</f>
        <v>7925</v>
      </c>
      <c r="AK102" s="12" t="n">
        <f aca="false">IF('Raw Data'!AP26="",0,'Raw Data'!AP26)</f>
        <v>0</v>
      </c>
      <c r="AL102" s="12" t="n">
        <f aca="false">IF('Raw Data'!AQ26="",0,'Raw Data'!AQ26)</f>
        <v>0</v>
      </c>
      <c r="AM102" s="12" t="n">
        <f aca="false">IF('Raw Data'!AR26="",0,'Raw Data'!AR26)</f>
        <v>0</v>
      </c>
      <c r="AN102" s="12" t="n">
        <f aca="false">IF('Raw Data'!AS26="",0,'Raw Data'!AS26)</f>
        <v>0</v>
      </c>
      <c r="AO102" s="12" t="n">
        <f aca="false">IF('Raw Data'!AT26="",0,'Raw Data'!AT26)</f>
        <v>0</v>
      </c>
      <c r="AP102" s="12" t="n">
        <f aca="false">IF('Raw Data'!AU26="",0,'Raw Data'!AU26)</f>
        <v>0</v>
      </c>
      <c r="AQ102" s="12" t="n">
        <f aca="false">IF('Raw Data'!AV26="",0,'Raw Data'!AV26)</f>
        <v>0</v>
      </c>
      <c r="AR102" s="12" t="n">
        <f aca="false">IF('Raw Data'!AW26="",0,'Raw Data'!AW26)</f>
        <v>0</v>
      </c>
      <c r="AS102" s="12" t="n">
        <f aca="false">IF('Raw Data'!AX26="",0,'Raw Data'!AX26)</f>
        <v>0</v>
      </c>
      <c r="AT102" s="12" t="n">
        <f aca="false">IF('Raw Data'!AY26="",0,'Raw Data'!AY26)</f>
        <v>0</v>
      </c>
      <c r="AU102" s="12" t="n">
        <f aca="false">IF('Raw Data'!AZ26="",0,'Raw Data'!AZ26)</f>
        <v>0</v>
      </c>
      <c r="AV102" s="12" t="n">
        <f aca="false">IF('Raw Data'!BA26="",0,'Raw Data'!BA26)</f>
        <v>0</v>
      </c>
      <c r="AW102" s="12" t="n">
        <f aca="false">IF('Raw Data'!BB26="",0,'Raw Data'!BB26)</f>
        <v>0</v>
      </c>
      <c r="AX102" s="12" t="n">
        <f aca="false">IF('Raw Data'!BC26="",0,'Raw Data'!BC26)</f>
        <v>0</v>
      </c>
      <c r="AY102" s="12" t="n">
        <f aca="false">IF('Raw Data'!BD26="",0,'Raw Data'!BD26)</f>
        <v>0</v>
      </c>
      <c r="AZ102" s="12" t="n">
        <f aca="false">IF('Raw Data'!BE26="",0,'Raw Data'!BE26)</f>
        <v>0</v>
      </c>
      <c r="BA102" s="12" t="n">
        <f aca="false">IF('Raw Data'!BF26="",0,'Raw Data'!BF26)</f>
        <v>0</v>
      </c>
      <c r="BB102" s="12" t="n">
        <f aca="false">IF('Raw Data'!BG26="",0,'Raw Data'!BG26)</f>
        <v>0</v>
      </c>
      <c r="BC102" s="12" t="n">
        <f aca="false">IF('Raw Data'!BH26="",0,'Raw Data'!BH26)</f>
        <v>0</v>
      </c>
      <c r="BD102" s="12" t="n">
        <f aca="false">IF('Raw Data'!BI26="",0,'Raw Data'!BI26)</f>
        <v>0</v>
      </c>
      <c r="BE102" s="12" t="n">
        <f aca="false">IF('Raw Data'!BJ26="",0,'Raw Data'!BJ26)</f>
        <v>0</v>
      </c>
      <c r="BF102" s="12" t="n">
        <f aca="false">IF('Raw Data'!BK26="",0,'Raw Data'!BK26)</f>
        <v>0</v>
      </c>
      <c r="BG102" s="12" t="n">
        <f aca="false">IF('Raw Data'!BL26="",0,'Raw Data'!BL26)</f>
        <v>0</v>
      </c>
      <c r="BH102" s="12" t="n">
        <f aca="false">IF('Raw Data'!BM26="",0,'Raw Data'!BM26)</f>
        <v>0</v>
      </c>
      <c r="BI102" s="12" t="n">
        <f aca="false">IF('Raw Data'!BN26="",0,'Raw Data'!BN26)</f>
        <v>0</v>
      </c>
      <c r="BJ102" s="12" t="n">
        <f aca="false">IF('Raw Data'!BO26="",0,'Raw Data'!BO26)</f>
        <v>0</v>
      </c>
      <c r="BK102" s="12" t="n">
        <f aca="false">IF('Raw Data'!BP26="",0,'Raw Data'!BP26)</f>
        <v>0</v>
      </c>
      <c r="BL102" s="12" t="n">
        <f aca="false">IF('Raw Data'!BQ26="",0,'Raw Data'!BQ26)</f>
        <v>0</v>
      </c>
      <c r="BM102" s="12" t="n">
        <f aca="false">IF('Raw Data'!BR26="",0,'Raw Data'!BR26)</f>
        <v>0</v>
      </c>
      <c r="BN102" s="12" t="n">
        <f aca="false">IF('Raw Data'!BS26="",0,'Raw Data'!BS26)</f>
        <v>0</v>
      </c>
      <c r="BO102" s="21" t="b">
        <f aca="false">FALSE()</f>
        <v>0</v>
      </c>
    </row>
    <row r="103" customFormat="false" ht="15" hidden="false" customHeight="false" outlineLevel="0" collapsed="false">
      <c r="A103" s="20" t="str">
        <f aca="false">'Raw Data'!A27</f>
        <v>State Account #16 from OK</v>
      </c>
      <c r="B103" s="12" t="n">
        <f aca="false">IF('Raw Data'!G27="",0,'Raw Data'!G27)</f>
        <v>0</v>
      </c>
      <c r="C103" s="12" t="n">
        <f aca="false">IF('Raw Data'!H27="",0,'Raw Data'!H27)</f>
        <v>0</v>
      </c>
      <c r="D103" s="12" t="n">
        <f aca="false">IF('Raw Data'!I27="",0,'Raw Data'!I27)</f>
        <v>0</v>
      </c>
      <c r="E103" s="12" t="n">
        <f aca="false">IF('Raw Data'!J27="",0,'Raw Data'!J27)</f>
        <v>0</v>
      </c>
      <c r="F103" s="12" t="n">
        <f aca="false">IF('Raw Data'!K27="",0,'Raw Data'!K27)</f>
        <v>0</v>
      </c>
      <c r="G103" s="12" t="n">
        <f aca="false">IF('Raw Data'!L27="",0,'Raw Data'!L27)</f>
        <v>0</v>
      </c>
      <c r="H103" s="12" t="n">
        <f aca="false">IF('Raw Data'!M27="",0,'Raw Data'!M27)</f>
        <v>0</v>
      </c>
      <c r="I103" s="12" t="n">
        <f aca="false">IF('Raw Data'!N27="",0,'Raw Data'!N27)</f>
        <v>0</v>
      </c>
      <c r="J103" s="12" t="n">
        <f aca="false">IF('Raw Data'!O27="",0,'Raw Data'!O27)</f>
        <v>0</v>
      </c>
      <c r="K103" s="12" t="n">
        <f aca="false">IF('Raw Data'!P27="",0,'Raw Data'!P27)</f>
        <v>0</v>
      </c>
      <c r="L103" s="12" t="n">
        <f aca="false">IF('Raw Data'!Q27="",0,'Raw Data'!Q27)</f>
        <v>0</v>
      </c>
      <c r="M103" s="12" t="n">
        <f aca="false">IF('Raw Data'!R27="",0,'Raw Data'!R27)</f>
        <v>0</v>
      </c>
      <c r="N103" s="12" t="n">
        <f aca="false">IF('Raw Data'!S27="",0,'Raw Data'!S27)</f>
        <v>0</v>
      </c>
      <c r="O103" s="12" t="n">
        <f aca="false">IF('Raw Data'!T27="",0,'Raw Data'!T27)</f>
        <v>0</v>
      </c>
      <c r="P103" s="12" t="n">
        <f aca="false">IF('Raw Data'!U27="",0,'Raw Data'!U27)</f>
        <v>0</v>
      </c>
      <c r="Q103" s="12" t="n">
        <f aca="false">IF('Raw Data'!V27="",0,'Raw Data'!V27)</f>
        <v>0</v>
      </c>
      <c r="R103" s="12" t="n">
        <f aca="false">IF('Raw Data'!W27="",0,'Raw Data'!W27)</f>
        <v>0</v>
      </c>
      <c r="S103" s="12" t="n">
        <f aca="false">IF('Raw Data'!X27="",0,'Raw Data'!X27)</f>
        <v>0</v>
      </c>
      <c r="T103" s="12" t="n">
        <f aca="false">IF('Raw Data'!Y27="",0,'Raw Data'!Y27)</f>
        <v>0</v>
      </c>
      <c r="U103" s="12" t="n">
        <f aca="false">IF('Raw Data'!Z27="",0,'Raw Data'!Z27)</f>
        <v>0</v>
      </c>
      <c r="V103" s="12" t="n">
        <f aca="false">IF('Raw Data'!AA27="",0,'Raw Data'!AA27)</f>
        <v>0</v>
      </c>
      <c r="W103" s="12" t="n">
        <f aca="false">IF('Raw Data'!AB27="",0,'Raw Data'!AB27)</f>
        <v>0</v>
      </c>
      <c r="X103" s="12" t="n">
        <f aca="false">IF('Raw Data'!AC27="",0,'Raw Data'!AC27)</f>
        <v>0</v>
      </c>
      <c r="Y103" s="12" t="n">
        <f aca="false">IF('Raw Data'!AD27="",0,'Raw Data'!AD27)</f>
        <v>0</v>
      </c>
      <c r="Z103" s="12" t="n">
        <f aca="false">IF('Raw Data'!AE27="",0,'Raw Data'!AE27)</f>
        <v>0</v>
      </c>
      <c r="AA103" s="12" t="n">
        <f aca="false">IF('Raw Data'!AF27="",0,'Raw Data'!AF27)</f>
        <v>0</v>
      </c>
      <c r="AB103" s="12" t="n">
        <f aca="false">IF('Raw Data'!AG27="",0,'Raw Data'!AG27)</f>
        <v>0</v>
      </c>
      <c r="AC103" s="12" t="n">
        <f aca="false">IF('Raw Data'!AH27="",0,'Raw Data'!AH27)</f>
        <v>0</v>
      </c>
      <c r="AD103" s="12" t="n">
        <f aca="false">IF('Raw Data'!AI27="",0,'Raw Data'!AI27)</f>
        <v>0</v>
      </c>
      <c r="AE103" s="12" t="n">
        <f aca="false">IF('Raw Data'!AJ27="",0,'Raw Data'!AJ27)</f>
        <v>0</v>
      </c>
      <c r="AF103" s="12" t="n">
        <f aca="false">IF('Raw Data'!AK27="",0,'Raw Data'!AK27)</f>
        <v>0</v>
      </c>
      <c r="AG103" s="12" t="n">
        <f aca="false">IF('Raw Data'!AL27="",0,'Raw Data'!AL27)</f>
        <v>0</v>
      </c>
      <c r="AH103" s="12" t="n">
        <f aca="false">IF('Raw Data'!AM27="",0,'Raw Data'!AM27)</f>
        <v>0</v>
      </c>
      <c r="AI103" s="12" t="n">
        <f aca="false">IF('Raw Data'!AN27="",0,'Raw Data'!AN27)</f>
        <v>0</v>
      </c>
      <c r="AJ103" s="12" t="n">
        <f aca="false">IF('Raw Data'!AO27="",0,'Raw Data'!AO27)</f>
        <v>0</v>
      </c>
      <c r="AK103" s="12" t="n">
        <f aca="false">IF('Raw Data'!AP27="",0,'Raw Data'!AP27)</f>
        <v>3271.4</v>
      </c>
      <c r="AL103" s="12" t="n">
        <f aca="false">IF('Raw Data'!AQ27="",0,'Raw Data'!AQ27)</f>
        <v>3271.4</v>
      </c>
      <c r="AM103" s="12" t="n">
        <f aca="false">IF('Raw Data'!AR27="",0,'Raw Data'!AR27)</f>
        <v>3271.4</v>
      </c>
      <c r="AN103" s="12" t="n">
        <f aca="false">IF('Raw Data'!AS27="",0,'Raw Data'!AS27)</f>
        <v>3271.4</v>
      </c>
      <c r="AO103" s="12" t="n">
        <f aca="false">IF('Raw Data'!AT27="",0,'Raw Data'!AT27)</f>
        <v>3271.4</v>
      </c>
      <c r="AP103" s="12" t="n">
        <f aca="false">IF('Raw Data'!AU27="",0,'Raw Data'!AU27)</f>
        <v>3271.4</v>
      </c>
      <c r="AQ103" s="12" t="n">
        <f aca="false">IF('Raw Data'!AV27="",0,'Raw Data'!AV27)</f>
        <v>3271.4</v>
      </c>
      <c r="AR103" s="12" t="n">
        <f aca="false">IF('Raw Data'!AW27="",0,'Raw Data'!AW27)</f>
        <v>3271.4</v>
      </c>
      <c r="AS103" s="12" t="n">
        <f aca="false">IF('Raw Data'!AX27="",0,'Raw Data'!AX27)</f>
        <v>3271.4</v>
      </c>
      <c r="AT103" s="12" t="n">
        <f aca="false">IF('Raw Data'!AY27="",0,'Raw Data'!AY27)</f>
        <v>3271.4</v>
      </c>
      <c r="AU103" s="12" t="n">
        <f aca="false">IF('Raw Data'!AZ27="",0,'Raw Data'!AZ27)</f>
        <v>3271.4</v>
      </c>
      <c r="AV103" s="12" t="n">
        <f aca="false">IF('Raw Data'!BA27="",0,'Raw Data'!BA27)</f>
        <v>3271.4</v>
      </c>
      <c r="AW103" s="12" t="n">
        <f aca="false">IF('Raw Data'!BB27="",0,'Raw Data'!BB27)</f>
        <v>0</v>
      </c>
      <c r="AX103" s="12" t="n">
        <f aca="false">IF('Raw Data'!BC27="",0,'Raw Data'!BC27)</f>
        <v>0</v>
      </c>
      <c r="AY103" s="12" t="n">
        <f aca="false">IF('Raw Data'!BD27="",0,'Raw Data'!BD27)</f>
        <v>0</v>
      </c>
      <c r="AZ103" s="12" t="n">
        <f aca="false">IF('Raw Data'!BE27="",0,'Raw Data'!BE27)</f>
        <v>0</v>
      </c>
      <c r="BA103" s="12" t="n">
        <f aca="false">IF('Raw Data'!BF27="",0,'Raw Data'!BF27)</f>
        <v>0</v>
      </c>
      <c r="BB103" s="12" t="n">
        <f aca="false">IF('Raw Data'!BG27="",0,'Raw Data'!BG27)</f>
        <v>0</v>
      </c>
      <c r="BC103" s="12" t="n">
        <f aca="false">IF('Raw Data'!BH27="",0,'Raw Data'!BH27)</f>
        <v>0</v>
      </c>
      <c r="BD103" s="12" t="n">
        <f aca="false">IF('Raw Data'!BI27="",0,'Raw Data'!BI27)</f>
        <v>0</v>
      </c>
      <c r="BE103" s="12" t="n">
        <f aca="false">IF('Raw Data'!BJ27="",0,'Raw Data'!BJ27)</f>
        <v>0</v>
      </c>
      <c r="BF103" s="12" t="n">
        <f aca="false">IF('Raw Data'!BK27="",0,'Raw Data'!BK27)</f>
        <v>0</v>
      </c>
      <c r="BG103" s="12" t="n">
        <f aca="false">IF('Raw Data'!BL27="",0,'Raw Data'!BL27)</f>
        <v>0</v>
      </c>
      <c r="BH103" s="12" t="n">
        <f aca="false">IF('Raw Data'!BM27="",0,'Raw Data'!BM27)</f>
        <v>0</v>
      </c>
      <c r="BI103" s="12" t="n">
        <f aca="false">IF('Raw Data'!BN27="",0,'Raw Data'!BN27)</f>
        <v>0</v>
      </c>
      <c r="BJ103" s="12" t="n">
        <f aca="false">IF('Raw Data'!BO27="",0,'Raw Data'!BO27)</f>
        <v>0</v>
      </c>
      <c r="BK103" s="12" t="n">
        <f aca="false">IF('Raw Data'!BP27="",0,'Raw Data'!BP27)</f>
        <v>0</v>
      </c>
      <c r="BL103" s="12" t="n">
        <f aca="false">IF('Raw Data'!BQ27="",0,'Raw Data'!BQ27)</f>
        <v>0</v>
      </c>
      <c r="BM103" s="12" t="n">
        <f aca="false">IF('Raw Data'!BR27="",0,'Raw Data'!BR27)</f>
        <v>0</v>
      </c>
      <c r="BN103" s="12" t="n">
        <f aca="false">IF('Raw Data'!BS27="",0,'Raw Data'!BS27)</f>
        <v>0</v>
      </c>
      <c r="BO103" s="21" t="b">
        <f aca="false">FALSE()</f>
        <v>0</v>
      </c>
    </row>
    <row r="104" customFormat="false" ht="15" hidden="false" customHeight="false" outlineLevel="0" collapsed="false">
      <c r="A104" s="20" t="str">
        <f aca="false">'Raw Data'!A28</f>
        <v>State Account #17 from WA</v>
      </c>
      <c r="B104" s="12" t="n">
        <f aca="false">IF('Raw Data'!G28="",0,'Raw Data'!G28)</f>
        <v>0</v>
      </c>
      <c r="C104" s="12" t="n">
        <f aca="false">IF('Raw Data'!H28="",0,'Raw Data'!H28)</f>
        <v>0</v>
      </c>
      <c r="D104" s="12" t="n">
        <f aca="false">IF('Raw Data'!I28="",0,'Raw Data'!I28)</f>
        <v>0</v>
      </c>
      <c r="E104" s="12" t="n">
        <f aca="false">IF('Raw Data'!J28="",0,'Raw Data'!J28)</f>
        <v>0</v>
      </c>
      <c r="F104" s="12" t="n">
        <f aca="false">IF('Raw Data'!K28="",0,'Raw Data'!K28)</f>
        <v>0</v>
      </c>
      <c r="G104" s="12" t="n">
        <f aca="false">IF('Raw Data'!L28="",0,'Raw Data'!L28)</f>
        <v>0</v>
      </c>
      <c r="H104" s="12" t="n">
        <f aca="false">IF('Raw Data'!M28="",0,'Raw Data'!M28)</f>
        <v>0</v>
      </c>
      <c r="I104" s="12" t="n">
        <f aca="false">IF('Raw Data'!N28="",0,'Raw Data'!N28)</f>
        <v>0</v>
      </c>
      <c r="J104" s="12" t="n">
        <f aca="false">IF('Raw Data'!O28="",0,'Raw Data'!O28)</f>
        <v>0</v>
      </c>
      <c r="K104" s="12" t="n">
        <f aca="false">IF('Raw Data'!P28="",0,'Raw Data'!P28)</f>
        <v>0</v>
      </c>
      <c r="L104" s="12" t="n">
        <f aca="false">IF('Raw Data'!Q28="",0,'Raw Data'!Q28)</f>
        <v>0</v>
      </c>
      <c r="M104" s="12" t="n">
        <f aca="false">IF('Raw Data'!R28="",0,'Raw Data'!R28)</f>
        <v>0</v>
      </c>
      <c r="N104" s="12" t="n">
        <f aca="false">IF('Raw Data'!S28="",0,'Raw Data'!S28)</f>
        <v>0</v>
      </c>
      <c r="O104" s="12" t="n">
        <f aca="false">IF('Raw Data'!T28="",0,'Raw Data'!T28)</f>
        <v>0</v>
      </c>
      <c r="P104" s="12" t="n">
        <f aca="false">IF('Raw Data'!U28="",0,'Raw Data'!U28)</f>
        <v>0</v>
      </c>
      <c r="Q104" s="12" t="n">
        <f aca="false">IF('Raw Data'!V28="",0,'Raw Data'!V28)</f>
        <v>0</v>
      </c>
      <c r="R104" s="12" t="n">
        <f aca="false">IF('Raw Data'!W28="",0,'Raw Data'!W28)</f>
        <v>0</v>
      </c>
      <c r="S104" s="12" t="n">
        <f aca="false">IF('Raw Data'!X28="",0,'Raw Data'!X28)</f>
        <v>0</v>
      </c>
      <c r="T104" s="12" t="n">
        <f aca="false">IF('Raw Data'!Y28="",0,'Raw Data'!Y28)</f>
        <v>0</v>
      </c>
      <c r="U104" s="12" t="n">
        <f aca="false">IF('Raw Data'!Z28="",0,'Raw Data'!Z28)</f>
        <v>0</v>
      </c>
      <c r="V104" s="12" t="n">
        <f aca="false">IF('Raw Data'!AA28="",0,'Raw Data'!AA28)</f>
        <v>0</v>
      </c>
      <c r="W104" s="12" t="n">
        <f aca="false">IF('Raw Data'!AB28="",0,'Raw Data'!AB28)</f>
        <v>0</v>
      </c>
      <c r="X104" s="12" t="n">
        <f aca="false">IF('Raw Data'!AC28="",0,'Raw Data'!AC28)</f>
        <v>0</v>
      </c>
      <c r="Y104" s="12" t="n">
        <f aca="false">IF('Raw Data'!AD28="",0,'Raw Data'!AD28)</f>
        <v>0</v>
      </c>
      <c r="Z104" s="12" t="n">
        <f aca="false">IF('Raw Data'!AE28="",0,'Raw Data'!AE28)</f>
        <v>105670.833333333</v>
      </c>
      <c r="AA104" s="12" t="n">
        <f aca="false">IF('Raw Data'!AF28="",0,'Raw Data'!AF28)</f>
        <v>105670.833333333</v>
      </c>
      <c r="AB104" s="12" t="n">
        <f aca="false">IF('Raw Data'!AG28="",0,'Raw Data'!AG28)</f>
        <v>105670.833333333</v>
      </c>
      <c r="AC104" s="12" t="n">
        <f aca="false">IF('Raw Data'!AH28="",0,'Raw Data'!AH28)</f>
        <v>105670.833333333</v>
      </c>
      <c r="AD104" s="12" t="n">
        <f aca="false">IF('Raw Data'!AI28="",0,'Raw Data'!AI28)</f>
        <v>105670.833333333</v>
      </c>
      <c r="AE104" s="12" t="n">
        <f aca="false">IF('Raw Data'!AJ28="",0,'Raw Data'!AJ28)</f>
        <v>105670.833333333</v>
      </c>
      <c r="AF104" s="12" t="n">
        <f aca="false">IF('Raw Data'!AK28="",0,'Raw Data'!AK28)</f>
        <v>105670.833333333</v>
      </c>
      <c r="AG104" s="12" t="n">
        <f aca="false">IF('Raw Data'!AL28="",0,'Raw Data'!AL28)</f>
        <v>105670.833333333</v>
      </c>
      <c r="AH104" s="12" t="n">
        <f aca="false">IF('Raw Data'!AM28="",0,'Raw Data'!AM28)</f>
        <v>105670.833333333</v>
      </c>
      <c r="AI104" s="12" t="n">
        <f aca="false">IF('Raw Data'!AN28="",0,'Raw Data'!AN28)</f>
        <v>105670.833333333</v>
      </c>
      <c r="AJ104" s="12" t="n">
        <f aca="false">IF('Raw Data'!AO28="",0,'Raw Data'!AO28)</f>
        <v>105670.833333333</v>
      </c>
      <c r="AK104" s="12" t="n">
        <f aca="false">IF('Raw Data'!AP28="",0,'Raw Data'!AP28)</f>
        <v>105670.833333333</v>
      </c>
      <c r="AL104" s="12" t="n">
        <f aca="false">IF('Raw Data'!AQ28="",0,'Raw Data'!AQ28)</f>
        <v>16321.9591666667</v>
      </c>
      <c r="AM104" s="12" t="n">
        <f aca="false">IF('Raw Data'!AR28="",0,'Raw Data'!AR28)</f>
        <v>16321.9591666667</v>
      </c>
      <c r="AN104" s="12" t="n">
        <f aca="false">IF('Raw Data'!AS28="",0,'Raw Data'!AS28)</f>
        <v>16321.9591666667</v>
      </c>
      <c r="AO104" s="12" t="n">
        <f aca="false">IF('Raw Data'!AT28="",0,'Raw Data'!AT28)</f>
        <v>16321.9591666667</v>
      </c>
      <c r="AP104" s="12" t="n">
        <f aca="false">IF('Raw Data'!AU28="",0,'Raw Data'!AU28)</f>
        <v>16321.9591666667</v>
      </c>
      <c r="AQ104" s="12" t="n">
        <f aca="false">IF('Raw Data'!AV28="",0,'Raw Data'!AV28)</f>
        <v>16321.9591666667</v>
      </c>
      <c r="AR104" s="12" t="n">
        <f aca="false">IF('Raw Data'!AW28="",0,'Raw Data'!AW28)</f>
        <v>16321.9591666667</v>
      </c>
      <c r="AS104" s="12" t="n">
        <f aca="false">IF('Raw Data'!AX28="",0,'Raw Data'!AX28)</f>
        <v>16321.9591666667</v>
      </c>
      <c r="AT104" s="12" t="n">
        <f aca="false">IF('Raw Data'!AY28="",0,'Raw Data'!AY28)</f>
        <v>16321.9591666667</v>
      </c>
      <c r="AU104" s="12" t="n">
        <f aca="false">IF('Raw Data'!AZ28="",0,'Raw Data'!AZ28)</f>
        <v>16321.9591666667</v>
      </c>
      <c r="AV104" s="12" t="n">
        <f aca="false">IF('Raw Data'!BA28="",0,'Raw Data'!BA28)</f>
        <v>16321.9591666667</v>
      </c>
      <c r="AW104" s="12" t="n">
        <f aca="false">IF('Raw Data'!BB28="",0,'Raw Data'!BB28)</f>
        <v>16321.9591666667</v>
      </c>
      <c r="AX104" s="12" t="n">
        <f aca="false">IF('Raw Data'!BC28="",0,'Raw Data'!BC28)</f>
        <v>30029.1666666667</v>
      </c>
      <c r="AY104" s="12" t="n">
        <f aca="false">IF('Raw Data'!BD28="",0,'Raw Data'!BD28)</f>
        <v>30029.1666666667</v>
      </c>
      <c r="AZ104" s="12" t="n">
        <f aca="false">IF('Raw Data'!BE28="",0,'Raw Data'!BE28)</f>
        <v>30029.1666666667</v>
      </c>
      <c r="BA104" s="12" t="n">
        <f aca="false">IF('Raw Data'!BF28="",0,'Raw Data'!BF28)</f>
        <v>30029.1666666667</v>
      </c>
      <c r="BB104" s="12" t="n">
        <f aca="false">IF('Raw Data'!BG28="",0,'Raw Data'!BG28)</f>
        <v>49716.6666666667</v>
      </c>
      <c r="BC104" s="12" t="n">
        <f aca="false">IF('Raw Data'!BH28="",0,'Raw Data'!BH28)</f>
        <v>49716.6666666667</v>
      </c>
      <c r="BD104" s="12" t="n">
        <f aca="false">IF('Raw Data'!BI28="",0,'Raw Data'!BI28)</f>
        <v>49716.6666666667</v>
      </c>
      <c r="BE104" s="12" t="n">
        <f aca="false">IF('Raw Data'!BJ28="",0,'Raw Data'!BJ28)</f>
        <v>49716.6666666667</v>
      </c>
      <c r="BF104" s="12" t="n">
        <f aca="false">IF('Raw Data'!BK28="",0,'Raw Data'!BK28)</f>
        <v>49716.6666666667</v>
      </c>
      <c r="BG104" s="12" t="n">
        <f aca="false">IF('Raw Data'!BL28="",0,'Raw Data'!BL28)</f>
        <v>49716.6666666667</v>
      </c>
      <c r="BH104" s="12" t="n">
        <f aca="false">IF('Raw Data'!BM28="",0,'Raw Data'!BM28)</f>
        <v>49716.6666666667</v>
      </c>
      <c r="BI104" s="12" t="n">
        <f aca="false">IF('Raw Data'!BN28="",0,'Raw Data'!BN28)</f>
        <v>49716.6666666667</v>
      </c>
      <c r="BJ104" s="12" t="n">
        <f aca="false">IF('Raw Data'!BO28="",0,'Raw Data'!BO28)</f>
        <v>127200</v>
      </c>
      <c r="BK104" s="12" t="n">
        <f aca="false">IF('Raw Data'!BP28="",0,'Raw Data'!BP28)</f>
        <v>127200</v>
      </c>
      <c r="BL104" s="12" t="n">
        <f aca="false">IF('Raw Data'!BQ28="",0,'Raw Data'!BQ28)</f>
        <v>127200</v>
      </c>
      <c r="BM104" s="12" t="n">
        <f aca="false">IF('Raw Data'!BR28="",0,'Raw Data'!BR28)</f>
        <v>127200</v>
      </c>
      <c r="BN104" s="12" t="n">
        <f aca="false">IF('Raw Data'!BS28="",0,'Raw Data'!BS28)</f>
        <v>127200</v>
      </c>
      <c r="BO104" s="21" t="b">
        <f aca="false">FALSE()</f>
        <v>0</v>
      </c>
    </row>
    <row r="105" customFormat="false" ht="15" hidden="false" customHeight="false" outlineLevel="0" collapsed="false">
      <c r="A105" s="20" t="str">
        <f aca="false">'Raw Data'!A31</f>
        <v>State Account #18 from WA</v>
      </c>
      <c r="B105" s="12" t="n">
        <f aca="false">IF('Raw Data'!G31="",0,'Raw Data'!G31)</f>
        <v>0</v>
      </c>
      <c r="C105" s="12" t="n">
        <f aca="false">IF('Raw Data'!H31="",0,'Raw Data'!H31)</f>
        <v>0</v>
      </c>
      <c r="D105" s="12" t="n">
        <f aca="false">IF('Raw Data'!I31="",0,'Raw Data'!I31)</f>
        <v>0</v>
      </c>
      <c r="E105" s="12" t="n">
        <f aca="false">IF('Raw Data'!J31="",0,'Raw Data'!J31)</f>
        <v>0</v>
      </c>
      <c r="F105" s="12" t="n">
        <f aca="false">IF('Raw Data'!K31="",0,'Raw Data'!K31)</f>
        <v>0</v>
      </c>
      <c r="G105" s="12" t="n">
        <f aca="false">IF('Raw Data'!L31="",0,'Raw Data'!L31)</f>
        <v>0</v>
      </c>
      <c r="H105" s="12" t="n">
        <f aca="false">IF('Raw Data'!M31="",0,'Raw Data'!M31)</f>
        <v>0</v>
      </c>
      <c r="I105" s="12" t="n">
        <f aca="false">IF('Raw Data'!N31="",0,'Raw Data'!N31)</f>
        <v>0</v>
      </c>
      <c r="J105" s="12" t="n">
        <f aca="false">IF('Raw Data'!O31="",0,'Raw Data'!O31)</f>
        <v>0</v>
      </c>
      <c r="K105" s="12" t="n">
        <f aca="false">IF('Raw Data'!P31="",0,'Raw Data'!P31)</f>
        <v>0</v>
      </c>
      <c r="L105" s="12" t="n">
        <f aca="false">IF('Raw Data'!Q31="",0,'Raw Data'!Q31)</f>
        <v>0</v>
      </c>
      <c r="M105" s="12" t="n">
        <f aca="false">IF('Raw Data'!R31="",0,'Raw Data'!R31)</f>
        <v>0</v>
      </c>
      <c r="N105" s="12" t="n">
        <f aca="false">IF('Raw Data'!S31="",0,'Raw Data'!S31)</f>
        <v>0</v>
      </c>
      <c r="O105" s="12" t="n">
        <f aca="false">IF('Raw Data'!T31="",0,'Raw Data'!T31)</f>
        <v>0</v>
      </c>
      <c r="P105" s="12" t="n">
        <f aca="false">IF('Raw Data'!U31="",0,'Raw Data'!U31)</f>
        <v>0</v>
      </c>
      <c r="Q105" s="12" t="n">
        <f aca="false">IF('Raw Data'!V31="",0,'Raw Data'!V31)</f>
        <v>0</v>
      </c>
      <c r="R105" s="12" t="n">
        <f aca="false">IF('Raw Data'!W31="",0,'Raw Data'!W31)</f>
        <v>0</v>
      </c>
      <c r="S105" s="12" t="n">
        <f aca="false">IF('Raw Data'!X31="",0,'Raw Data'!X31)</f>
        <v>0</v>
      </c>
      <c r="T105" s="12" t="n">
        <f aca="false">IF('Raw Data'!Y31="",0,'Raw Data'!Y31)</f>
        <v>0</v>
      </c>
      <c r="U105" s="12" t="n">
        <f aca="false">IF('Raw Data'!Z31="",0,'Raw Data'!Z31)</f>
        <v>0</v>
      </c>
      <c r="V105" s="12" t="n">
        <f aca="false">IF('Raw Data'!AA31="",0,'Raw Data'!AA31)</f>
        <v>0</v>
      </c>
      <c r="W105" s="12" t="n">
        <f aca="false">IF('Raw Data'!AB31="",0,'Raw Data'!AB31)</f>
        <v>0</v>
      </c>
      <c r="X105" s="12" t="n">
        <f aca="false">IF('Raw Data'!AC31="",0,'Raw Data'!AC31)</f>
        <v>0</v>
      </c>
      <c r="Y105" s="12" t="n">
        <f aca="false">IF('Raw Data'!AD31="",0,'Raw Data'!AD31)</f>
        <v>0</v>
      </c>
      <c r="Z105" s="12" t="n">
        <f aca="false">IF('Raw Data'!AE31="",0,'Raw Data'!AE31)</f>
        <v>0</v>
      </c>
      <c r="AA105" s="12" t="n">
        <f aca="false">IF('Raw Data'!AF31="",0,'Raw Data'!AF31)</f>
        <v>0</v>
      </c>
      <c r="AB105" s="12" t="n">
        <f aca="false">IF('Raw Data'!AG31="",0,'Raw Data'!AG31)</f>
        <v>0</v>
      </c>
      <c r="AC105" s="12" t="n">
        <f aca="false">IF('Raw Data'!AH31="",0,'Raw Data'!AH31)</f>
        <v>0</v>
      </c>
      <c r="AD105" s="12" t="n">
        <f aca="false">IF('Raw Data'!AI31="",0,'Raw Data'!AI31)</f>
        <v>0</v>
      </c>
      <c r="AE105" s="12" t="n">
        <f aca="false">IF('Raw Data'!AJ31="",0,'Raw Data'!AJ31)</f>
        <v>0</v>
      </c>
      <c r="AF105" s="12" t="n">
        <f aca="false">IF('Raw Data'!AK31="",0,'Raw Data'!AK31)</f>
        <v>0</v>
      </c>
      <c r="AG105" s="12" t="n">
        <f aca="false">IF('Raw Data'!AL31="",0,'Raw Data'!AL31)</f>
        <v>0</v>
      </c>
      <c r="AH105" s="12" t="n">
        <f aca="false">IF('Raw Data'!AM31="",0,'Raw Data'!AM31)</f>
        <v>0</v>
      </c>
      <c r="AI105" s="12" t="n">
        <f aca="false">IF('Raw Data'!AN31="",0,'Raw Data'!AN31)</f>
        <v>0</v>
      </c>
      <c r="AJ105" s="12" t="n">
        <f aca="false">IF('Raw Data'!AO31="",0,'Raw Data'!AO31)</f>
        <v>0</v>
      </c>
      <c r="AK105" s="12" t="n">
        <f aca="false">IF('Raw Data'!AP31="",0,'Raw Data'!AP31)</f>
        <v>3767.5</v>
      </c>
      <c r="AL105" s="12" t="n">
        <f aca="false">IF('Raw Data'!AQ31="",0,'Raw Data'!AQ31)</f>
        <v>3767.5</v>
      </c>
      <c r="AM105" s="12" t="n">
        <f aca="false">IF('Raw Data'!AR31="",0,'Raw Data'!AR31)</f>
        <v>3767.5</v>
      </c>
      <c r="AN105" s="12" t="n">
        <f aca="false">IF('Raw Data'!AS31="",0,'Raw Data'!AS31)</f>
        <v>3767.5</v>
      </c>
      <c r="AO105" s="12" t="n">
        <f aca="false">IF('Raw Data'!AT31="",0,'Raw Data'!AT31)</f>
        <v>3767.5</v>
      </c>
      <c r="AP105" s="12" t="n">
        <f aca="false">IF('Raw Data'!AU31="",0,'Raw Data'!AU31)</f>
        <v>3767.5</v>
      </c>
      <c r="AQ105" s="12" t="n">
        <f aca="false">IF('Raw Data'!AV31="",0,'Raw Data'!AV31)</f>
        <v>3767.5</v>
      </c>
      <c r="AR105" s="12" t="n">
        <f aca="false">IF('Raw Data'!AW31="",0,'Raw Data'!AW31)</f>
        <v>3767.5</v>
      </c>
      <c r="AS105" s="12" t="n">
        <f aca="false">IF('Raw Data'!AX31="",0,'Raw Data'!AX31)</f>
        <v>3767.5</v>
      </c>
      <c r="AT105" s="12" t="n">
        <f aca="false">IF('Raw Data'!AY31="",0,'Raw Data'!AY31)</f>
        <v>3767.5</v>
      </c>
      <c r="AU105" s="12" t="n">
        <f aca="false">IF('Raw Data'!AZ31="",0,'Raw Data'!AZ31)</f>
        <v>3767.5</v>
      </c>
      <c r="AV105" s="12" t="n">
        <f aca="false">IF('Raw Data'!BA31="",0,'Raw Data'!BA31)</f>
        <v>3767.5</v>
      </c>
      <c r="AW105" s="12" t="n">
        <f aca="false">IF('Raw Data'!BB31="",0,'Raw Data'!BB31)</f>
        <v>0</v>
      </c>
      <c r="AX105" s="12" t="n">
        <f aca="false">IF('Raw Data'!BC31="",0,'Raw Data'!BC31)</f>
        <v>0</v>
      </c>
      <c r="AY105" s="12" t="n">
        <f aca="false">IF('Raw Data'!BD31="",0,'Raw Data'!BD31)</f>
        <v>0</v>
      </c>
      <c r="AZ105" s="12" t="n">
        <f aca="false">IF('Raw Data'!BE31="",0,'Raw Data'!BE31)</f>
        <v>0</v>
      </c>
      <c r="BA105" s="12" t="n">
        <f aca="false">IF('Raw Data'!BF31="",0,'Raw Data'!BF31)</f>
        <v>0</v>
      </c>
      <c r="BB105" s="12" t="n">
        <f aca="false">IF('Raw Data'!BG31="",0,'Raw Data'!BG31)</f>
        <v>0</v>
      </c>
      <c r="BC105" s="12" t="n">
        <f aca="false">IF('Raw Data'!BH31="",0,'Raw Data'!BH31)</f>
        <v>0</v>
      </c>
      <c r="BD105" s="12" t="n">
        <f aca="false">IF('Raw Data'!BI31="",0,'Raw Data'!BI31)</f>
        <v>0</v>
      </c>
      <c r="BE105" s="12" t="n">
        <f aca="false">IF('Raw Data'!BJ31="",0,'Raw Data'!BJ31)</f>
        <v>0</v>
      </c>
      <c r="BF105" s="12" t="n">
        <f aca="false">IF('Raw Data'!BK31="",0,'Raw Data'!BK31)</f>
        <v>0</v>
      </c>
      <c r="BG105" s="12" t="n">
        <f aca="false">IF('Raw Data'!BL31="",0,'Raw Data'!BL31)</f>
        <v>0</v>
      </c>
      <c r="BH105" s="12" t="n">
        <f aca="false">IF('Raw Data'!BM31="",0,'Raw Data'!BM31)</f>
        <v>0</v>
      </c>
      <c r="BI105" s="12" t="n">
        <f aca="false">IF('Raw Data'!BN31="",0,'Raw Data'!BN31)</f>
        <v>0</v>
      </c>
      <c r="BJ105" s="12" t="n">
        <f aca="false">IF('Raw Data'!BO31="",0,'Raw Data'!BO31)</f>
        <v>0</v>
      </c>
      <c r="BK105" s="12" t="n">
        <f aca="false">IF('Raw Data'!BP31="",0,'Raw Data'!BP31)</f>
        <v>0</v>
      </c>
      <c r="BL105" s="12" t="n">
        <f aca="false">IF('Raw Data'!BQ31="",0,'Raw Data'!BQ31)</f>
        <v>0</v>
      </c>
      <c r="BM105" s="12" t="n">
        <f aca="false">IF('Raw Data'!BR31="",0,'Raw Data'!BR31)</f>
        <v>0</v>
      </c>
      <c r="BN105" s="12" t="n">
        <f aca="false">IF('Raw Data'!BS31="",0,'Raw Data'!BS31)</f>
        <v>0</v>
      </c>
      <c r="BO105" s="21" t="b">
        <f aca="false">FALSE()</f>
        <v>0</v>
      </c>
    </row>
    <row r="106" customFormat="false" ht="15" hidden="false" customHeight="false" outlineLevel="0" collapsed="false">
      <c r="A106" s="20" t="str">
        <f aca="false">'Raw Data'!A29</f>
        <v>State Account #19 from CA</v>
      </c>
      <c r="B106" s="12" t="n">
        <f aca="false">IF('Raw Data'!G29="",0,'Raw Data'!G29)</f>
        <v>13925</v>
      </c>
      <c r="C106" s="12" t="n">
        <f aca="false">IF('Raw Data'!H29="",0,'Raw Data'!H29)</f>
        <v>13925</v>
      </c>
      <c r="D106" s="12" t="n">
        <f aca="false">IF('Raw Data'!I29="",0,'Raw Data'!I29)</f>
        <v>13925</v>
      </c>
      <c r="E106" s="12" t="n">
        <f aca="false">IF('Raw Data'!J29="",0,'Raw Data'!J29)</f>
        <v>13925</v>
      </c>
      <c r="F106" s="12" t="n">
        <f aca="false">IF('Raw Data'!K29="",0,'Raw Data'!K29)</f>
        <v>13925</v>
      </c>
      <c r="G106" s="12" t="n">
        <f aca="false">IF('Raw Data'!L29="",0,'Raw Data'!L29)</f>
        <v>13925</v>
      </c>
      <c r="H106" s="12" t="n">
        <f aca="false">IF('Raw Data'!M29="",0,'Raw Data'!M29)</f>
        <v>0</v>
      </c>
      <c r="I106" s="12" t="n">
        <f aca="false">IF('Raw Data'!N29="",0,'Raw Data'!N29)</f>
        <v>0</v>
      </c>
      <c r="J106" s="12" t="n">
        <f aca="false">IF('Raw Data'!O29="",0,'Raw Data'!O29)</f>
        <v>0</v>
      </c>
      <c r="K106" s="12" t="n">
        <f aca="false">IF('Raw Data'!P29="",0,'Raw Data'!P29)</f>
        <v>0</v>
      </c>
      <c r="L106" s="12" t="n">
        <f aca="false">IF('Raw Data'!Q29="",0,'Raw Data'!Q29)</f>
        <v>0</v>
      </c>
      <c r="M106" s="12" t="n">
        <f aca="false">IF('Raw Data'!R29="",0,'Raw Data'!R29)</f>
        <v>0</v>
      </c>
      <c r="N106" s="12" t="n">
        <f aca="false">IF('Raw Data'!S29="",0,'Raw Data'!S29)</f>
        <v>0</v>
      </c>
      <c r="O106" s="12" t="n">
        <f aca="false">IF('Raw Data'!T29="",0,'Raw Data'!T29)</f>
        <v>0</v>
      </c>
      <c r="P106" s="12" t="n">
        <f aca="false">IF('Raw Data'!U29="",0,'Raw Data'!U29)</f>
        <v>0</v>
      </c>
      <c r="Q106" s="12" t="n">
        <f aca="false">IF('Raw Data'!V29="",0,'Raw Data'!V29)</f>
        <v>0</v>
      </c>
      <c r="R106" s="12" t="n">
        <f aca="false">IF('Raw Data'!W29="",0,'Raw Data'!W29)</f>
        <v>0</v>
      </c>
      <c r="S106" s="12" t="n">
        <f aca="false">IF('Raw Data'!X29="",0,'Raw Data'!X29)</f>
        <v>0</v>
      </c>
      <c r="T106" s="12" t="n">
        <f aca="false">IF('Raw Data'!Y29="",0,'Raw Data'!Y29)</f>
        <v>0</v>
      </c>
      <c r="U106" s="12" t="n">
        <f aca="false">IF('Raw Data'!Z29="",0,'Raw Data'!Z29)</f>
        <v>0</v>
      </c>
      <c r="V106" s="12" t="n">
        <f aca="false">IF('Raw Data'!AA29="",0,'Raw Data'!AA29)</f>
        <v>0</v>
      </c>
      <c r="W106" s="12" t="n">
        <f aca="false">IF('Raw Data'!AB29="",0,'Raw Data'!AB29)</f>
        <v>0</v>
      </c>
      <c r="X106" s="12" t="n">
        <f aca="false">IF('Raw Data'!AC29="",0,'Raw Data'!AC29)</f>
        <v>0</v>
      </c>
      <c r="Y106" s="12" t="n">
        <f aca="false">IF('Raw Data'!AD29="",0,'Raw Data'!AD29)</f>
        <v>0</v>
      </c>
      <c r="Z106" s="12" t="n">
        <f aca="false">IF('Raw Data'!AE29="",0,'Raw Data'!AE29)</f>
        <v>0</v>
      </c>
      <c r="AA106" s="12" t="n">
        <f aca="false">IF('Raw Data'!AF29="",0,'Raw Data'!AF29)</f>
        <v>0</v>
      </c>
      <c r="AB106" s="12" t="n">
        <f aca="false">IF('Raw Data'!AG29="",0,'Raw Data'!AG29)</f>
        <v>0</v>
      </c>
      <c r="AC106" s="12" t="n">
        <f aca="false">IF('Raw Data'!AH29="",0,'Raw Data'!AH29)</f>
        <v>0</v>
      </c>
      <c r="AD106" s="12" t="n">
        <f aca="false">IF('Raw Data'!AI29="",0,'Raw Data'!AI29)</f>
        <v>0</v>
      </c>
      <c r="AE106" s="12" t="n">
        <f aca="false">IF('Raw Data'!AJ29="",0,'Raw Data'!AJ29)</f>
        <v>0</v>
      </c>
      <c r="AF106" s="12" t="n">
        <f aca="false">IF('Raw Data'!AK29="",0,'Raw Data'!AK29)</f>
        <v>0</v>
      </c>
      <c r="AG106" s="12" t="n">
        <f aca="false">IF('Raw Data'!AL29="",0,'Raw Data'!AL29)</f>
        <v>0</v>
      </c>
      <c r="AH106" s="12" t="n">
        <f aca="false">IF('Raw Data'!AM29="",0,'Raw Data'!AM29)</f>
        <v>0</v>
      </c>
      <c r="AI106" s="12" t="n">
        <f aca="false">IF('Raw Data'!AN29="",0,'Raw Data'!AN29)</f>
        <v>0</v>
      </c>
      <c r="AJ106" s="12" t="n">
        <f aca="false">IF('Raw Data'!AO29="",0,'Raw Data'!AO29)</f>
        <v>0</v>
      </c>
      <c r="AK106" s="12" t="n">
        <f aca="false">IF('Raw Data'!AP29="",0,'Raw Data'!AP29)</f>
        <v>0</v>
      </c>
      <c r="AL106" s="12" t="n">
        <f aca="false">IF('Raw Data'!AQ29="",0,'Raw Data'!AQ29)</f>
        <v>0</v>
      </c>
      <c r="AM106" s="12" t="n">
        <f aca="false">IF('Raw Data'!AR29="",0,'Raw Data'!AR29)</f>
        <v>0</v>
      </c>
      <c r="AN106" s="12" t="n">
        <f aca="false">IF('Raw Data'!AS29="",0,'Raw Data'!AS29)</f>
        <v>0</v>
      </c>
      <c r="AO106" s="12" t="n">
        <f aca="false">IF('Raw Data'!AT29="",0,'Raw Data'!AT29)</f>
        <v>0</v>
      </c>
      <c r="AP106" s="12" t="n">
        <f aca="false">IF('Raw Data'!AU29="",0,'Raw Data'!AU29)</f>
        <v>0</v>
      </c>
      <c r="AQ106" s="12" t="n">
        <f aca="false">IF('Raw Data'!AV29="",0,'Raw Data'!AV29)</f>
        <v>0</v>
      </c>
      <c r="AR106" s="12" t="n">
        <f aca="false">IF('Raw Data'!AW29="",0,'Raw Data'!AW29)</f>
        <v>0</v>
      </c>
      <c r="AS106" s="12" t="n">
        <f aca="false">IF('Raw Data'!AX29="",0,'Raw Data'!AX29)</f>
        <v>0</v>
      </c>
      <c r="AT106" s="12" t="n">
        <f aca="false">IF('Raw Data'!AY29="",0,'Raw Data'!AY29)</f>
        <v>0</v>
      </c>
      <c r="AU106" s="12" t="n">
        <f aca="false">IF('Raw Data'!AZ29="",0,'Raw Data'!AZ29)</f>
        <v>0</v>
      </c>
      <c r="AV106" s="12" t="n">
        <f aca="false">IF('Raw Data'!BA29="",0,'Raw Data'!BA29)</f>
        <v>0</v>
      </c>
      <c r="AW106" s="12" t="n">
        <f aca="false">IF('Raw Data'!BB29="",0,'Raw Data'!BB29)</f>
        <v>0</v>
      </c>
      <c r="AX106" s="12" t="n">
        <f aca="false">IF('Raw Data'!BC29="",0,'Raw Data'!BC29)</f>
        <v>0</v>
      </c>
      <c r="AY106" s="12" t="n">
        <f aca="false">IF('Raw Data'!BD29="",0,'Raw Data'!BD29)</f>
        <v>0</v>
      </c>
      <c r="AZ106" s="12" t="n">
        <f aca="false">IF('Raw Data'!BE29="",0,'Raw Data'!BE29)</f>
        <v>0</v>
      </c>
      <c r="BA106" s="12" t="n">
        <f aca="false">IF('Raw Data'!BF29="",0,'Raw Data'!BF29)</f>
        <v>0</v>
      </c>
      <c r="BB106" s="12" t="n">
        <f aca="false">IF('Raw Data'!BG29="",0,'Raw Data'!BG29)</f>
        <v>0</v>
      </c>
      <c r="BC106" s="12" t="n">
        <f aca="false">IF('Raw Data'!BH29="",0,'Raw Data'!BH29)</f>
        <v>0</v>
      </c>
      <c r="BD106" s="12" t="n">
        <f aca="false">IF('Raw Data'!BI29="",0,'Raw Data'!BI29)</f>
        <v>0</v>
      </c>
      <c r="BE106" s="12" t="n">
        <f aca="false">IF('Raw Data'!BJ29="",0,'Raw Data'!BJ29)</f>
        <v>0</v>
      </c>
      <c r="BF106" s="12" t="n">
        <f aca="false">IF('Raw Data'!BK29="",0,'Raw Data'!BK29)</f>
        <v>0</v>
      </c>
      <c r="BG106" s="12" t="n">
        <f aca="false">IF('Raw Data'!BL29="",0,'Raw Data'!BL29)</f>
        <v>0</v>
      </c>
      <c r="BH106" s="12" t="n">
        <f aca="false">IF('Raw Data'!BM29="",0,'Raw Data'!BM29)</f>
        <v>0</v>
      </c>
      <c r="BI106" s="12" t="n">
        <f aca="false">IF('Raw Data'!BN29="",0,'Raw Data'!BN29)</f>
        <v>0</v>
      </c>
      <c r="BJ106" s="12" t="n">
        <f aca="false">IF('Raw Data'!BO29="",0,'Raw Data'!BO29)</f>
        <v>0</v>
      </c>
      <c r="BK106" s="12" t="n">
        <f aca="false">IF('Raw Data'!BP29="",0,'Raw Data'!BP29)</f>
        <v>0</v>
      </c>
      <c r="BL106" s="12" t="n">
        <f aca="false">IF('Raw Data'!BQ29="",0,'Raw Data'!BQ29)</f>
        <v>0</v>
      </c>
      <c r="BM106" s="12" t="n">
        <f aca="false">IF('Raw Data'!BR29="",0,'Raw Data'!BR29)</f>
        <v>0</v>
      </c>
      <c r="BN106" s="12" t="n">
        <f aca="false">IF('Raw Data'!BS29="",0,'Raw Data'!BS29)</f>
        <v>0</v>
      </c>
      <c r="BO106" s="21" t="b">
        <f aca="false">FALSE()</f>
        <v>0</v>
      </c>
    </row>
    <row r="107" customFormat="false" ht="15" hidden="false" customHeight="false" outlineLevel="0" collapsed="false">
      <c r="A107" s="20" t="str">
        <f aca="false">'Raw Data'!A30</f>
        <v>State Account #20 from VT</v>
      </c>
      <c r="B107" s="12" t="n">
        <f aca="false">IF('Raw Data'!G30="",0,'Raw Data'!G30)</f>
        <v>0</v>
      </c>
      <c r="C107" s="12" t="n">
        <f aca="false">IF('Raw Data'!H30="",0,'Raw Data'!H30)</f>
        <v>0</v>
      </c>
      <c r="D107" s="12" t="n">
        <f aca="false">IF('Raw Data'!I30="",0,'Raw Data'!I30)</f>
        <v>0</v>
      </c>
      <c r="E107" s="12" t="n">
        <f aca="false">IF('Raw Data'!J30="",0,'Raw Data'!J30)</f>
        <v>0</v>
      </c>
      <c r="F107" s="12" t="n">
        <f aca="false">IF('Raw Data'!K30="",0,'Raw Data'!K30)</f>
        <v>0</v>
      </c>
      <c r="G107" s="12" t="n">
        <f aca="false">IF('Raw Data'!L30="",0,'Raw Data'!L30)</f>
        <v>0</v>
      </c>
      <c r="H107" s="12" t="n">
        <f aca="false">IF('Raw Data'!M30="",0,'Raw Data'!M30)</f>
        <v>0</v>
      </c>
      <c r="I107" s="12" t="n">
        <f aca="false">IF('Raw Data'!N30="",0,'Raw Data'!N30)</f>
        <v>0</v>
      </c>
      <c r="J107" s="12" t="n">
        <f aca="false">IF('Raw Data'!O30="",0,'Raw Data'!O30)</f>
        <v>0</v>
      </c>
      <c r="K107" s="12" t="n">
        <f aca="false">IF('Raw Data'!P30="",0,'Raw Data'!P30)</f>
        <v>0</v>
      </c>
      <c r="L107" s="12" t="n">
        <f aca="false">IF('Raw Data'!Q30="",0,'Raw Data'!Q30)</f>
        <v>0</v>
      </c>
      <c r="M107" s="12" t="n">
        <f aca="false">IF('Raw Data'!R30="",0,'Raw Data'!R30)</f>
        <v>0</v>
      </c>
      <c r="N107" s="12" t="n">
        <f aca="false">IF('Raw Data'!S30="",0,'Raw Data'!S30)</f>
        <v>0</v>
      </c>
      <c r="O107" s="12" t="n">
        <f aca="false">IF('Raw Data'!T30="",0,'Raw Data'!T30)</f>
        <v>0</v>
      </c>
      <c r="P107" s="12" t="n">
        <f aca="false">IF('Raw Data'!U30="",0,'Raw Data'!U30)</f>
        <v>0</v>
      </c>
      <c r="Q107" s="12" t="n">
        <f aca="false">IF('Raw Data'!V30="",0,'Raw Data'!V30)</f>
        <v>0</v>
      </c>
      <c r="R107" s="12" t="n">
        <f aca="false">IF('Raw Data'!W30="",0,'Raw Data'!W30)</f>
        <v>0</v>
      </c>
      <c r="S107" s="12" t="n">
        <f aca="false">IF('Raw Data'!X30="",0,'Raw Data'!X30)</f>
        <v>0</v>
      </c>
      <c r="T107" s="12" t="n">
        <f aca="false">IF('Raw Data'!Y30="",0,'Raw Data'!Y30)</f>
        <v>0</v>
      </c>
      <c r="U107" s="12" t="n">
        <f aca="false">IF('Raw Data'!Z30="",0,'Raw Data'!Z30)</f>
        <v>0</v>
      </c>
      <c r="V107" s="12" t="n">
        <f aca="false">IF('Raw Data'!AA30="",0,'Raw Data'!AA30)</f>
        <v>0</v>
      </c>
      <c r="W107" s="12" t="n">
        <f aca="false">IF('Raw Data'!AB30="",0,'Raw Data'!AB30)</f>
        <v>0</v>
      </c>
      <c r="X107" s="12" t="n">
        <f aca="false">IF('Raw Data'!AC30="",0,'Raw Data'!AC30)</f>
        <v>0</v>
      </c>
      <c r="Y107" s="12" t="n">
        <f aca="false">IF('Raw Data'!AD30="",0,'Raw Data'!AD30)</f>
        <v>3767.5</v>
      </c>
      <c r="Z107" s="12" t="n">
        <f aca="false">IF('Raw Data'!AE30="",0,'Raw Data'!AE30)</f>
        <v>3767.5</v>
      </c>
      <c r="AA107" s="12" t="n">
        <f aca="false">IF('Raw Data'!AF30="",0,'Raw Data'!AF30)</f>
        <v>3767.5</v>
      </c>
      <c r="AB107" s="12" t="n">
        <f aca="false">IF('Raw Data'!AG30="",0,'Raw Data'!AG30)</f>
        <v>3767.5</v>
      </c>
      <c r="AC107" s="12" t="n">
        <f aca="false">IF('Raw Data'!AH30="",0,'Raw Data'!AH30)</f>
        <v>3767.5</v>
      </c>
      <c r="AD107" s="12" t="n">
        <f aca="false">IF('Raw Data'!AI30="",0,'Raw Data'!AI30)</f>
        <v>3767.5</v>
      </c>
      <c r="AE107" s="12" t="n">
        <f aca="false">IF('Raw Data'!AJ30="",0,'Raw Data'!AJ30)</f>
        <v>3767.5</v>
      </c>
      <c r="AF107" s="12" t="n">
        <f aca="false">IF('Raw Data'!AK30="",0,'Raw Data'!AK30)</f>
        <v>3767.5</v>
      </c>
      <c r="AG107" s="12" t="n">
        <f aca="false">IF('Raw Data'!AL30="",0,'Raw Data'!AL30)</f>
        <v>3767.5</v>
      </c>
      <c r="AH107" s="12" t="n">
        <f aca="false">IF('Raw Data'!AM30="",0,'Raw Data'!AM30)</f>
        <v>3767.5</v>
      </c>
      <c r="AI107" s="12" t="n">
        <f aca="false">IF('Raw Data'!AN30="",0,'Raw Data'!AN30)</f>
        <v>3767.5</v>
      </c>
      <c r="AJ107" s="12" t="n">
        <f aca="false">IF('Raw Data'!AO30="",0,'Raw Data'!AO30)</f>
        <v>3767.5</v>
      </c>
      <c r="AK107" s="12" t="n">
        <f aca="false">IF('Raw Data'!AP30="",0,'Raw Data'!AP30)</f>
        <v>0</v>
      </c>
      <c r="AL107" s="12" t="n">
        <f aca="false">IF('Raw Data'!AQ30="",0,'Raw Data'!AQ30)</f>
        <v>0</v>
      </c>
      <c r="AM107" s="12" t="n">
        <f aca="false">IF('Raw Data'!AR30="",0,'Raw Data'!AR30)</f>
        <v>0</v>
      </c>
      <c r="AN107" s="12" t="n">
        <f aca="false">IF('Raw Data'!AS30="",0,'Raw Data'!AS30)</f>
        <v>0</v>
      </c>
      <c r="AO107" s="12" t="n">
        <f aca="false">IF('Raw Data'!AT30="",0,'Raw Data'!AT30)</f>
        <v>0</v>
      </c>
      <c r="AP107" s="12" t="n">
        <f aca="false">IF('Raw Data'!AU30="",0,'Raw Data'!AU30)</f>
        <v>0</v>
      </c>
      <c r="AQ107" s="12" t="n">
        <f aca="false">IF('Raw Data'!AV30="",0,'Raw Data'!AV30)</f>
        <v>0</v>
      </c>
      <c r="AR107" s="12" t="n">
        <f aca="false">IF('Raw Data'!AW30="",0,'Raw Data'!AW30)</f>
        <v>0</v>
      </c>
      <c r="AS107" s="12" t="n">
        <f aca="false">IF('Raw Data'!AX30="",0,'Raw Data'!AX30)</f>
        <v>0</v>
      </c>
      <c r="AT107" s="12" t="n">
        <f aca="false">IF('Raw Data'!AY30="",0,'Raw Data'!AY30)</f>
        <v>0</v>
      </c>
      <c r="AU107" s="12" t="n">
        <f aca="false">IF('Raw Data'!AZ30="",0,'Raw Data'!AZ30)</f>
        <v>0</v>
      </c>
      <c r="AV107" s="12" t="n">
        <f aca="false">IF('Raw Data'!BA30="",0,'Raw Data'!BA30)</f>
        <v>0</v>
      </c>
      <c r="AW107" s="12" t="n">
        <f aca="false">IF('Raw Data'!BB30="",0,'Raw Data'!BB30)</f>
        <v>0</v>
      </c>
      <c r="AX107" s="12" t="n">
        <f aca="false">IF('Raw Data'!BC30="",0,'Raw Data'!BC30)</f>
        <v>0</v>
      </c>
      <c r="AY107" s="12" t="n">
        <f aca="false">IF('Raw Data'!BD30="",0,'Raw Data'!BD30)</f>
        <v>0</v>
      </c>
      <c r="AZ107" s="12" t="n">
        <f aca="false">IF('Raw Data'!BE30="",0,'Raw Data'!BE30)</f>
        <v>0</v>
      </c>
      <c r="BA107" s="12" t="n">
        <f aca="false">IF('Raw Data'!BF30="",0,'Raw Data'!BF30)</f>
        <v>0</v>
      </c>
      <c r="BB107" s="12" t="n">
        <f aca="false">IF('Raw Data'!BG30="",0,'Raw Data'!BG30)</f>
        <v>0</v>
      </c>
      <c r="BC107" s="12" t="n">
        <f aca="false">IF('Raw Data'!BH30="",0,'Raw Data'!BH30)</f>
        <v>0</v>
      </c>
      <c r="BD107" s="12" t="n">
        <f aca="false">IF('Raw Data'!BI30="",0,'Raw Data'!BI30)</f>
        <v>0</v>
      </c>
      <c r="BE107" s="12" t="n">
        <f aca="false">IF('Raw Data'!BJ30="",0,'Raw Data'!BJ30)</f>
        <v>0</v>
      </c>
      <c r="BF107" s="12" t="n">
        <f aca="false">IF('Raw Data'!BK30="",0,'Raw Data'!BK30)</f>
        <v>0</v>
      </c>
      <c r="BG107" s="12" t="n">
        <f aca="false">IF('Raw Data'!BL30="",0,'Raw Data'!BL30)</f>
        <v>0</v>
      </c>
      <c r="BH107" s="12" t="n">
        <f aca="false">IF('Raw Data'!BM30="",0,'Raw Data'!BM30)</f>
        <v>0</v>
      </c>
      <c r="BI107" s="12" t="n">
        <f aca="false">IF('Raw Data'!BN30="",0,'Raw Data'!BN30)</f>
        <v>0</v>
      </c>
      <c r="BJ107" s="12" t="n">
        <f aca="false">IF('Raw Data'!BO30="",0,'Raw Data'!BO30)</f>
        <v>0</v>
      </c>
      <c r="BK107" s="12" t="n">
        <f aca="false">IF('Raw Data'!BP30="",0,'Raw Data'!BP30)</f>
        <v>0</v>
      </c>
      <c r="BL107" s="12" t="n">
        <f aca="false">IF('Raw Data'!BQ30="",0,'Raw Data'!BQ30)</f>
        <v>0</v>
      </c>
      <c r="BM107" s="12" t="n">
        <f aca="false">IF('Raw Data'!BR30="",0,'Raw Data'!BR30)</f>
        <v>0</v>
      </c>
      <c r="BN107" s="12" t="n">
        <f aca="false">IF('Raw Data'!BS30="",0,'Raw Data'!BS30)</f>
        <v>0</v>
      </c>
      <c r="BO107" s="21" t="b">
        <f aca="false">FALSE()</f>
        <v>0</v>
      </c>
    </row>
    <row r="108" customFormat="false" ht="15" hidden="false" customHeight="false" outlineLevel="0" collapsed="false">
      <c r="A108" s="20" t="str">
        <f aca="false">'Raw Data'!A52</f>
        <v>State Account #42 (International)</v>
      </c>
      <c r="B108" s="12" t="n">
        <f aca="false">IF('Raw Data'!G52="",0,'Raw Data'!G52)</f>
        <v>0</v>
      </c>
      <c r="C108" s="12" t="n">
        <f aca="false">IF('Raw Data'!H52="",0,'Raw Data'!H52)</f>
        <v>0</v>
      </c>
      <c r="D108" s="12" t="n">
        <f aca="false">IF('Raw Data'!I52="",0,'Raw Data'!I52)</f>
        <v>0</v>
      </c>
      <c r="E108" s="12" t="n">
        <f aca="false">IF('Raw Data'!J52="",0,'Raw Data'!J52)</f>
        <v>0</v>
      </c>
      <c r="F108" s="12" t="n">
        <f aca="false">IF('Raw Data'!K52="",0,'Raw Data'!K52)</f>
        <v>0</v>
      </c>
      <c r="G108" s="12" t="n">
        <f aca="false">IF('Raw Data'!L52="",0,'Raw Data'!L52)</f>
        <v>0</v>
      </c>
      <c r="H108" s="12" t="n">
        <f aca="false">IF('Raw Data'!M52="",0,'Raw Data'!M52)</f>
        <v>0</v>
      </c>
      <c r="I108" s="12" t="n">
        <f aca="false">IF('Raw Data'!N52="",0,'Raw Data'!N52)</f>
        <v>0</v>
      </c>
      <c r="J108" s="12" t="n">
        <f aca="false">IF('Raw Data'!O52="",0,'Raw Data'!O52)</f>
        <v>0</v>
      </c>
      <c r="K108" s="12" t="n">
        <f aca="false">IF('Raw Data'!P52="",0,'Raw Data'!P52)</f>
        <v>0</v>
      </c>
      <c r="L108" s="12" t="n">
        <f aca="false">IF('Raw Data'!Q52="",0,'Raw Data'!Q52)</f>
        <v>0</v>
      </c>
      <c r="M108" s="12" t="n">
        <f aca="false">IF('Raw Data'!R52="",0,'Raw Data'!R52)</f>
        <v>0</v>
      </c>
      <c r="N108" s="12" t="n">
        <f aca="false">IF('Raw Data'!S52="",0,'Raw Data'!S52)</f>
        <v>0</v>
      </c>
      <c r="O108" s="12" t="n">
        <f aca="false">IF('Raw Data'!T52="",0,'Raw Data'!T52)</f>
        <v>0</v>
      </c>
      <c r="P108" s="12" t="n">
        <f aca="false">IF('Raw Data'!U52="",0,'Raw Data'!U52)</f>
        <v>0</v>
      </c>
      <c r="Q108" s="12" t="n">
        <f aca="false">IF('Raw Data'!V52="",0,'Raw Data'!V52)</f>
        <v>0</v>
      </c>
      <c r="R108" s="12" t="n">
        <f aca="false">IF('Raw Data'!W52="",0,'Raw Data'!W52)</f>
        <v>0</v>
      </c>
      <c r="S108" s="12" t="n">
        <f aca="false">IF('Raw Data'!X52="",0,'Raw Data'!X52)</f>
        <v>0</v>
      </c>
      <c r="T108" s="12" t="n">
        <f aca="false">IF('Raw Data'!Y52="",0,'Raw Data'!Y52)</f>
        <v>0</v>
      </c>
      <c r="U108" s="12" t="n">
        <f aca="false">IF('Raw Data'!Z52="",0,'Raw Data'!Z52)</f>
        <v>0</v>
      </c>
      <c r="V108" s="12" t="n">
        <f aca="false">IF('Raw Data'!AA52="",0,'Raw Data'!AA52)</f>
        <v>0</v>
      </c>
      <c r="W108" s="12" t="n">
        <f aca="false">IF('Raw Data'!AB52="",0,'Raw Data'!AB52)</f>
        <v>0</v>
      </c>
      <c r="X108" s="12" t="n">
        <f aca="false">IF('Raw Data'!AC52="",0,'Raw Data'!AC52)</f>
        <v>0</v>
      </c>
      <c r="Y108" s="12" t="n">
        <f aca="false">IF('Raw Data'!AD52="",0,'Raw Data'!AD52)</f>
        <v>0</v>
      </c>
      <c r="Z108" s="12" t="n">
        <f aca="false">IF('Raw Data'!AE52="",0,'Raw Data'!AE52)</f>
        <v>0</v>
      </c>
      <c r="AA108" s="12" t="n">
        <f aca="false">IF('Raw Data'!AF52="",0,'Raw Data'!AF52)</f>
        <v>0</v>
      </c>
      <c r="AB108" s="12" t="n">
        <f aca="false">IF('Raw Data'!AG52="",0,'Raw Data'!AG52)</f>
        <v>0</v>
      </c>
      <c r="AC108" s="12" t="n">
        <f aca="false">IF('Raw Data'!AH52="",0,'Raw Data'!AH52)</f>
        <v>0</v>
      </c>
      <c r="AD108" s="12" t="n">
        <f aca="false">IF('Raw Data'!AI52="",0,'Raw Data'!AI52)</f>
        <v>0</v>
      </c>
      <c r="AE108" s="12" t="n">
        <f aca="false">IF('Raw Data'!AJ52="",0,'Raw Data'!AJ52)</f>
        <v>933.333333333333</v>
      </c>
      <c r="AF108" s="12" t="n">
        <f aca="false">IF('Raw Data'!AK52="",0,'Raw Data'!AK52)</f>
        <v>933.333333333333</v>
      </c>
      <c r="AG108" s="12" t="n">
        <f aca="false">IF('Raw Data'!AL52="",0,'Raw Data'!AL52)</f>
        <v>933.333333333333</v>
      </c>
      <c r="AH108" s="12" t="n">
        <f aca="false">IF('Raw Data'!AM52="",0,'Raw Data'!AM52)</f>
        <v>933.333333333333</v>
      </c>
      <c r="AI108" s="12" t="n">
        <f aca="false">IF('Raw Data'!AN52="",0,'Raw Data'!AN52)</f>
        <v>933.333333333333</v>
      </c>
      <c r="AJ108" s="12" t="n">
        <f aca="false">IF('Raw Data'!AO52="",0,'Raw Data'!AO52)</f>
        <v>933.333333333333</v>
      </c>
      <c r="AK108" s="12" t="n">
        <f aca="false">IF('Raw Data'!AP52="",0,'Raw Data'!AP52)</f>
        <v>933.333333333333</v>
      </c>
      <c r="AL108" s="12" t="n">
        <f aca="false">IF('Raw Data'!AQ52="",0,'Raw Data'!AQ52)</f>
        <v>933.333333333333</v>
      </c>
      <c r="AM108" s="12" t="n">
        <f aca="false">IF('Raw Data'!AR52="",0,'Raw Data'!AR52)</f>
        <v>933.333333333333</v>
      </c>
      <c r="AN108" s="12" t="n">
        <f aca="false">IF('Raw Data'!AS52="",0,'Raw Data'!AS52)</f>
        <v>933.333333333333</v>
      </c>
      <c r="AO108" s="12" t="n">
        <f aca="false">IF('Raw Data'!AT52="",0,'Raw Data'!AT52)</f>
        <v>933.333333333333</v>
      </c>
      <c r="AP108" s="12" t="n">
        <f aca="false">IF('Raw Data'!AU52="",0,'Raw Data'!AU52)</f>
        <v>933.333333333333</v>
      </c>
      <c r="AQ108" s="12" t="n">
        <f aca="false">IF('Raw Data'!AV52="",0,'Raw Data'!AV52)</f>
        <v>933.333333333333</v>
      </c>
      <c r="AR108" s="12" t="n">
        <f aca="false">IF('Raw Data'!AW52="",0,'Raw Data'!AW52)</f>
        <v>1266.66515151515</v>
      </c>
      <c r="AS108" s="12" t="n">
        <f aca="false">IF('Raw Data'!AX52="",0,'Raw Data'!AX52)</f>
        <v>1266.66515151515</v>
      </c>
      <c r="AT108" s="12" t="n">
        <f aca="false">IF('Raw Data'!AY52="",0,'Raw Data'!AY52)</f>
        <v>1266.66515151515</v>
      </c>
      <c r="AU108" s="12" t="n">
        <f aca="false">IF('Raw Data'!AZ52="",0,'Raw Data'!AZ52)</f>
        <v>1266.66515151515</v>
      </c>
      <c r="AV108" s="12" t="n">
        <f aca="false">IF('Raw Data'!BA52="",0,'Raw Data'!BA52)</f>
        <v>1266.66515151515</v>
      </c>
      <c r="AW108" s="12" t="n">
        <f aca="false">IF('Raw Data'!BB52="",0,'Raw Data'!BB52)</f>
        <v>1266.66515151515</v>
      </c>
      <c r="AX108" s="12" t="n">
        <f aca="false">IF('Raw Data'!BC52="",0,'Raw Data'!BC52)</f>
        <v>1266.66515151515</v>
      </c>
      <c r="AY108" s="12" t="n">
        <f aca="false">IF('Raw Data'!BD52="",0,'Raw Data'!BD52)</f>
        <v>1266.66515151515</v>
      </c>
      <c r="AZ108" s="12" t="n">
        <f aca="false">IF('Raw Data'!BE52="",0,'Raw Data'!BE52)</f>
        <v>1266.66515151515</v>
      </c>
      <c r="BA108" s="12" t="n">
        <f aca="false">IF('Raw Data'!BF52="",0,'Raw Data'!BF52)</f>
        <v>1266.66515151515</v>
      </c>
      <c r="BB108" s="12" t="n">
        <f aca="false">IF('Raw Data'!BG52="",0,'Raw Data'!BG52)</f>
        <v>1266.66515151515</v>
      </c>
      <c r="BC108" s="12" t="n">
        <f aca="false">IF('Raw Data'!BH52="",0,'Raw Data'!BH52)</f>
        <v>1266.66666666667</v>
      </c>
      <c r="BD108" s="12" t="n">
        <f aca="false">IF('Raw Data'!BI52="",0,'Raw Data'!BI52)</f>
        <v>1266.66666666667</v>
      </c>
      <c r="BE108" s="12" t="n">
        <f aca="false">IF('Raw Data'!BJ52="",0,'Raw Data'!BJ52)</f>
        <v>1266.66666666667</v>
      </c>
      <c r="BF108" s="12" t="n">
        <f aca="false">IF('Raw Data'!BK52="",0,'Raw Data'!BK52)</f>
        <v>1266.66666666667</v>
      </c>
      <c r="BG108" s="12" t="n">
        <f aca="false">IF('Raw Data'!BL52="",0,'Raw Data'!BL52)</f>
        <v>1266.66666666667</v>
      </c>
      <c r="BH108" s="12" t="n">
        <f aca="false">IF('Raw Data'!BM52="",0,'Raw Data'!BM52)</f>
        <v>1266.66666666667</v>
      </c>
      <c r="BI108" s="12" t="n">
        <f aca="false">IF('Raw Data'!BN52="",0,'Raw Data'!BN52)</f>
        <v>1266.66666666667</v>
      </c>
      <c r="BJ108" s="12" t="n">
        <f aca="false">IF('Raw Data'!BO52="",0,'Raw Data'!BO52)</f>
        <v>1266.66666666667</v>
      </c>
      <c r="BK108" s="12" t="n">
        <f aca="false">IF('Raw Data'!BP52="",0,'Raw Data'!BP52)</f>
        <v>1266.66666666667</v>
      </c>
      <c r="BL108" s="12" t="n">
        <f aca="false">IF('Raw Data'!BQ52="",0,'Raw Data'!BQ52)</f>
        <v>1266.66666666667</v>
      </c>
      <c r="BM108" s="12" t="n">
        <f aca="false">IF('Raw Data'!BR52="",0,'Raw Data'!BR52)</f>
        <v>1266.66666666667</v>
      </c>
      <c r="BN108" s="12" t="n">
        <f aca="false">IF('Raw Data'!BS52="",0,'Raw Data'!BS52)</f>
        <v>1266.66666666667</v>
      </c>
      <c r="BO108" s="21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.83"/>
    <col collapsed="false" customWidth="true" hidden="false" outlineLevel="0" max="3" min="3" style="0" width="14.51"/>
    <col collapsed="false" customWidth="true" hidden="false" outlineLevel="0" max="4" min="4" style="0" width="22"/>
    <col collapsed="false" customWidth="true" hidden="false" outlineLevel="0" max="5" min="5" style="0" width="22.5"/>
    <col collapsed="false" customWidth="true" hidden="false" outlineLevel="0" max="6" min="6" style="0" width="1.33"/>
    <col collapsed="false" customWidth="true" hidden="false" outlineLevel="0" max="7" min="7" style="0" width="11.33"/>
    <col collapsed="false" customWidth="true" hidden="false" outlineLevel="0" max="79" min="79" style="0" width="3.83"/>
    <col collapsed="false" customWidth="true" hidden="false" outlineLevel="0" max="80" min="80" style="0" width="30.33"/>
    <col collapsed="false" customWidth="true" hidden="false" outlineLevel="0" max="81" min="81" style="0" width="11.33"/>
    <col collapsed="false" customWidth="true" hidden="false" outlineLevel="0" max="153" min="153" style="0" width="3.83"/>
    <col collapsed="false" customWidth="true" hidden="false" outlineLevel="0" max="154" min="154" style="0" width="11.33"/>
    <col collapsed="false" customWidth="true" hidden="false" outlineLevel="0" max="226" min="226" style="0" width="3.83"/>
    <col collapsed="false" customWidth="true" hidden="false" outlineLevel="0" max="227" min="227" style="0" width="11.33"/>
    <col collapsed="false" customWidth="true" hidden="false" outlineLevel="0" max="299" min="299" style="0" width="1.33"/>
    <col collapsed="false" customWidth="true" hidden="false" outlineLevel="0" max="300" min="300" style="0" width="11.33"/>
  </cols>
  <sheetData>
    <row r="1" customFormat="false" ht="15.75" hidden="false" customHeight="true" outlineLevel="0" collapsed="false">
      <c r="G1" s="22" t="s">
        <v>148</v>
      </c>
      <c r="H1" s="22" t="s">
        <v>148</v>
      </c>
      <c r="I1" s="22" t="s">
        <v>148</v>
      </c>
      <c r="J1" s="22" t="s">
        <v>148</v>
      </c>
      <c r="K1" s="22" t="s">
        <v>148</v>
      </c>
      <c r="L1" s="22" t="s">
        <v>148</v>
      </c>
      <c r="M1" s="22" t="s">
        <v>148</v>
      </c>
      <c r="N1" s="22" t="s">
        <v>148</v>
      </c>
      <c r="O1" s="22" t="s">
        <v>148</v>
      </c>
      <c r="P1" s="22" t="s">
        <v>148</v>
      </c>
      <c r="Q1" s="22" t="s">
        <v>148</v>
      </c>
      <c r="R1" s="22" t="s">
        <v>148</v>
      </c>
      <c r="S1" s="22" t="s">
        <v>148</v>
      </c>
      <c r="T1" s="22" t="s">
        <v>148</v>
      </c>
      <c r="U1" s="22" t="s">
        <v>148</v>
      </c>
      <c r="V1" s="22" t="s">
        <v>148</v>
      </c>
      <c r="W1" s="22" t="s">
        <v>148</v>
      </c>
      <c r="X1" s="22" t="s">
        <v>148</v>
      </c>
      <c r="Y1" s="22" t="s">
        <v>148</v>
      </c>
      <c r="Z1" s="22" t="s">
        <v>148</v>
      </c>
      <c r="AA1" s="22" t="s">
        <v>148</v>
      </c>
      <c r="AB1" s="22" t="s">
        <v>148</v>
      </c>
      <c r="AC1" s="22" t="s">
        <v>148</v>
      </c>
      <c r="AD1" s="22" t="s">
        <v>148</v>
      </c>
      <c r="AE1" s="22" t="s">
        <v>148</v>
      </c>
      <c r="AF1" s="22" t="s">
        <v>148</v>
      </c>
      <c r="AG1" s="22" t="s">
        <v>148</v>
      </c>
      <c r="AH1" s="22" t="s">
        <v>148</v>
      </c>
      <c r="AI1" s="22" t="s">
        <v>148</v>
      </c>
      <c r="AJ1" s="22" t="s">
        <v>148</v>
      </c>
      <c r="AK1" s="22" t="s">
        <v>148</v>
      </c>
      <c r="AL1" s="22" t="s">
        <v>148</v>
      </c>
      <c r="AM1" s="22" t="s">
        <v>148</v>
      </c>
      <c r="AN1" s="22" t="s">
        <v>148</v>
      </c>
      <c r="AO1" s="22" t="s">
        <v>148</v>
      </c>
      <c r="AP1" s="22" t="s">
        <v>148</v>
      </c>
      <c r="AQ1" s="22" t="s">
        <v>148</v>
      </c>
      <c r="AR1" s="22" t="s">
        <v>148</v>
      </c>
      <c r="AS1" s="22" t="s">
        <v>148</v>
      </c>
      <c r="AT1" s="22" t="s">
        <v>148</v>
      </c>
      <c r="AU1" s="22" t="s">
        <v>148</v>
      </c>
      <c r="AV1" s="22" t="s">
        <v>148</v>
      </c>
      <c r="AW1" s="22" t="s">
        <v>148</v>
      </c>
      <c r="AX1" s="22" t="s">
        <v>148</v>
      </c>
      <c r="AY1" s="22" t="s">
        <v>148</v>
      </c>
      <c r="AZ1" s="22" t="s">
        <v>148</v>
      </c>
      <c r="BA1" s="22" t="s">
        <v>148</v>
      </c>
      <c r="BB1" s="22" t="s">
        <v>148</v>
      </c>
      <c r="BC1" s="22" t="s">
        <v>148</v>
      </c>
      <c r="BD1" s="22" t="s">
        <v>148</v>
      </c>
      <c r="BE1" s="22" t="s">
        <v>148</v>
      </c>
      <c r="BF1" s="22" t="s">
        <v>148</v>
      </c>
      <c r="BG1" s="22" t="s">
        <v>148</v>
      </c>
      <c r="BH1" s="22" t="s">
        <v>148</v>
      </c>
      <c r="BI1" s="22" t="s">
        <v>148</v>
      </c>
      <c r="BJ1" s="22" t="s">
        <v>148</v>
      </c>
      <c r="BK1" s="22" t="s">
        <v>148</v>
      </c>
      <c r="BL1" s="22" t="s">
        <v>148</v>
      </c>
      <c r="BM1" s="22" t="s">
        <v>148</v>
      </c>
      <c r="BN1" s="22" t="s">
        <v>148</v>
      </c>
      <c r="BO1" s="22" t="s">
        <v>148</v>
      </c>
      <c r="BP1" s="22" t="s">
        <v>148</v>
      </c>
      <c r="BQ1" s="22" t="s">
        <v>148</v>
      </c>
      <c r="BR1" s="23" t="s">
        <v>148</v>
      </c>
      <c r="BS1" s="22" t="s">
        <v>148</v>
      </c>
      <c r="BT1" s="22" t="s">
        <v>148</v>
      </c>
      <c r="BU1" s="22" t="s">
        <v>148</v>
      </c>
      <c r="BV1" s="22" t="s">
        <v>148</v>
      </c>
      <c r="BW1" s="22" t="s">
        <v>148</v>
      </c>
      <c r="BX1" s="22" t="s">
        <v>148</v>
      </c>
      <c r="BY1" s="22" t="s">
        <v>148</v>
      </c>
      <c r="BZ1" s="22" t="s">
        <v>148</v>
      </c>
      <c r="CC1" s="22" t="s">
        <v>149</v>
      </c>
      <c r="CD1" s="22" t="s">
        <v>149</v>
      </c>
      <c r="CE1" s="22" t="s">
        <v>149</v>
      </c>
      <c r="CF1" s="22" t="s">
        <v>149</v>
      </c>
      <c r="CG1" s="22" t="s">
        <v>149</v>
      </c>
      <c r="CH1" s="22" t="s">
        <v>149</v>
      </c>
      <c r="CI1" s="22" t="s">
        <v>149</v>
      </c>
      <c r="CJ1" s="22" t="s">
        <v>149</v>
      </c>
      <c r="CK1" s="22" t="s">
        <v>149</v>
      </c>
      <c r="CL1" s="22" t="s">
        <v>149</v>
      </c>
      <c r="CM1" s="22" t="s">
        <v>149</v>
      </c>
      <c r="CN1" s="22" t="s">
        <v>149</v>
      </c>
      <c r="CO1" s="22" t="s">
        <v>149</v>
      </c>
      <c r="CP1" s="22" t="s">
        <v>149</v>
      </c>
      <c r="CQ1" s="22" t="s">
        <v>149</v>
      </c>
      <c r="CR1" s="22" t="s">
        <v>149</v>
      </c>
      <c r="CS1" s="22" t="s">
        <v>149</v>
      </c>
      <c r="CT1" s="22" t="s">
        <v>149</v>
      </c>
      <c r="CU1" s="22" t="s">
        <v>149</v>
      </c>
      <c r="CV1" s="22" t="s">
        <v>149</v>
      </c>
      <c r="CW1" s="22" t="s">
        <v>149</v>
      </c>
      <c r="CX1" s="22" t="s">
        <v>149</v>
      </c>
      <c r="CY1" s="22" t="s">
        <v>149</v>
      </c>
      <c r="CZ1" s="22" t="s">
        <v>149</v>
      </c>
      <c r="DA1" s="22" t="s">
        <v>149</v>
      </c>
      <c r="DB1" s="22" t="s">
        <v>149</v>
      </c>
      <c r="DC1" s="22" t="s">
        <v>149</v>
      </c>
      <c r="DD1" s="22" t="s">
        <v>149</v>
      </c>
      <c r="DE1" s="22" t="s">
        <v>149</v>
      </c>
      <c r="DF1" s="22" t="s">
        <v>149</v>
      </c>
      <c r="DG1" s="22" t="s">
        <v>149</v>
      </c>
      <c r="DH1" s="22" t="s">
        <v>149</v>
      </c>
      <c r="DI1" s="22" t="s">
        <v>149</v>
      </c>
      <c r="DJ1" s="22" t="s">
        <v>149</v>
      </c>
      <c r="DK1" s="22" t="s">
        <v>149</v>
      </c>
      <c r="DL1" s="22" t="s">
        <v>149</v>
      </c>
      <c r="DM1" s="22" t="s">
        <v>149</v>
      </c>
      <c r="DN1" s="22" t="s">
        <v>149</v>
      </c>
      <c r="DO1" s="22" t="s">
        <v>149</v>
      </c>
      <c r="DP1" s="22" t="s">
        <v>149</v>
      </c>
      <c r="DQ1" s="22" t="s">
        <v>149</v>
      </c>
      <c r="DR1" s="22" t="s">
        <v>149</v>
      </c>
      <c r="DS1" s="22" t="s">
        <v>149</v>
      </c>
      <c r="DT1" s="22" t="s">
        <v>149</v>
      </c>
      <c r="DU1" s="22" t="s">
        <v>149</v>
      </c>
      <c r="DV1" s="22" t="s">
        <v>149</v>
      </c>
      <c r="DW1" s="22" t="s">
        <v>149</v>
      </c>
      <c r="DX1" s="22" t="s">
        <v>149</v>
      </c>
      <c r="DY1" s="22" t="s">
        <v>149</v>
      </c>
      <c r="DZ1" s="22" t="s">
        <v>149</v>
      </c>
      <c r="EA1" s="22" t="s">
        <v>149</v>
      </c>
      <c r="EB1" s="22" t="s">
        <v>149</v>
      </c>
      <c r="EC1" s="22" t="s">
        <v>149</v>
      </c>
      <c r="ED1" s="22" t="s">
        <v>149</v>
      </c>
      <c r="EE1" s="22" t="s">
        <v>149</v>
      </c>
      <c r="EF1" s="22" t="s">
        <v>149</v>
      </c>
      <c r="EG1" s="22" t="s">
        <v>149</v>
      </c>
      <c r="EH1" s="22" t="s">
        <v>149</v>
      </c>
      <c r="EI1" s="22" t="s">
        <v>149</v>
      </c>
      <c r="EJ1" s="22" t="s">
        <v>149</v>
      </c>
      <c r="EK1" s="22" t="s">
        <v>149</v>
      </c>
      <c r="EL1" s="22" t="s">
        <v>149</v>
      </c>
      <c r="EM1" s="22" t="s">
        <v>149</v>
      </c>
      <c r="EN1" s="23" t="s">
        <v>149</v>
      </c>
      <c r="EO1" s="22" t="s">
        <v>149</v>
      </c>
      <c r="EP1" s="22" t="s">
        <v>149</v>
      </c>
      <c r="EQ1" s="22" t="s">
        <v>149</v>
      </c>
      <c r="ER1" s="22" t="s">
        <v>149</v>
      </c>
      <c r="ES1" s="22" t="s">
        <v>149</v>
      </c>
      <c r="ET1" s="22" t="s">
        <v>149</v>
      </c>
      <c r="EU1" s="22" t="s">
        <v>149</v>
      </c>
      <c r="EV1" s="22" t="s">
        <v>149</v>
      </c>
      <c r="EX1" s="24" t="s">
        <v>150</v>
      </c>
      <c r="EY1" s="24" t="s">
        <v>150</v>
      </c>
      <c r="EZ1" s="24" t="s">
        <v>150</v>
      </c>
      <c r="FA1" s="24" t="s">
        <v>150</v>
      </c>
      <c r="FB1" s="24" t="s">
        <v>150</v>
      </c>
      <c r="FC1" s="24" t="s">
        <v>150</v>
      </c>
      <c r="FD1" s="24" t="s">
        <v>150</v>
      </c>
      <c r="FE1" s="24" t="s">
        <v>150</v>
      </c>
      <c r="FF1" s="24" t="s">
        <v>150</v>
      </c>
      <c r="FG1" s="24" t="s">
        <v>150</v>
      </c>
      <c r="FH1" s="24" t="s">
        <v>150</v>
      </c>
      <c r="FI1" s="24" t="s">
        <v>150</v>
      </c>
      <c r="FJ1" s="24" t="s">
        <v>150</v>
      </c>
      <c r="FK1" s="24" t="s">
        <v>150</v>
      </c>
      <c r="FL1" s="24" t="s">
        <v>150</v>
      </c>
      <c r="FM1" s="24" t="s">
        <v>150</v>
      </c>
      <c r="FN1" s="24" t="s">
        <v>150</v>
      </c>
      <c r="FO1" s="24" t="s">
        <v>150</v>
      </c>
      <c r="FP1" s="24" t="s">
        <v>150</v>
      </c>
      <c r="FQ1" s="24" t="s">
        <v>150</v>
      </c>
      <c r="FR1" s="24" t="s">
        <v>150</v>
      </c>
      <c r="FS1" s="24" t="s">
        <v>150</v>
      </c>
      <c r="FT1" s="24" t="s">
        <v>150</v>
      </c>
      <c r="FU1" s="24" t="s">
        <v>150</v>
      </c>
      <c r="FV1" s="24" t="s">
        <v>150</v>
      </c>
      <c r="FW1" s="24" t="s">
        <v>150</v>
      </c>
      <c r="FX1" s="24" t="s">
        <v>150</v>
      </c>
      <c r="FY1" s="24" t="s">
        <v>150</v>
      </c>
      <c r="FZ1" s="24" t="s">
        <v>150</v>
      </c>
      <c r="GA1" s="24" t="s">
        <v>150</v>
      </c>
      <c r="GB1" s="24" t="s">
        <v>150</v>
      </c>
      <c r="GC1" s="24" t="s">
        <v>150</v>
      </c>
      <c r="GD1" s="24" t="s">
        <v>150</v>
      </c>
      <c r="GE1" s="24" t="s">
        <v>150</v>
      </c>
      <c r="GF1" s="24" t="s">
        <v>150</v>
      </c>
      <c r="GG1" s="24" t="s">
        <v>150</v>
      </c>
      <c r="GH1" s="24" t="s">
        <v>150</v>
      </c>
      <c r="GI1" s="24" t="s">
        <v>150</v>
      </c>
      <c r="GJ1" s="24" t="s">
        <v>150</v>
      </c>
      <c r="GK1" s="24" t="s">
        <v>150</v>
      </c>
      <c r="GL1" s="24" t="s">
        <v>150</v>
      </c>
      <c r="GM1" s="24" t="s">
        <v>150</v>
      </c>
      <c r="GN1" s="24" t="s">
        <v>150</v>
      </c>
      <c r="GO1" s="24" t="s">
        <v>150</v>
      </c>
      <c r="GP1" s="24" t="s">
        <v>150</v>
      </c>
      <c r="GQ1" s="24" t="s">
        <v>150</v>
      </c>
      <c r="GR1" s="24" t="s">
        <v>150</v>
      </c>
      <c r="GS1" s="24" t="s">
        <v>150</v>
      </c>
      <c r="GT1" s="24" t="s">
        <v>150</v>
      </c>
      <c r="GU1" s="24" t="s">
        <v>150</v>
      </c>
      <c r="GV1" s="24" t="s">
        <v>150</v>
      </c>
      <c r="GW1" s="24" t="s">
        <v>150</v>
      </c>
      <c r="GX1" s="24" t="s">
        <v>150</v>
      </c>
      <c r="GY1" s="24" t="s">
        <v>150</v>
      </c>
      <c r="GZ1" s="24" t="s">
        <v>150</v>
      </c>
      <c r="HA1" s="24" t="s">
        <v>150</v>
      </c>
      <c r="HB1" s="24" t="s">
        <v>150</v>
      </c>
      <c r="HC1" s="24" t="s">
        <v>150</v>
      </c>
      <c r="HD1" s="24" t="s">
        <v>150</v>
      </c>
      <c r="HE1" s="24" t="s">
        <v>150</v>
      </c>
      <c r="HF1" s="24" t="s">
        <v>150</v>
      </c>
      <c r="HG1" s="24" t="s">
        <v>150</v>
      </c>
      <c r="HH1" s="24" t="s">
        <v>150</v>
      </c>
      <c r="HI1" s="25" t="s">
        <v>150</v>
      </c>
      <c r="HJ1" s="24" t="s">
        <v>150</v>
      </c>
      <c r="HK1" s="24" t="s">
        <v>150</v>
      </c>
      <c r="HL1" s="24" t="s">
        <v>150</v>
      </c>
      <c r="HM1" s="24" t="s">
        <v>150</v>
      </c>
      <c r="HN1" s="24" t="s">
        <v>150</v>
      </c>
      <c r="HO1" s="24" t="s">
        <v>150</v>
      </c>
      <c r="HP1" s="24" t="s">
        <v>150</v>
      </c>
      <c r="HQ1" s="24" t="s">
        <v>150</v>
      </c>
      <c r="HS1" s="24" t="s">
        <v>151</v>
      </c>
      <c r="HT1" s="24" t="s">
        <v>151</v>
      </c>
      <c r="HU1" s="24" t="s">
        <v>151</v>
      </c>
      <c r="HV1" s="24" t="s">
        <v>151</v>
      </c>
      <c r="HW1" s="24" t="s">
        <v>151</v>
      </c>
      <c r="HX1" s="24" t="s">
        <v>151</v>
      </c>
      <c r="HY1" s="24" t="s">
        <v>151</v>
      </c>
      <c r="HZ1" s="24" t="s">
        <v>151</v>
      </c>
      <c r="IA1" s="24" t="s">
        <v>151</v>
      </c>
      <c r="IB1" s="24" t="s">
        <v>151</v>
      </c>
      <c r="IC1" s="24" t="s">
        <v>151</v>
      </c>
      <c r="ID1" s="24" t="s">
        <v>151</v>
      </c>
      <c r="IE1" s="24" t="s">
        <v>151</v>
      </c>
      <c r="IF1" s="24" t="s">
        <v>151</v>
      </c>
      <c r="IG1" s="24" t="s">
        <v>151</v>
      </c>
      <c r="IH1" s="24" t="s">
        <v>151</v>
      </c>
      <c r="II1" s="24" t="s">
        <v>151</v>
      </c>
      <c r="IJ1" s="24" t="s">
        <v>151</v>
      </c>
      <c r="IK1" s="24" t="s">
        <v>151</v>
      </c>
      <c r="IL1" s="24" t="s">
        <v>151</v>
      </c>
      <c r="IM1" s="24" t="s">
        <v>151</v>
      </c>
      <c r="IN1" s="24" t="s">
        <v>151</v>
      </c>
      <c r="IO1" s="24" t="s">
        <v>151</v>
      </c>
      <c r="IP1" s="24" t="s">
        <v>151</v>
      </c>
      <c r="IQ1" s="24" t="s">
        <v>151</v>
      </c>
      <c r="IR1" s="24" t="s">
        <v>151</v>
      </c>
      <c r="IS1" s="24" t="s">
        <v>151</v>
      </c>
      <c r="IT1" s="24" t="s">
        <v>151</v>
      </c>
      <c r="IU1" s="24" t="s">
        <v>151</v>
      </c>
      <c r="IV1" s="24" t="s">
        <v>151</v>
      </c>
      <c r="IW1" s="24" t="s">
        <v>151</v>
      </c>
      <c r="IX1" s="24" t="s">
        <v>151</v>
      </c>
      <c r="IY1" s="24" t="s">
        <v>151</v>
      </c>
      <c r="IZ1" s="24" t="s">
        <v>151</v>
      </c>
      <c r="JA1" s="24" t="s">
        <v>151</v>
      </c>
      <c r="JB1" s="24" t="s">
        <v>151</v>
      </c>
      <c r="JC1" s="24" t="s">
        <v>151</v>
      </c>
      <c r="JD1" s="24" t="s">
        <v>151</v>
      </c>
      <c r="JE1" s="24" t="s">
        <v>151</v>
      </c>
      <c r="JF1" s="24" t="s">
        <v>151</v>
      </c>
      <c r="JG1" s="24" t="s">
        <v>151</v>
      </c>
      <c r="JH1" s="24" t="s">
        <v>151</v>
      </c>
      <c r="JI1" s="24" t="s">
        <v>151</v>
      </c>
      <c r="JJ1" s="24" t="s">
        <v>151</v>
      </c>
      <c r="JK1" s="24" t="s">
        <v>151</v>
      </c>
      <c r="JL1" s="24" t="s">
        <v>151</v>
      </c>
      <c r="JM1" s="24" t="s">
        <v>151</v>
      </c>
      <c r="JN1" s="24" t="s">
        <v>151</v>
      </c>
      <c r="JO1" s="24" t="s">
        <v>151</v>
      </c>
      <c r="JP1" s="24" t="s">
        <v>151</v>
      </c>
      <c r="JQ1" s="24" t="s">
        <v>151</v>
      </c>
      <c r="JR1" s="24" t="s">
        <v>151</v>
      </c>
      <c r="JS1" s="24" t="s">
        <v>151</v>
      </c>
      <c r="JT1" s="24" t="s">
        <v>151</v>
      </c>
      <c r="JU1" s="24" t="s">
        <v>151</v>
      </c>
      <c r="JV1" s="24" t="s">
        <v>151</v>
      </c>
      <c r="JW1" s="24" t="s">
        <v>151</v>
      </c>
      <c r="JX1" s="24" t="s">
        <v>151</v>
      </c>
      <c r="JY1" s="24" t="s">
        <v>151</v>
      </c>
      <c r="JZ1" s="24" t="s">
        <v>151</v>
      </c>
      <c r="KA1" s="24" t="s">
        <v>151</v>
      </c>
      <c r="KB1" s="24" t="s">
        <v>151</v>
      </c>
      <c r="KC1" s="24" t="s">
        <v>151</v>
      </c>
      <c r="KD1" s="25" t="s">
        <v>151</v>
      </c>
      <c r="KE1" s="24" t="s">
        <v>151</v>
      </c>
      <c r="KF1" s="24" t="s">
        <v>151</v>
      </c>
      <c r="KG1" s="24" t="s">
        <v>151</v>
      </c>
      <c r="KH1" s="24" t="s">
        <v>151</v>
      </c>
      <c r="KI1" s="24" t="s">
        <v>151</v>
      </c>
      <c r="KJ1" s="24" t="s">
        <v>151</v>
      </c>
      <c r="KK1" s="24" t="s">
        <v>151</v>
      </c>
      <c r="KL1" s="24" t="s">
        <v>151</v>
      </c>
    </row>
    <row r="2" customFormat="false" ht="15.75" hidden="false" customHeight="true" outlineLevel="0" collapsed="false">
      <c r="G2" s="26" t="n">
        <v>2021</v>
      </c>
      <c r="H2" s="27" t="n">
        <v>2021</v>
      </c>
      <c r="I2" s="27" t="n">
        <v>2021</v>
      </c>
      <c r="J2" s="27" t="n">
        <v>2021</v>
      </c>
      <c r="K2" s="27" t="n">
        <v>2021</v>
      </c>
      <c r="L2" s="27" t="n">
        <v>2021</v>
      </c>
      <c r="M2" s="27" t="n">
        <v>2021</v>
      </c>
      <c r="N2" s="27" t="n">
        <v>2021</v>
      </c>
      <c r="O2" s="27" t="n">
        <v>2021</v>
      </c>
      <c r="P2" s="27" t="n">
        <v>2021</v>
      </c>
      <c r="Q2" s="27" t="n">
        <v>2021</v>
      </c>
      <c r="R2" s="27" t="n">
        <v>2021</v>
      </c>
      <c r="S2" s="27" t="n">
        <v>2022</v>
      </c>
      <c r="T2" s="27" t="n">
        <v>2022</v>
      </c>
      <c r="U2" s="27" t="n">
        <v>2022</v>
      </c>
      <c r="V2" s="27" t="n">
        <v>2022</v>
      </c>
      <c r="W2" s="27" t="n">
        <v>2022</v>
      </c>
      <c r="X2" s="27" t="n">
        <v>2022</v>
      </c>
      <c r="Y2" s="27" t="n">
        <v>2022</v>
      </c>
      <c r="Z2" s="27" t="n">
        <v>2022</v>
      </c>
      <c r="AA2" s="27" t="n">
        <v>2022</v>
      </c>
      <c r="AB2" s="27" t="n">
        <v>2022</v>
      </c>
      <c r="AC2" s="27" t="n">
        <v>2022</v>
      </c>
      <c r="AD2" s="27" t="n">
        <v>2022</v>
      </c>
      <c r="AE2" s="27" t="n">
        <v>2023</v>
      </c>
      <c r="AF2" s="27" t="n">
        <v>2023</v>
      </c>
      <c r="AG2" s="27" t="n">
        <v>2023</v>
      </c>
      <c r="AH2" s="27" t="n">
        <v>2023</v>
      </c>
      <c r="AI2" s="27" t="n">
        <v>2023</v>
      </c>
      <c r="AJ2" s="27" t="n">
        <v>2023</v>
      </c>
      <c r="AK2" s="27" t="n">
        <v>2023</v>
      </c>
      <c r="AL2" s="27" t="n">
        <v>2023</v>
      </c>
      <c r="AM2" s="27" t="n">
        <v>2023</v>
      </c>
      <c r="AN2" s="27" t="n">
        <v>2023</v>
      </c>
      <c r="AO2" s="27" t="n">
        <v>2023</v>
      </c>
      <c r="AP2" s="27" t="n">
        <v>2023</v>
      </c>
      <c r="AQ2" s="27" t="n">
        <v>2024</v>
      </c>
      <c r="AR2" s="27" t="n">
        <v>2024</v>
      </c>
      <c r="AS2" s="27" t="n">
        <v>2024</v>
      </c>
      <c r="AT2" s="27" t="n">
        <v>2024</v>
      </c>
      <c r="AU2" s="27" t="n">
        <v>2024</v>
      </c>
      <c r="AV2" s="27" t="n">
        <v>2024</v>
      </c>
      <c r="AW2" s="27" t="n">
        <v>2024</v>
      </c>
      <c r="AX2" s="27" t="n">
        <v>2024</v>
      </c>
      <c r="AY2" s="27" t="n">
        <v>2024</v>
      </c>
      <c r="AZ2" s="27" t="n">
        <v>2024</v>
      </c>
      <c r="BA2" s="27" t="n">
        <v>2024</v>
      </c>
      <c r="BB2" s="27" t="n">
        <v>2024</v>
      </c>
      <c r="BC2" s="27" t="n">
        <v>2025</v>
      </c>
      <c r="BD2" s="27" t="n">
        <v>2025</v>
      </c>
      <c r="BE2" s="27" t="n">
        <v>2025</v>
      </c>
      <c r="BF2" s="27" t="n">
        <v>2025</v>
      </c>
      <c r="BG2" s="27" t="n">
        <v>2025</v>
      </c>
      <c r="BH2" s="27" t="n">
        <v>2025</v>
      </c>
      <c r="BI2" s="27" t="n">
        <v>2025</v>
      </c>
      <c r="BJ2" s="27" t="n">
        <v>2025</v>
      </c>
      <c r="BK2" s="27" t="n">
        <v>2025</v>
      </c>
      <c r="BL2" s="27" t="n">
        <v>2025</v>
      </c>
      <c r="BM2" s="27" t="n">
        <v>2025</v>
      </c>
      <c r="BN2" s="27" t="n">
        <v>2025</v>
      </c>
      <c r="BO2" s="27" t="n">
        <v>2026</v>
      </c>
      <c r="BP2" s="27" t="n">
        <v>2026</v>
      </c>
      <c r="BQ2" s="27" t="n">
        <v>2026</v>
      </c>
      <c r="BR2" s="28" t="n">
        <v>2026</v>
      </c>
      <c r="BS2" s="29" t="n">
        <v>2026</v>
      </c>
      <c r="BT2" s="27" t="n">
        <v>2026</v>
      </c>
      <c r="BU2" s="27" t="n">
        <v>2026</v>
      </c>
      <c r="BV2" s="27" t="n">
        <v>2026</v>
      </c>
      <c r="BW2" s="27" t="n">
        <v>2026</v>
      </c>
      <c r="BX2" s="27" t="n">
        <v>2026</v>
      </c>
      <c r="BY2" s="27" t="n">
        <v>2026</v>
      </c>
      <c r="BZ2" s="30" t="n">
        <v>2026</v>
      </c>
      <c r="CC2" s="27" t="n">
        <v>2021</v>
      </c>
      <c r="CD2" s="27" t="n">
        <v>2021</v>
      </c>
      <c r="CE2" s="27" t="n">
        <v>2021</v>
      </c>
      <c r="CF2" s="27" t="n">
        <v>2021</v>
      </c>
      <c r="CG2" s="27" t="n">
        <v>2021</v>
      </c>
      <c r="CH2" s="27" t="n">
        <v>2021</v>
      </c>
      <c r="CI2" s="27" t="n">
        <v>2021</v>
      </c>
      <c r="CJ2" s="27" t="n">
        <v>2021</v>
      </c>
      <c r="CK2" s="27" t="n">
        <v>2021</v>
      </c>
      <c r="CL2" s="27" t="n">
        <v>2021</v>
      </c>
      <c r="CM2" s="27" t="n">
        <v>2021</v>
      </c>
      <c r="CN2" s="27" t="n">
        <v>2021</v>
      </c>
      <c r="CO2" s="27" t="n">
        <v>2022</v>
      </c>
      <c r="CP2" s="27" t="n">
        <v>2022</v>
      </c>
      <c r="CQ2" s="27" t="n">
        <v>2022</v>
      </c>
      <c r="CR2" s="27" t="n">
        <v>2022</v>
      </c>
      <c r="CS2" s="27" t="n">
        <v>2022</v>
      </c>
      <c r="CT2" s="27" t="n">
        <v>2022</v>
      </c>
      <c r="CU2" s="27" t="n">
        <v>2022</v>
      </c>
      <c r="CV2" s="27" t="n">
        <v>2022</v>
      </c>
      <c r="CW2" s="27" t="n">
        <v>2022</v>
      </c>
      <c r="CX2" s="27" t="n">
        <v>2022</v>
      </c>
      <c r="CY2" s="27" t="n">
        <v>2022</v>
      </c>
      <c r="CZ2" s="27" t="n">
        <v>2022</v>
      </c>
      <c r="DA2" s="27" t="n">
        <v>2023</v>
      </c>
      <c r="DB2" s="27" t="n">
        <v>2023</v>
      </c>
      <c r="DC2" s="27" t="n">
        <v>2023</v>
      </c>
      <c r="DD2" s="27" t="n">
        <v>2023</v>
      </c>
      <c r="DE2" s="27" t="n">
        <v>2023</v>
      </c>
      <c r="DF2" s="27" t="n">
        <v>2023</v>
      </c>
      <c r="DG2" s="27" t="n">
        <v>2023</v>
      </c>
      <c r="DH2" s="27" t="n">
        <v>2023</v>
      </c>
      <c r="DI2" s="27" t="n">
        <v>2023</v>
      </c>
      <c r="DJ2" s="27" t="n">
        <v>2023</v>
      </c>
      <c r="DK2" s="27" t="n">
        <v>2023</v>
      </c>
      <c r="DL2" s="27" t="n">
        <v>2023</v>
      </c>
      <c r="DM2" s="27" t="n">
        <v>2024</v>
      </c>
      <c r="DN2" s="27" t="n">
        <v>2024</v>
      </c>
      <c r="DO2" s="27" t="n">
        <v>2024</v>
      </c>
      <c r="DP2" s="27" t="n">
        <v>2024</v>
      </c>
      <c r="DQ2" s="27" t="n">
        <v>2024</v>
      </c>
      <c r="DR2" s="27" t="n">
        <v>2024</v>
      </c>
      <c r="DS2" s="27" t="n">
        <v>2024</v>
      </c>
      <c r="DT2" s="27" t="n">
        <v>2024</v>
      </c>
      <c r="DU2" s="27" t="n">
        <v>2024</v>
      </c>
      <c r="DV2" s="27" t="n">
        <v>2024</v>
      </c>
      <c r="DW2" s="27" t="n">
        <v>2024</v>
      </c>
      <c r="DX2" s="27" t="n">
        <v>2024</v>
      </c>
      <c r="DY2" s="27" t="n">
        <v>2025</v>
      </c>
      <c r="DZ2" s="27" t="n">
        <v>2025</v>
      </c>
      <c r="EA2" s="27" t="n">
        <v>2025</v>
      </c>
      <c r="EB2" s="27" t="n">
        <v>2025</v>
      </c>
      <c r="EC2" s="27" t="n">
        <v>2025</v>
      </c>
      <c r="ED2" s="27" t="n">
        <v>2025</v>
      </c>
      <c r="EE2" s="27" t="n">
        <v>2025</v>
      </c>
      <c r="EF2" s="27" t="n">
        <v>2025</v>
      </c>
      <c r="EG2" s="27" t="n">
        <v>2025</v>
      </c>
      <c r="EH2" s="27" t="n">
        <v>2025</v>
      </c>
      <c r="EI2" s="27" t="n">
        <v>2025</v>
      </c>
      <c r="EJ2" s="27" t="n">
        <v>2025</v>
      </c>
      <c r="EK2" s="27" t="n">
        <v>2026</v>
      </c>
      <c r="EL2" s="27" t="n">
        <v>2026</v>
      </c>
      <c r="EM2" s="27" t="n">
        <v>2026</v>
      </c>
      <c r="EN2" s="28" t="n">
        <v>2026</v>
      </c>
      <c r="EO2" s="29" t="n">
        <v>2026</v>
      </c>
      <c r="EP2" s="27" t="n">
        <v>2026</v>
      </c>
      <c r="EQ2" s="27" t="n">
        <v>2026</v>
      </c>
      <c r="ER2" s="27" t="n">
        <v>2026</v>
      </c>
      <c r="ES2" s="27" t="n">
        <v>2026</v>
      </c>
      <c r="ET2" s="27" t="n">
        <v>2026</v>
      </c>
      <c r="EU2" s="27" t="n">
        <v>2026</v>
      </c>
      <c r="EV2" s="27" t="n">
        <v>2026</v>
      </c>
      <c r="EX2" s="27" t="n">
        <v>2021</v>
      </c>
      <c r="EY2" s="27" t="n">
        <v>2021</v>
      </c>
      <c r="EZ2" s="27" t="n">
        <v>2021</v>
      </c>
      <c r="FA2" s="27" t="n">
        <v>2021</v>
      </c>
      <c r="FB2" s="27" t="n">
        <v>2021</v>
      </c>
      <c r="FC2" s="27" t="n">
        <v>2021</v>
      </c>
      <c r="FD2" s="27" t="n">
        <v>2021</v>
      </c>
      <c r="FE2" s="27" t="n">
        <v>2021</v>
      </c>
      <c r="FF2" s="27" t="n">
        <v>2021</v>
      </c>
      <c r="FG2" s="27" t="n">
        <v>2021</v>
      </c>
      <c r="FH2" s="27" t="n">
        <v>2021</v>
      </c>
      <c r="FI2" s="27" t="n">
        <v>2021</v>
      </c>
      <c r="FJ2" s="27" t="n">
        <v>2022</v>
      </c>
      <c r="FK2" s="27" t="n">
        <v>2022</v>
      </c>
      <c r="FL2" s="27" t="n">
        <v>2022</v>
      </c>
      <c r="FM2" s="27" t="n">
        <v>2022</v>
      </c>
      <c r="FN2" s="27" t="n">
        <v>2022</v>
      </c>
      <c r="FO2" s="27" t="n">
        <v>2022</v>
      </c>
      <c r="FP2" s="27" t="n">
        <v>2022</v>
      </c>
      <c r="FQ2" s="27" t="n">
        <v>2022</v>
      </c>
      <c r="FR2" s="27" t="n">
        <v>2022</v>
      </c>
      <c r="FS2" s="27" t="n">
        <v>2022</v>
      </c>
      <c r="FT2" s="27" t="n">
        <v>2022</v>
      </c>
      <c r="FU2" s="27" t="n">
        <v>2022</v>
      </c>
      <c r="FV2" s="27" t="n">
        <v>2023</v>
      </c>
      <c r="FW2" s="27" t="n">
        <v>2023</v>
      </c>
      <c r="FX2" s="27" t="n">
        <v>2023</v>
      </c>
      <c r="FY2" s="27" t="n">
        <v>2023</v>
      </c>
      <c r="FZ2" s="27" t="n">
        <v>2023</v>
      </c>
      <c r="GA2" s="27" t="n">
        <v>2023</v>
      </c>
      <c r="GB2" s="27" t="n">
        <v>2023</v>
      </c>
      <c r="GC2" s="27" t="n">
        <v>2023</v>
      </c>
      <c r="GD2" s="27" t="n">
        <v>2023</v>
      </c>
      <c r="GE2" s="27" t="n">
        <v>2023</v>
      </c>
      <c r="GF2" s="27" t="n">
        <v>2023</v>
      </c>
      <c r="GG2" s="27" t="n">
        <v>2023</v>
      </c>
      <c r="GH2" s="27" t="n">
        <v>2024</v>
      </c>
      <c r="GI2" s="27" t="n">
        <v>2024</v>
      </c>
      <c r="GJ2" s="27" t="n">
        <v>2024</v>
      </c>
      <c r="GK2" s="27" t="n">
        <v>2024</v>
      </c>
      <c r="GL2" s="27" t="n">
        <v>2024</v>
      </c>
      <c r="GM2" s="27" t="n">
        <v>2024</v>
      </c>
      <c r="GN2" s="27" t="n">
        <v>2024</v>
      </c>
      <c r="GO2" s="27" t="n">
        <v>2024</v>
      </c>
      <c r="GP2" s="27" t="n">
        <v>2024</v>
      </c>
      <c r="GQ2" s="27" t="n">
        <v>2024</v>
      </c>
      <c r="GR2" s="27" t="n">
        <v>2024</v>
      </c>
      <c r="GS2" s="27" t="n">
        <v>2024</v>
      </c>
      <c r="GT2" s="27" t="n">
        <v>2025</v>
      </c>
      <c r="GU2" s="27" t="n">
        <v>2025</v>
      </c>
      <c r="GV2" s="27" t="n">
        <v>2025</v>
      </c>
      <c r="GW2" s="27" t="n">
        <v>2025</v>
      </c>
      <c r="GX2" s="27" t="n">
        <v>2025</v>
      </c>
      <c r="GY2" s="27" t="n">
        <v>2025</v>
      </c>
      <c r="GZ2" s="27" t="n">
        <v>2025</v>
      </c>
      <c r="HA2" s="27" t="n">
        <v>2025</v>
      </c>
      <c r="HB2" s="27" t="n">
        <v>2025</v>
      </c>
      <c r="HC2" s="27" t="n">
        <v>2025</v>
      </c>
      <c r="HD2" s="27" t="n">
        <v>2025</v>
      </c>
      <c r="HE2" s="27" t="n">
        <v>2025</v>
      </c>
      <c r="HF2" s="27" t="n">
        <v>2026</v>
      </c>
      <c r="HG2" s="27" t="n">
        <v>2026</v>
      </c>
      <c r="HH2" s="27" t="n">
        <v>2026</v>
      </c>
      <c r="HI2" s="28" t="n">
        <v>2026</v>
      </c>
      <c r="HJ2" s="29" t="n">
        <v>2026</v>
      </c>
      <c r="HK2" s="27" t="n">
        <v>2026</v>
      </c>
      <c r="HL2" s="27" t="n">
        <v>2026</v>
      </c>
      <c r="HM2" s="27" t="n">
        <v>2026</v>
      </c>
      <c r="HN2" s="27" t="n">
        <v>2026</v>
      </c>
      <c r="HO2" s="27" t="n">
        <v>2026</v>
      </c>
      <c r="HP2" s="27" t="n">
        <v>2026</v>
      </c>
      <c r="HQ2" s="27" t="n">
        <v>2026</v>
      </c>
      <c r="HS2" s="27" t="n">
        <v>2021</v>
      </c>
      <c r="HT2" s="27" t="n">
        <v>2021</v>
      </c>
      <c r="HU2" s="27" t="n">
        <v>2021</v>
      </c>
      <c r="HV2" s="27" t="n">
        <v>2021</v>
      </c>
      <c r="HW2" s="27" t="n">
        <v>2021</v>
      </c>
      <c r="HX2" s="27" t="n">
        <v>2021</v>
      </c>
      <c r="HY2" s="27" t="n">
        <v>2021</v>
      </c>
      <c r="HZ2" s="27" t="n">
        <v>2021</v>
      </c>
      <c r="IA2" s="27" t="n">
        <v>2021</v>
      </c>
      <c r="IB2" s="27" t="n">
        <v>2021</v>
      </c>
      <c r="IC2" s="27" t="n">
        <v>2021</v>
      </c>
      <c r="ID2" s="27" t="n">
        <v>2021</v>
      </c>
      <c r="IE2" s="27" t="n">
        <v>2022</v>
      </c>
      <c r="IF2" s="27" t="n">
        <v>2022</v>
      </c>
      <c r="IG2" s="27" t="n">
        <v>2022</v>
      </c>
      <c r="IH2" s="27" t="n">
        <v>2022</v>
      </c>
      <c r="II2" s="27" t="n">
        <v>2022</v>
      </c>
      <c r="IJ2" s="27" t="n">
        <v>2022</v>
      </c>
      <c r="IK2" s="27" t="n">
        <v>2022</v>
      </c>
      <c r="IL2" s="27" t="n">
        <v>2022</v>
      </c>
      <c r="IM2" s="27" t="n">
        <v>2022</v>
      </c>
      <c r="IN2" s="27" t="n">
        <v>2022</v>
      </c>
      <c r="IO2" s="27" t="n">
        <v>2022</v>
      </c>
      <c r="IP2" s="27" t="n">
        <v>2022</v>
      </c>
      <c r="IQ2" s="27" t="n">
        <v>2023</v>
      </c>
      <c r="IR2" s="27" t="n">
        <v>2023</v>
      </c>
      <c r="IS2" s="27" t="n">
        <v>2023</v>
      </c>
      <c r="IT2" s="27" t="n">
        <v>2023</v>
      </c>
      <c r="IU2" s="27" t="n">
        <v>2023</v>
      </c>
      <c r="IV2" s="27" t="n">
        <v>2023</v>
      </c>
      <c r="IW2" s="27" t="n">
        <v>2023</v>
      </c>
      <c r="IX2" s="27" t="n">
        <v>2023</v>
      </c>
      <c r="IY2" s="27" t="n">
        <v>2023</v>
      </c>
      <c r="IZ2" s="27" t="n">
        <v>2023</v>
      </c>
      <c r="JA2" s="27" t="n">
        <v>2023</v>
      </c>
      <c r="JB2" s="27" t="n">
        <v>2023</v>
      </c>
      <c r="JC2" s="27" t="n">
        <v>2024</v>
      </c>
      <c r="JD2" s="27" t="n">
        <v>2024</v>
      </c>
      <c r="JE2" s="27" t="n">
        <v>2024</v>
      </c>
      <c r="JF2" s="27" t="n">
        <v>2024</v>
      </c>
      <c r="JG2" s="27" t="n">
        <v>2024</v>
      </c>
      <c r="JH2" s="27" t="n">
        <v>2024</v>
      </c>
      <c r="JI2" s="27" t="n">
        <v>2024</v>
      </c>
      <c r="JJ2" s="27" t="n">
        <v>2024</v>
      </c>
      <c r="JK2" s="27" t="n">
        <v>2024</v>
      </c>
      <c r="JL2" s="27" t="n">
        <v>2024</v>
      </c>
      <c r="JM2" s="27" t="n">
        <v>2024</v>
      </c>
      <c r="JN2" s="27" t="n">
        <v>2024</v>
      </c>
      <c r="JO2" s="27" t="n">
        <v>2025</v>
      </c>
      <c r="JP2" s="27" t="n">
        <v>2025</v>
      </c>
      <c r="JQ2" s="27" t="n">
        <v>2025</v>
      </c>
      <c r="JR2" s="27" t="n">
        <v>2025</v>
      </c>
      <c r="JS2" s="27" t="n">
        <v>2025</v>
      </c>
      <c r="JT2" s="27" t="n">
        <v>2025</v>
      </c>
      <c r="JU2" s="27" t="n">
        <v>2025</v>
      </c>
      <c r="JV2" s="27" t="n">
        <v>2025</v>
      </c>
      <c r="JW2" s="27" t="n">
        <v>2025</v>
      </c>
      <c r="JX2" s="27" t="n">
        <v>2025</v>
      </c>
      <c r="JY2" s="27" t="n">
        <v>2025</v>
      </c>
      <c r="JZ2" s="27" t="n">
        <v>2025</v>
      </c>
      <c r="KA2" s="27" t="n">
        <v>2026</v>
      </c>
      <c r="KB2" s="27" t="n">
        <v>2026</v>
      </c>
      <c r="KC2" s="27" t="n">
        <v>2026</v>
      </c>
      <c r="KD2" s="28" t="n">
        <v>2026</v>
      </c>
      <c r="KE2" s="29" t="n">
        <v>2026</v>
      </c>
      <c r="KF2" s="27" t="n">
        <v>2026</v>
      </c>
      <c r="KG2" s="27" t="n">
        <v>2026</v>
      </c>
      <c r="KH2" s="27" t="n">
        <v>2026</v>
      </c>
      <c r="KI2" s="27" t="n">
        <v>2026</v>
      </c>
      <c r="KJ2" s="27" t="n">
        <v>2026</v>
      </c>
      <c r="KK2" s="27" t="n">
        <v>2026</v>
      </c>
      <c r="KL2" s="27" t="n">
        <v>2026</v>
      </c>
    </row>
    <row r="3" customFormat="false" ht="15.75" hidden="false" customHeight="true" outlineLevel="0" collapsed="false">
      <c r="A3" s="31" t="s">
        <v>152</v>
      </c>
      <c r="B3" s="31" t="s">
        <v>153</v>
      </c>
      <c r="C3" s="31" t="s">
        <v>154</v>
      </c>
      <c r="D3" s="31" t="s">
        <v>155</v>
      </c>
      <c r="E3" s="31" t="s">
        <v>156</v>
      </c>
      <c r="G3" s="32" t="n">
        <v>44197</v>
      </c>
      <c r="H3" s="32" t="n">
        <v>44255</v>
      </c>
      <c r="I3" s="32" t="n">
        <v>44286</v>
      </c>
      <c r="J3" s="32" t="n">
        <v>44316</v>
      </c>
      <c r="K3" s="32" t="n">
        <v>44347</v>
      </c>
      <c r="L3" s="32" t="n">
        <v>44377</v>
      </c>
      <c r="M3" s="32" t="n">
        <v>44408</v>
      </c>
      <c r="N3" s="32" t="n">
        <v>44439</v>
      </c>
      <c r="O3" s="32" t="n">
        <v>44469</v>
      </c>
      <c r="P3" s="32" t="n">
        <v>44500</v>
      </c>
      <c r="Q3" s="32" t="n">
        <v>44530</v>
      </c>
      <c r="R3" s="32" t="n">
        <v>44561</v>
      </c>
      <c r="S3" s="32" t="n">
        <v>44592</v>
      </c>
      <c r="T3" s="32" t="n">
        <v>44620</v>
      </c>
      <c r="U3" s="32" t="n">
        <v>44651</v>
      </c>
      <c r="V3" s="32" t="n">
        <v>44681</v>
      </c>
      <c r="W3" s="32" t="n">
        <v>44712</v>
      </c>
      <c r="X3" s="32" t="n">
        <v>44742</v>
      </c>
      <c r="Y3" s="32" t="n">
        <v>44773</v>
      </c>
      <c r="Z3" s="32" t="n">
        <v>44804</v>
      </c>
      <c r="AA3" s="32" t="n">
        <v>44834</v>
      </c>
      <c r="AB3" s="32" t="n">
        <v>44865</v>
      </c>
      <c r="AC3" s="32" t="n">
        <v>44895</v>
      </c>
      <c r="AD3" s="32" t="n">
        <v>44926</v>
      </c>
      <c r="AE3" s="32" t="n">
        <v>44957</v>
      </c>
      <c r="AF3" s="32" t="n">
        <v>44985</v>
      </c>
      <c r="AG3" s="32" t="n">
        <v>45016</v>
      </c>
      <c r="AH3" s="32" t="n">
        <v>45046</v>
      </c>
      <c r="AI3" s="32" t="n">
        <v>45077</v>
      </c>
      <c r="AJ3" s="32" t="n">
        <v>45107</v>
      </c>
      <c r="AK3" s="32" t="n">
        <v>45138</v>
      </c>
      <c r="AL3" s="32" t="n">
        <v>45169</v>
      </c>
      <c r="AM3" s="32" t="n">
        <v>45199</v>
      </c>
      <c r="AN3" s="32" t="n">
        <v>45230</v>
      </c>
      <c r="AO3" s="32" t="n">
        <v>45260</v>
      </c>
      <c r="AP3" s="32" t="n">
        <v>45291</v>
      </c>
      <c r="AQ3" s="32" t="n">
        <v>45322</v>
      </c>
      <c r="AR3" s="32" t="n">
        <v>45351</v>
      </c>
      <c r="AS3" s="32" t="n">
        <v>45382</v>
      </c>
      <c r="AT3" s="32" t="n">
        <v>45412</v>
      </c>
      <c r="AU3" s="32" t="n">
        <v>45443</v>
      </c>
      <c r="AV3" s="32" t="n">
        <v>45473</v>
      </c>
      <c r="AW3" s="32" t="n">
        <v>45504</v>
      </c>
      <c r="AX3" s="32" t="n">
        <v>45535</v>
      </c>
      <c r="AY3" s="32" t="n">
        <v>45565</v>
      </c>
      <c r="AZ3" s="32" t="n">
        <v>45596</v>
      </c>
      <c r="BA3" s="32" t="n">
        <v>45626</v>
      </c>
      <c r="BB3" s="32" t="n">
        <v>45657</v>
      </c>
      <c r="BC3" s="32" t="n">
        <v>45688</v>
      </c>
      <c r="BD3" s="32" t="n">
        <v>45716</v>
      </c>
      <c r="BE3" s="32" t="n">
        <v>45747</v>
      </c>
      <c r="BF3" s="32" t="n">
        <v>45777</v>
      </c>
      <c r="BG3" s="32" t="n">
        <v>45808</v>
      </c>
      <c r="BH3" s="32" t="n">
        <v>45838</v>
      </c>
      <c r="BI3" s="32" t="n">
        <v>45869</v>
      </c>
      <c r="BJ3" s="32" t="n">
        <v>45900</v>
      </c>
      <c r="BK3" s="32" t="n">
        <v>45930</v>
      </c>
      <c r="BL3" s="32" t="n">
        <v>45961</v>
      </c>
      <c r="BM3" s="32" t="n">
        <v>45991</v>
      </c>
      <c r="BN3" s="32" t="n">
        <v>46022</v>
      </c>
      <c r="BO3" s="32" t="n">
        <v>46053</v>
      </c>
      <c r="BP3" s="32" t="n">
        <v>46081</v>
      </c>
      <c r="BQ3" s="32" t="n">
        <v>46112</v>
      </c>
      <c r="BR3" s="33" t="n">
        <v>46142</v>
      </c>
      <c r="BS3" s="32" t="n">
        <v>46173</v>
      </c>
      <c r="BT3" s="32" t="n">
        <v>46203</v>
      </c>
      <c r="BU3" s="32" t="n">
        <v>46234</v>
      </c>
      <c r="BV3" s="32" t="n">
        <v>46265</v>
      </c>
      <c r="BW3" s="32" t="n">
        <v>46295</v>
      </c>
      <c r="BX3" s="32" t="n">
        <v>46326</v>
      </c>
      <c r="BY3" s="32" t="n">
        <v>46356</v>
      </c>
      <c r="BZ3" s="32" t="n">
        <v>46387</v>
      </c>
      <c r="CC3" s="32" t="n">
        <v>44197</v>
      </c>
      <c r="CD3" s="32" t="n">
        <v>44255</v>
      </c>
      <c r="CE3" s="32" t="n">
        <v>44286</v>
      </c>
      <c r="CF3" s="32" t="n">
        <v>44316</v>
      </c>
      <c r="CG3" s="32" t="n">
        <v>44347</v>
      </c>
      <c r="CH3" s="32" t="n">
        <v>44377</v>
      </c>
      <c r="CI3" s="32" t="n">
        <v>44408</v>
      </c>
      <c r="CJ3" s="32" t="n">
        <v>44439</v>
      </c>
      <c r="CK3" s="32" t="n">
        <v>44469</v>
      </c>
      <c r="CL3" s="32" t="n">
        <v>44500</v>
      </c>
      <c r="CM3" s="32" t="n">
        <v>44530</v>
      </c>
      <c r="CN3" s="32" t="n">
        <v>44561</v>
      </c>
      <c r="CO3" s="32" t="n">
        <v>44592</v>
      </c>
      <c r="CP3" s="32" t="n">
        <v>44620</v>
      </c>
      <c r="CQ3" s="32" t="n">
        <v>44651</v>
      </c>
      <c r="CR3" s="32" t="n">
        <v>44681</v>
      </c>
      <c r="CS3" s="32" t="n">
        <v>44712</v>
      </c>
      <c r="CT3" s="32" t="n">
        <v>44742</v>
      </c>
      <c r="CU3" s="32" t="n">
        <v>44773</v>
      </c>
      <c r="CV3" s="32" t="n">
        <v>44804</v>
      </c>
      <c r="CW3" s="32" t="n">
        <v>44834</v>
      </c>
      <c r="CX3" s="32" t="n">
        <v>44865</v>
      </c>
      <c r="CY3" s="32" t="n">
        <v>44895</v>
      </c>
      <c r="CZ3" s="32" t="n">
        <v>44926</v>
      </c>
      <c r="DA3" s="32" t="n">
        <v>44957</v>
      </c>
      <c r="DB3" s="32" t="n">
        <v>44985</v>
      </c>
      <c r="DC3" s="32" t="n">
        <v>45016</v>
      </c>
      <c r="DD3" s="32" t="n">
        <v>45046</v>
      </c>
      <c r="DE3" s="32" t="n">
        <v>45077</v>
      </c>
      <c r="DF3" s="32" t="n">
        <v>45107</v>
      </c>
      <c r="DG3" s="32" t="n">
        <v>45138</v>
      </c>
      <c r="DH3" s="32" t="n">
        <v>45169</v>
      </c>
      <c r="DI3" s="32" t="n">
        <v>45199</v>
      </c>
      <c r="DJ3" s="32" t="n">
        <v>45230</v>
      </c>
      <c r="DK3" s="32" t="n">
        <v>45260</v>
      </c>
      <c r="DL3" s="32" t="n">
        <v>45291</v>
      </c>
      <c r="DM3" s="32" t="n">
        <v>45322</v>
      </c>
      <c r="DN3" s="32" t="n">
        <v>45351</v>
      </c>
      <c r="DO3" s="32" t="n">
        <v>45382</v>
      </c>
      <c r="DP3" s="32" t="n">
        <v>45412</v>
      </c>
      <c r="DQ3" s="32" t="n">
        <v>45443</v>
      </c>
      <c r="DR3" s="32" t="n">
        <v>45473</v>
      </c>
      <c r="DS3" s="32" t="n">
        <v>45504</v>
      </c>
      <c r="DT3" s="32" t="n">
        <v>45535</v>
      </c>
      <c r="DU3" s="32" t="n">
        <v>45565</v>
      </c>
      <c r="DV3" s="32" t="n">
        <v>45596</v>
      </c>
      <c r="DW3" s="32" t="n">
        <v>45626</v>
      </c>
      <c r="DX3" s="32" t="n">
        <v>45657</v>
      </c>
      <c r="DY3" s="32" t="n">
        <v>45688</v>
      </c>
      <c r="DZ3" s="32" t="n">
        <v>45716</v>
      </c>
      <c r="EA3" s="32" t="n">
        <v>45747</v>
      </c>
      <c r="EB3" s="32" t="n">
        <v>45777</v>
      </c>
      <c r="EC3" s="32" t="n">
        <v>45808</v>
      </c>
      <c r="ED3" s="32" t="n">
        <v>45838</v>
      </c>
      <c r="EE3" s="32" t="n">
        <v>45869</v>
      </c>
      <c r="EF3" s="32" t="n">
        <v>45900</v>
      </c>
      <c r="EG3" s="32" t="n">
        <v>45930</v>
      </c>
      <c r="EH3" s="32" t="n">
        <v>45961</v>
      </c>
      <c r="EI3" s="32" t="n">
        <v>45991</v>
      </c>
      <c r="EJ3" s="32" t="n">
        <v>46022</v>
      </c>
      <c r="EK3" s="32" t="n">
        <v>46053</v>
      </c>
      <c r="EL3" s="32" t="n">
        <v>46081</v>
      </c>
      <c r="EM3" s="32" t="n">
        <v>46112</v>
      </c>
      <c r="EN3" s="33" t="n">
        <v>46142</v>
      </c>
      <c r="EO3" s="32" t="n">
        <v>46173</v>
      </c>
      <c r="EP3" s="32" t="n">
        <v>46203</v>
      </c>
      <c r="EQ3" s="32" t="n">
        <v>46234</v>
      </c>
      <c r="ER3" s="32" t="n">
        <v>46265</v>
      </c>
      <c r="ES3" s="32" t="n">
        <v>46295</v>
      </c>
      <c r="ET3" s="32" t="n">
        <v>46326</v>
      </c>
      <c r="EU3" s="32" t="n">
        <v>46356</v>
      </c>
      <c r="EV3" s="32" t="n">
        <v>46387</v>
      </c>
      <c r="EX3" s="32" t="n">
        <v>44197</v>
      </c>
      <c r="EY3" s="32" t="n">
        <v>44255</v>
      </c>
      <c r="EZ3" s="32" t="n">
        <v>44286</v>
      </c>
      <c r="FA3" s="32" t="n">
        <v>44316</v>
      </c>
      <c r="FB3" s="32" t="n">
        <v>44347</v>
      </c>
      <c r="FC3" s="32" t="n">
        <v>44377</v>
      </c>
      <c r="FD3" s="32" t="n">
        <v>44408</v>
      </c>
      <c r="FE3" s="32" t="n">
        <v>44439</v>
      </c>
      <c r="FF3" s="32" t="n">
        <v>44469</v>
      </c>
      <c r="FG3" s="32" t="n">
        <v>44500</v>
      </c>
      <c r="FH3" s="32" t="n">
        <v>44530</v>
      </c>
      <c r="FI3" s="32" t="n">
        <v>44561</v>
      </c>
      <c r="FJ3" s="32" t="n">
        <v>44592</v>
      </c>
      <c r="FK3" s="32" t="n">
        <v>44620</v>
      </c>
      <c r="FL3" s="32" t="n">
        <v>44651</v>
      </c>
      <c r="FM3" s="32" t="n">
        <v>44681</v>
      </c>
      <c r="FN3" s="32" t="n">
        <v>44712</v>
      </c>
      <c r="FO3" s="32" t="n">
        <v>44742</v>
      </c>
      <c r="FP3" s="32" t="n">
        <v>44773</v>
      </c>
      <c r="FQ3" s="32" t="n">
        <v>44804</v>
      </c>
      <c r="FR3" s="32" t="n">
        <v>44834</v>
      </c>
      <c r="FS3" s="32" t="n">
        <v>44865</v>
      </c>
      <c r="FT3" s="32" t="n">
        <v>44895</v>
      </c>
      <c r="FU3" s="32" t="n">
        <v>44926</v>
      </c>
      <c r="FV3" s="32" t="n">
        <v>44957</v>
      </c>
      <c r="FW3" s="32" t="n">
        <v>44985</v>
      </c>
      <c r="FX3" s="32" t="n">
        <v>45016</v>
      </c>
      <c r="FY3" s="32" t="n">
        <v>45046</v>
      </c>
      <c r="FZ3" s="32" t="n">
        <v>45077</v>
      </c>
      <c r="GA3" s="32" t="n">
        <v>45107</v>
      </c>
      <c r="GB3" s="32" t="n">
        <v>45138</v>
      </c>
      <c r="GC3" s="32" t="n">
        <v>45169</v>
      </c>
      <c r="GD3" s="32" t="n">
        <v>45199</v>
      </c>
      <c r="GE3" s="32" t="n">
        <v>45230</v>
      </c>
      <c r="GF3" s="32" t="n">
        <v>45260</v>
      </c>
      <c r="GG3" s="32" t="n">
        <v>45291</v>
      </c>
      <c r="GH3" s="32" t="n">
        <v>45322</v>
      </c>
      <c r="GI3" s="32" t="n">
        <v>45351</v>
      </c>
      <c r="GJ3" s="32" t="n">
        <v>45382</v>
      </c>
      <c r="GK3" s="32" t="n">
        <v>45412</v>
      </c>
      <c r="GL3" s="32" t="n">
        <v>45443</v>
      </c>
      <c r="GM3" s="32" t="n">
        <v>45473</v>
      </c>
      <c r="GN3" s="32" t="n">
        <v>45504</v>
      </c>
      <c r="GO3" s="32" t="n">
        <v>45535</v>
      </c>
      <c r="GP3" s="32" t="n">
        <v>45565</v>
      </c>
      <c r="GQ3" s="32" t="n">
        <v>45596</v>
      </c>
      <c r="GR3" s="32" t="n">
        <v>45626</v>
      </c>
      <c r="GS3" s="32" t="n">
        <v>45657</v>
      </c>
      <c r="GT3" s="32" t="n">
        <v>45688</v>
      </c>
      <c r="GU3" s="32" t="n">
        <v>45716</v>
      </c>
      <c r="GV3" s="32" t="n">
        <v>45747</v>
      </c>
      <c r="GW3" s="32" t="n">
        <v>45777</v>
      </c>
      <c r="GX3" s="32" t="n">
        <v>45808</v>
      </c>
      <c r="GY3" s="32" t="n">
        <v>45838</v>
      </c>
      <c r="GZ3" s="32" t="n">
        <v>45869</v>
      </c>
      <c r="HA3" s="32" t="n">
        <v>45900</v>
      </c>
      <c r="HB3" s="32" t="n">
        <v>45930</v>
      </c>
      <c r="HC3" s="32" t="n">
        <v>45961</v>
      </c>
      <c r="HD3" s="32" t="n">
        <v>45991</v>
      </c>
      <c r="HE3" s="32" t="n">
        <v>46022</v>
      </c>
      <c r="HF3" s="32" t="n">
        <v>46053</v>
      </c>
      <c r="HG3" s="32" t="n">
        <v>46081</v>
      </c>
      <c r="HH3" s="32" t="n">
        <v>46112</v>
      </c>
      <c r="HI3" s="33" t="n">
        <v>46142</v>
      </c>
      <c r="HJ3" s="32" t="n">
        <v>46173</v>
      </c>
      <c r="HK3" s="32" t="n">
        <v>46203</v>
      </c>
      <c r="HL3" s="32" t="n">
        <v>46234</v>
      </c>
      <c r="HM3" s="32" t="n">
        <v>46265</v>
      </c>
      <c r="HN3" s="32" t="n">
        <v>46295</v>
      </c>
      <c r="HO3" s="32" t="n">
        <v>46326</v>
      </c>
      <c r="HP3" s="32" t="n">
        <v>46356</v>
      </c>
      <c r="HQ3" s="32" t="n">
        <v>46387</v>
      </c>
      <c r="HS3" s="32" t="n">
        <v>44197</v>
      </c>
      <c r="HT3" s="32" t="n">
        <v>44255</v>
      </c>
      <c r="HU3" s="32" t="n">
        <v>44286</v>
      </c>
      <c r="HV3" s="32" t="n">
        <v>44316</v>
      </c>
      <c r="HW3" s="32" t="n">
        <v>44347</v>
      </c>
      <c r="HX3" s="32" t="n">
        <v>44377</v>
      </c>
      <c r="HY3" s="32" t="n">
        <v>44408</v>
      </c>
      <c r="HZ3" s="32" t="n">
        <v>44439</v>
      </c>
      <c r="IA3" s="32" t="n">
        <v>44469</v>
      </c>
      <c r="IB3" s="32" t="n">
        <v>44500</v>
      </c>
      <c r="IC3" s="32" t="n">
        <v>44530</v>
      </c>
      <c r="ID3" s="32" t="n">
        <v>44561</v>
      </c>
      <c r="IE3" s="32" t="n">
        <v>44592</v>
      </c>
      <c r="IF3" s="32" t="n">
        <v>44620</v>
      </c>
      <c r="IG3" s="32" t="n">
        <v>44651</v>
      </c>
      <c r="IH3" s="32" t="n">
        <v>44681</v>
      </c>
      <c r="II3" s="32" t="n">
        <v>44712</v>
      </c>
      <c r="IJ3" s="32" t="n">
        <v>44742</v>
      </c>
      <c r="IK3" s="32" t="n">
        <v>44773</v>
      </c>
      <c r="IL3" s="32" t="n">
        <v>44804</v>
      </c>
      <c r="IM3" s="32" t="n">
        <v>44834</v>
      </c>
      <c r="IN3" s="32" t="n">
        <v>44865</v>
      </c>
      <c r="IO3" s="32" t="n">
        <v>44895</v>
      </c>
      <c r="IP3" s="32" t="n">
        <v>44926</v>
      </c>
      <c r="IQ3" s="32" t="n">
        <v>44957</v>
      </c>
      <c r="IR3" s="32" t="n">
        <v>44985</v>
      </c>
      <c r="IS3" s="32" t="n">
        <v>45016</v>
      </c>
      <c r="IT3" s="32" t="n">
        <v>45046</v>
      </c>
      <c r="IU3" s="32" t="n">
        <v>45077</v>
      </c>
      <c r="IV3" s="32" t="n">
        <v>45107</v>
      </c>
      <c r="IW3" s="32" t="n">
        <v>45138</v>
      </c>
      <c r="IX3" s="32" t="n">
        <v>45169</v>
      </c>
      <c r="IY3" s="32" t="n">
        <v>45199</v>
      </c>
      <c r="IZ3" s="32" t="n">
        <v>45230</v>
      </c>
      <c r="JA3" s="32" t="n">
        <v>45260</v>
      </c>
      <c r="JB3" s="32" t="n">
        <v>45291</v>
      </c>
      <c r="JC3" s="32" t="n">
        <v>45322</v>
      </c>
      <c r="JD3" s="32" t="n">
        <v>45351</v>
      </c>
      <c r="JE3" s="32" t="n">
        <v>45382</v>
      </c>
      <c r="JF3" s="32" t="n">
        <v>45412</v>
      </c>
      <c r="JG3" s="32" t="n">
        <v>45443</v>
      </c>
      <c r="JH3" s="32" t="n">
        <v>45473</v>
      </c>
      <c r="JI3" s="32" t="n">
        <v>45504</v>
      </c>
      <c r="JJ3" s="32" t="n">
        <v>45535</v>
      </c>
      <c r="JK3" s="32" t="n">
        <v>45565</v>
      </c>
      <c r="JL3" s="32" t="n">
        <v>45596</v>
      </c>
      <c r="JM3" s="32" t="n">
        <v>45626</v>
      </c>
      <c r="JN3" s="32" t="n">
        <v>45657</v>
      </c>
      <c r="JO3" s="32" t="n">
        <v>45688</v>
      </c>
      <c r="JP3" s="32" t="n">
        <v>45716</v>
      </c>
      <c r="JQ3" s="32" t="n">
        <v>45747</v>
      </c>
      <c r="JR3" s="32" t="n">
        <v>45777</v>
      </c>
      <c r="JS3" s="32" t="n">
        <v>45808</v>
      </c>
      <c r="JT3" s="32" t="n">
        <v>45838</v>
      </c>
      <c r="JU3" s="32" t="n">
        <v>45869</v>
      </c>
      <c r="JV3" s="32" t="n">
        <v>45900</v>
      </c>
      <c r="JW3" s="32" t="n">
        <v>45930</v>
      </c>
      <c r="JX3" s="32" t="n">
        <v>45961</v>
      </c>
      <c r="JY3" s="32" t="n">
        <v>45991</v>
      </c>
      <c r="JZ3" s="32" t="n">
        <v>46022</v>
      </c>
      <c r="KA3" s="32" t="n">
        <v>46053</v>
      </c>
      <c r="KB3" s="32" t="n">
        <v>46081</v>
      </c>
      <c r="KC3" s="32" t="n">
        <v>46112</v>
      </c>
      <c r="KD3" s="33" t="n">
        <v>46142</v>
      </c>
      <c r="KE3" s="32" t="n">
        <v>46173</v>
      </c>
      <c r="KF3" s="32" t="n">
        <v>46203</v>
      </c>
      <c r="KG3" s="32" t="n">
        <v>46234</v>
      </c>
      <c r="KH3" s="32" t="n">
        <v>46265</v>
      </c>
      <c r="KI3" s="32" t="n">
        <v>46295</v>
      </c>
      <c r="KJ3" s="32" t="n">
        <v>46326</v>
      </c>
      <c r="KK3" s="32" t="n">
        <v>46356</v>
      </c>
      <c r="KL3" s="32" t="n">
        <v>46387</v>
      </c>
    </row>
    <row r="4" customFormat="false" ht="15.75" hidden="false" customHeight="true" outlineLevel="0" collapsed="false"/>
    <row r="5" customFormat="false" ht="15.75" hidden="false" customHeight="true" outlineLevel="0" collapsed="false">
      <c r="A5" s="34" t="s">
        <v>157</v>
      </c>
    </row>
    <row r="6" customFormat="false" ht="15.75" hidden="false" customHeight="true" outlineLevel="0" collapsed="false">
      <c r="A6" s="35" t="s">
        <v>158</v>
      </c>
      <c r="G6" s="36" t="n">
        <v>123697.6995</v>
      </c>
      <c r="H6" s="36" t="n">
        <v>126688.333666667</v>
      </c>
      <c r="I6" s="36" t="n">
        <v>125139.167</v>
      </c>
      <c r="J6" s="36" t="n">
        <v>126521.167</v>
      </c>
      <c r="K6" s="36" t="n">
        <v>129219.067</v>
      </c>
      <c r="L6" s="36" t="n">
        <v>131485.741666667</v>
      </c>
      <c r="M6" s="36" t="n">
        <v>121101.086666667</v>
      </c>
      <c r="N6" s="36" t="n">
        <v>129048.5</v>
      </c>
      <c r="O6" s="36" t="n">
        <v>131592.328152174</v>
      </c>
      <c r="P6" s="36" t="n">
        <v>135850.664818841</v>
      </c>
      <c r="Q6" s="36" t="n">
        <v>136434.001485507</v>
      </c>
      <c r="R6" s="36" t="n">
        <v>135638.371945277</v>
      </c>
      <c r="S6" s="36" t="n">
        <v>136877.371945277</v>
      </c>
      <c r="T6" s="36" t="n">
        <v>138159.298611944</v>
      </c>
      <c r="U6" s="36" t="n">
        <v>138600.961945277</v>
      </c>
      <c r="V6" s="36" t="n">
        <v>139746.505278611</v>
      </c>
      <c r="W6" s="36" t="n">
        <v>139754.848611944</v>
      </c>
      <c r="X6" s="36" t="n">
        <v>141777.728611944</v>
      </c>
      <c r="Y6" s="36" t="n">
        <v>139104.206945277</v>
      </c>
      <c r="Z6" s="36" t="n">
        <v>139750.040278611</v>
      </c>
      <c r="AA6" s="36" t="n">
        <v>148228.344626437</v>
      </c>
      <c r="AB6" s="36" t="n">
        <v>151426.171293103</v>
      </c>
      <c r="AC6" s="36" t="n">
        <v>153796.590267462</v>
      </c>
      <c r="AD6" s="36" t="n">
        <v>165253.261474359</v>
      </c>
      <c r="AE6" s="36" t="n">
        <v>298017.350889644</v>
      </c>
      <c r="AF6" s="36" t="n">
        <v>301392.776722977</v>
      </c>
      <c r="AG6" s="36" t="n">
        <v>300500.974222977</v>
      </c>
      <c r="AH6" s="36" t="n">
        <v>300521.890889644</v>
      </c>
      <c r="AI6" s="36" t="n">
        <v>303117.7504452</v>
      </c>
      <c r="AJ6" s="36" t="n">
        <v>299197.536863247</v>
      </c>
      <c r="AK6" s="36" t="n">
        <v>299527.878529914</v>
      </c>
      <c r="AL6" s="36" t="n">
        <v>300741.906029914</v>
      </c>
      <c r="AM6" s="36" t="n">
        <v>305767.640196581</v>
      </c>
      <c r="AN6" s="36" t="n">
        <v>306921.791613248</v>
      </c>
      <c r="AO6" s="36" t="n">
        <v>306921.791613248</v>
      </c>
      <c r="AP6" s="36" t="n">
        <v>308418.166805555</v>
      </c>
      <c r="AQ6" s="36" t="n">
        <v>226129.731305556</v>
      </c>
      <c r="AR6" s="36" t="n">
        <v>226870.543856061</v>
      </c>
      <c r="AS6" s="36" t="n">
        <v>226182.346356061</v>
      </c>
      <c r="AT6" s="36" t="n">
        <v>225515.679689394</v>
      </c>
      <c r="AU6" s="36" t="n">
        <v>225515.679689394</v>
      </c>
      <c r="AV6" s="36" t="n">
        <v>232767.374772727</v>
      </c>
      <c r="AW6" s="36" t="n">
        <v>252970.039924242</v>
      </c>
      <c r="AX6" s="36" t="n">
        <v>253367.835174242</v>
      </c>
      <c r="AY6" s="36" t="n">
        <v>252988.821840909</v>
      </c>
      <c r="AZ6" s="36" t="n">
        <v>254879.017481935</v>
      </c>
      <c r="BA6" s="36" t="n">
        <v>259512.350815268</v>
      </c>
      <c r="BB6" s="36" t="n">
        <v>257376.421648602</v>
      </c>
      <c r="BC6" s="36" t="n">
        <v>269010.901042541</v>
      </c>
      <c r="BD6" s="36" t="n">
        <v>262314.307709208</v>
      </c>
      <c r="BE6" s="36" t="n">
        <v>270771.842219011</v>
      </c>
      <c r="BF6" s="36" t="n">
        <v>278271.655195202</v>
      </c>
      <c r="BG6" s="36" t="n">
        <v>314593.272278535</v>
      </c>
      <c r="BH6" s="36" t="n">
        <v>312190.43312702</v>
      </c>
      <c r="BI6" s="36" t="n">
        <v>305383.36312702</v>
      </c>
      <c r="BJ6" s="36" t="n">
        <v>307742.139793687</v>
      </c>
      <c r="BK6" s="36" t="n">
        <v>301294.752293687</v>
      </c>
      <c r="BL6" s="36" t="n">
        <v>302138.252293687</v>
      </c>
      <c r="BM6" s="36" t="n">
        <v>301623.846176471</v>
      </c>
      <c r="BN6" s="36" t="n">
        <v>301006.771593137</v>
      </c>
      <c r="BO6" s="36" t="n">
        <v>380330.247426471</v>
      </c>
      <c r="BP6" s="36" t="n">
        <v>376627.035759804</v>
      </c>
      <c r="BQ6" s="36" t="n">
        <v>378235.712426471</v>
      </c>
      <c r="BR6" s="37" t="n">
        <v>382308.265759804</v>
      </c>
      <c r="BS6" s="36" t="n">
        <v>377853.265759804</v>
      </c>
      <c r="BT6" s="36" t="n">
        <v>377853.265759804</v>
      </c>
      <c r="BU6" s="36" t="n">
        <v>377853.265759804</v>
      </c>
      <c r="BV6" s="36" t="n">
        <v>377853.265759804</v>
      </c>
      <c r="BW6" s="36" t="n">
        <v>377853.265759804</v>
      </c>
      <c r="BX6" s="36" t="n">
        <v>377853.265759804</v>
      </c>
      <c r="BY6" s="36" t="n">
        <v>377853.265759804</v>
      </c>
      <c r="BZ6" s="36" t="n">
        <v>377853.265759804</v>
      </c>
      <c r="CC6" s="36" t="n">
        <v>-31114</v>
      </c>
      <c r="CD6" s="36" t="n">
        <v>-32220.2333333333</v>
      </c>
      <c r="CE6" s="36" t="n">
        <v>-30962.7333333333</v>
      </c>
      <c r="CF6" s="36" t="n">
        <v>-30962.7333333333</v>
      </c>
      <c r="CG6" s="36" t="n">
        <v>-30962.7333333333</v>
      </c>
      <c r="CH6" s="36" t="n">
        <v>-31354.4166666667</v>
      </c>
      <c r="CI6" s="36" t="n">
        <v>-18679.4166666667</v>
      </c>
      <c r="CJ6" s="36" t="n">
        <v>-18679.4</v>
      </c>
      <c r="CK6" s="36" t="n">
        <v>-19802.3333333333</v>
      </c>
      <c r="CL6" s="36" t="n">
        <v>-19802.3333333333</v>
      </c>
      <c r="CM6" s="36" t="n">
        <v>-20269</v>
      </c>
      <c r="CN6" s="36" t="n">
        <v>-20269</v>
      </c>
      <c r="CO6" s="36" t="n">
        <v>-22519</v>
      </c>
      <c r="CP6" s="36" t="n">
        <v>-23453.1666666667</v>
      </c>
      <c r="CQ6" s="36" t="n">
        <v>-23603.1666666667</v>
      </c>
      <c r="CR6" s="36" t="n">
        <v>-23603.1666666667</v>
      </c>
      <c r="CS6" s="36" t="n">
        <v>-23611.5</v>
      </c>
      <c r="CT6" s="36" t="n">
        <v>-23611.5</v>
      </c>
      <c r="CU6" s="36" t="n">
        <v>-18911.5</v>
      </c>
      <c r="CV6" s="36" t="n">
        <v>-18911.5</v>
      </c>
      <c r="CW6" s="36" t="n">
        <v>-19428.1666666667</v>
      </c>
      <c r="CX6" s="36" t="n">
        <v>-20769.8266666667</v>
      </c>
      <c r="CY6" s="36" t="n">
        <v>-20769.8333333333</v>
      </c>
      <c r="CZ6" s="36" t="n">
        <v>-32762.3333333333</v>
      </c>
      <c r="DA6" s="36" t="n">
        <v>-131736.4475</v>
      </c>
      <c r="DB6" s="36" t="n">
        <v>-130272.280833333</v>
      </c>
      <c r="DC6" s="36" t="n">
        <v>-129067.280833333</v>
      </c>
      <c r="DD6" s="36" t="n">
        <v>-129067.280833333</v>
      </c>
      <c r="DE6" s="36" t="n">
        <v>-129615.4475</v>
      </c>
      <c r="DF6" s="36" t="n">
        <v>-130498.780833333</v>
      </c>
      <c r="DG6" s="36" t="n">
        <v>-130498.780833333</v>
      </c>
      <c r="DH6" s="36" t="n">
        <v>-130635.030833333</v>
      </c>
      <c r="DI6" s="36" t="n">
        <v>-130699.614166667</v>
      </c>
      <c r="DJ6" s="36" t="n">
        <v>-131012.112916667</v>
      </c>
      <c r="DK6" s="36" t="n">
        <v>-131012.112916667</v>
      </c>
      <c r="DL6" s="36" t="n">
        <v>-126755.73125</v>
      </c>
      <c r="DM6" s="36" t="n">
        <v>-26231.5890833333</v>
      </c>
      <c r="DN6" s="36" t="n">
        <v>-26588.6365833333</v>
      </c>
      <c r="DO6" s="36" t="n">
        <v>-26363.6365833333</v>
      </c>
      <c r="DP6" s="36" t="n">
        <v>-26363.6365833333</v>
      </c>
      <c r="DQ6" s="36" t="n">
        <v>-26363.6365833333</v>
      </c>
      <c r="DR6" s="36" t="n">
        <v>-24838.3266666667</v>
      </c>
      <c r="DS6" s="36" t="n">
        <v>-29447.91</v>
      </c>
      <c r="DT6" s="36" t="n">
        <v>-28999.169</v>
      </c>
      <c r="DU6" s="36" t="n">
        <v>-28999.169</v>
      </c>
      <c r="DV6" s="36" t="n">
        <v>-29099.169</v>
      </c>
      <c r="DW6" s="36" t="n">
        <v>-28515.8356666667</v>
      </c>
      <c r="DX6" s="36" t="n">
        <v>-22135.269</v>
      </c>
      <c r="DY6" s="36" t="n">
        <v>-18385.269</v>
      </c>
      <c r="DZ6" s="36" t="n">
        <v>-15676.509</v>
      </c>
      <c r="EA6" s="36" t="n">
        <v>-15676.509</v>
      </c>
      <c r="EB6" s="36" t="n">
        <v>-20131.509</v>
      </c>
      <c r="EC6" s="36" t="n">
        <v>-20161.509</v>
      </c>
      <c r="ED6" s="36" t="n">
        <v>-17190.6666666667</v>
      </c>
      <c r="EE6" s="36" t="n">
        <v>-11281.0833333333</v>
      </c>
      <c r="EF6" s="36" t="n">
        <v>-11281.0833333333</v>
      </c>
      <c r="EG6" s="36" t="n">
        <v>-8091.5</v>
      </c>
      <c r="EH6" s="36" t="n">
        <v>-5138.33333333333</v>
      </c>
      <c r="EI6" s="36" t="n">
        <v>-5138.33333333333</v>
      </c>
      <c r="EJ6" s="36" t="n">
        <v>-4455</v>
      </c>
      <c r="EK6" s="36" t="n">
        <v>-4455</v>
      </c>
      <c r="EL6" s="36" t="n">
        <v>-4455</v>
      </c>
      <c r="EM6" s="36" t="n">
        <v>-4455</v>
      </c>
      <c r="EN6" s="37" t="n">
        <v>-4455</v>
      </c>
      <c r="EO6" s="36" t="n">
        <v>0</v>
      </c>
      <c r="EP6" s="36" t="n">
        <v>0</v>
      </c>
      <c r="EQ6" s="36" t="n">
        <v>0</v>
      </c>
      <c r="ER6" s="36" t="n">
        <v>0</v>
      </c>
      <c r="ES6" s="36" t="n">
        <v>0</v>
      </c>
      <c r="ET6" s="36" t="n">
        <v>0</v>
      </c>
      <c r="EU6" s="36" t="n">
        <v>0</v>
      </c>
      <c r="EV6" s="36" t="n">
        <v>0</v>
      </c>
      <c r="EX6" s="36" t="n">
        <v>106022.6995</v>
      </c>
      <c r="EY6" s="36" t="n">
        <v>109013.333666667</v>
      </c>
      <c r="EZ6" s="36" t="n">
        <v>107464.167</v>
      </c>
      <c r="FA6" s="36" t="n">
        <v>108846.167</v>
      </c>
      <c r="FB6" s="36" t="n">
        <v>111544.067</v>
      </c>
      <c r="FC6" s="36" t="n">
        <v>113810.741666667</v>
      </c>
      <c r="FD6" s="36" t="n">
        <v>117351.086666667</v>
      </c>
      <c r="FE6" s="36" t="n">
        <v>125298.5</v>
      </c>
      <c r="FF6" s="36" t="n">
        <v>127842.328152174</v>
      </c>
      <c r="FG6" s="36" t="n">
        <v>132100.664818841</v>
      </c>
      <c r="FH6" s="36" t="n">
        <v>132684.001485507</v>
      </c>
      <c r="FI6" s="36" t="n">
        <v>131888.371945277</v>
      </c>
      <c r="FJ6" s="36" t="n">
        <v>130877.371945277</v>
      </c>
      <c r="FK6" s="36" t="n">
        <v>132159.298611944</v>
      </c>
      <c r="FL6" s="36" t="n">
        <v>132600.961945277</v>
      </c>
      <c r="FM6" s="36" t="n">
        <v>133746.505278611</v>
      </c>
      <c r="FN6" s="36" t="n">
        <v>133754.848611944</v>
      </c>
      <c r="FO6" s="36" t="n">
        <v>135777.728611944</v>
      </c>
      <c r="FP6" s="36" t="n">
        <v>133104.206945277</v>
      </c>
      <c r="FQ6" s="36" t="n">
        <v>133750.040278611</v>
      </c>
      <c r="FR6" s="36" t="n">
        <v>142228.344626437</v>
      </c>
      <c r="FS6" s="36" t="n">
        <v>145426.171293103</v>
      </c>
      <c r="FT6" s="36" t="n">
        <v>147796.590267462</v>
      </c>
      <c r="FU6" s="36" t="n">
        <v>147560.761474359</v>
      </c>
      <c r="FV6" s="36" t="n">
        <v>181350.736722977</v>
      </c>
      <c r="FW6" s="36" t="n">
        <v>184726.162556311</v>
      </c>
      <c r="FX6" s="36" t="n">
        <v>183834.360056311</v>
      </c>
      <c r="FY6" s="36" t="n">
        <v>183855.276722977</v>
      </c>
      <c r="FZ6" s="36" t="n">
        <v>186451.136278533</v>
      </c>
      <c r="GA6" s="36" t="n">
        <v>182530.922696581</v>
      </c>
      <c r="GB6" s="36" t="n">
        <v>182861.264363248</v>
      </c>
      <c r="GC6" s="36" t="n">
        <v>184075.291863248</v>
      </c>
      <c r="GD6" s="36" t="n">
        <v>189101.026029914</v>
      </c>
      <c r="GE6" s="36" t="n">
        <v>190255.177446581</v>
      </c>
      <c r="GF6" s="36" t="n">
        <v>190255.177446581</v>
      </c>
      <c r="GG6" s="36" t="n">
        <v>196405.152638889</v>
      </c>
      <c r="GH6" s="36" t="n">
        <v>215340.831305556</v>
      </c>
      <c r="GI6" s="36" t="n">
        <v>216081.643856061</v>
      </c>
      <c r="GJ6" s="36" t="n">
        <v>215393.446356061</v>
      </c>
      <c r="GK6" s="36" t="n">
        <v>214726.779689394</v>
      </c>
      <c r="GL6" s="36" t="n">
        <v>214726.779689394</v>
      </c>
      <c r="GM6" s="36" t="n">
        <v>221978.474772727</v>
      </c>
      <c r="GN6" s="36" t="n">
        <v>236271.556590909</v>
      </c>
      <c r="GO6" s="36" t="n">
        <v>236669.351840909</v>
      </c>
      <c r="GP6" s="36" t="n">
        <v>236290.338507576</v>
      </c>
      <c r="GQ6" s="36" t="n">
        <v>238180.534148602</v>
      </c>
      <c r="GR6" s="36" t="n">
        <v>242813.867481935</v>
      </c>
      <c r="GS6" s="36" t="n">
        <v>247716.838315268</v>
      </c>
      <c r="GT6" s="36" t="n">
        <v>263101.317709208</v>
      </c>
      <c r="GU6" s="36" t="n">
        <v>256404.724375874</v>
      </c>
      <c r="GV6" s="36" t="n">
        <v>264862.258885678</v>
      </c>
      <c r="GW6" s="36" t="n">
        <v>267907.071861868</v>
      </c>
      <c r="GX6" s="36" t="n">
        <v>304228.688945202</v>
      </c>
      <c r="GY6" s="36" t="n">
        <v>301825.849793687</v>
      </c>
      <c r="GZ6" s="36" t="n">
        <v>300928.36312702</v>
      </c>
      <c r="HA6" s="36" t="n">
        <v>303287.139793687</v>
      </c>
      <c r="HB6" s="36" t="n">
        <v>296839.752293687</v>
      </c>
      <c r="HC6" s="36" t="n">
        <v>297683.252293687</v>
      </c>
      <c r="HD6" s="36" t="n">
        <v>297168.846176471</v>
      </c>
      <c r="HE6" s="36" t="n">
        <v>296551.771593137</v>
      </c>
      <c r="HF6" s="36" t="n">
        <v>375875.247426471</v>
      </c>
      <c r="HG6" s="36" t="n">
        <v>372172.035759804</v>
      </c>
      <c r="HH6" s="36" t="n">
        <v>373780.712426471</v>
      </c>
      <c r="HI6" s="37" t="n">
        <v>377853.265759804</v>
      </c>
      <c r="HJ6" s="36" t="n">
        <v>377853.265759804</v>
      </c>
      <c r="HK6" s="36" t="n">
        <v>377853.265759804</v>
      </c>
      <c r="HL6" s="36" t="n">
        <v>377853.265759804</v>
      </c>
      <c r="HM6" s="36" t="n">
        <v>377853.265759804</v>
      </c>
      <c r="HN6" s="36" t="n">
        <v>377853.265759804</v>
      </c>
      <c r="HO6" s="36" t="n">
        <v>377853.265759804</v>
      </c>
      <c r="HP6" s="36" t="n">
        <v>377853.265759804</v>
      </c>
      <c r="HQ6" s="36" t="n">
        <v>377853.265759804</v>
      </c>
      <c r="HS6" s="36" t="n">
        <v>92583.6995</v>
      </c>
      <c r="HT6" s="36" t="n">
        <v>94468.1003333333</v>
      </c>
      <c r="HU6" s="36" t="n">
        <v>94176.4336666667</v>
      </c>
      <c r="HV6" s="36" t="n">
        <v>95558.4336666667</v>
      </c>
      <c r="HW6" s="36" t="n">
        <v>98256.3336666667</v>
      </c>
      <c r="HX6" s="36" t="n">
        <v>100131.325</v>
      </c>
      <c r="HY6" s="36" t="n">
        <v>102421.67</v>
      </c>
      <c r="HZ6" s="36" t="n">
        <v>110369.1</v>
      </c>
      <c r="IA6" s="36" t="n">
        <v>111789.994818841</v>
      </c>
      <c r="IB6" s="36" t="n">
        <v>116048.331485507</v>
      </c>
      <c r="IC6" s="36" t="n">
        <v>116165.001485507</v>
      </c>
      <c r="ID6" s="36" t="n">
        <v>115369.371945277</v>
      </c>
      <c r="IE6" s="36" t="n">
        <v>114358.371945277</v>
      </c>
      <c r="IF6" s="36" t="n">
        <v>114706.131945277</v>
      </c>
      <c r="IG6" s="36" t="n">
        <v>114997.795278611</v>
      </c>
      <c r="IH6" s="36" t="n">
        <v>116143.338611944</v>
      </c>
      <c r="II6" s="36" t="n">
        <v>116143.348611944</v>
      </c>
      <c r="IJ6" s="36" t="n">
        <v>118166.228611944</v>
      </c>
      <c r="IK6" s="36" t="n">
        <v>120192.706945277</v>
      </c>
      <c r="IL6" s="36" t="n">
        <v>120838.540278611</v>
      </c>
      <c r="IM6" s="36" t="n">
        <v>128800.17795977</v>
      </c>
      <c r="IN6" s="36" t="n">
        <v>130656.344626437</v>
      </c>
      <c r="IO6" s="36" t="n">
        <v>133026.756934129</v>
      </c>
      <c r="IP6" s="36" t="n">
        <v>132490.928141026</v>
      </c>
      <c r="IQ6" s="36" t="n">
        <v>166280.903389644</v>
      </c>
      <c r="IR6" s="36" t="n">
        <v>171120.495889644</v>
      </c>
      <c r="IS6" s="36" t="n">
        <v>171433.693389644</v>
      </c>
      <c r="IT6" s="36" t="n">
        <v>171454.610056311</v>
      </c>
      <c r="IU6" s="36" t="n">
        <v>173502.3029452</v>
      </c>
      <c r="IV6" s="36" t="n">
        <v>168698.756029914</v>
      </c>
      <c r="IW6" s="36" t="n">
        <v>169029.097696581</v>
      </c>
      <c r="IX6" s="36" t="n">
        <v>170106.875196581</v>
      </c>
      <c r="IY6" s="36" t="n">
        <v>175068.026029914</v>
      </c>
      <c r="IZ6" s="36" t="n">
        <v>175909.678696581</v>
      </c>
      <c r="JA6" s="36" t="n">
        <v>175909.678696581</v>
      </c>
      <c r="JB6" s="36" t="n">
        <v>181662.435555555</v>
      </c>
      <c r="JC6" s="36" t="n">
        <v>199898.142222222</v>
      </c>
      <c r="JD6" s="36" t="n">
        <v>200281.907272727</v>
      </c>
      <c r="JE6" s="36" t="n">
        <v>199818.709772727</v>
      </c>
      <c r="JF6" s="36" t="n">
        <v>199152.043106061</v>
      </c>
      <c r="JG6" s="36" t="n">
        <v>199152.043106061</v>
      </c>
      <c r="JH6" s="36" t="n">
        <v>207929.048106061</v>
      </c>
      <c r="JI6" s="36" t="n">
        <v>223522.129924242</v>
      </c>
      <c r="JJ6" s="36" t="n">
        <v>224368.666174242</v>
      </c>
      <c r="JK6" s="36" t="n">
        <v>223989.652840909</v>
      </c>
      <c r="JL6" s="36" t="n">
        <v>225779.848481935</v>
      </c>
      <c r="JM6" s="36" t="n">
        <v>230996.515148602</v>
      </c>
      <c r="JN6" s="36" t="n">
        <v>235241.152648602</v>
      </c>
      <c r="JO6" s="36" t="n">
        <v>250625.632042541</v>
      </c>
      <c r="JP6" s="36" t="n">
        <v>246637.798709208</v>
      </c>
      <c r="JQ6" s="36" t="n">
        <v>255095.333219011</v>
      </c>
      <c r="JR6" s="36" t="n">
        <v>258140.146195202</v>
      </c>
      <c r="JS6" s="36" t="n">
        <v>294431.763278535</v>
      </c>
      <c r="JT6" s="36" t="n">
        <v>294999.766460353</v>
      </c>
      <c r="JU6" s="36" t="n">
        <v>294102.279793687</v>
      </c>
      <c r="JV6" s="36" t="n">
        <v>296461.056460353</v>
      </c>
      <c r="JW6" s="36" t="n">
        <v>293203.252293687</v>
      </c>
      <c r="JX6" s="36" t="n">
        <v>296999.918960353</v>
      </c>
      <c r="JY6" s="36" t="n">
        <v>296485.512843137</v>
      </c>
      <c r="JZ6" s="36" t="n">
        <v>296551.771593137</v>
      </c>
      <c r="KA6" s="36" t="n">
        <v>375875.247426471</v>
      </c>
      <c r="KB6" s="36" t="n">
        <v>372172.035759804</v>
      </c>
      <c r="KC6" s="36" t="n">
        <v>373780.712426471</v>
      </c>
      <c r="KD6" s="37" t="n">
        <v>377853.265759804</v>
      </c>
      <c r="KE6" s="36" t="n">
        <v>377853.265759804</v>
      </c>
      <c r="KF6" s="36" t="n">
        <v>377853.265759804</v>
      </c>
      <c r="KG6" s="36" t="n">
        <v>377853.265759804</v>
      </c>
      <c r="KH6" s="36" t="n">
        <v>377853.265759804</v>
      </c>
      <c r="KI6" s="36" t="n">
        <v>377853.265759804</v>
      </c>
      <c r="KJ6" s="36" t="n">
        <v>377853.265759804</v>
      </c>
      <c r="KK6" s="36" t="n">
        <v>377853.265759804</v>
      </c>
      <c r="KL6" s="36" t="n">
        <v>377853.265759804</v>
      </c>
    </row>
    <row r="7" customFormat="false" ht="15.75" hidden="false" customHeight="true" outlineLevel="0" collapsed="false">
      <c r="A7" s="35" t="s">
        <v>159</v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  <c r="M7" s="36" t="n">
        <v>0</v>
      </c>
      <c r="N7" s="36" t="n">
        <v>0</v>
      </c>
      <c r="O7" s="36" t="n">
        <v>0</v>
      </c>
      <c r="P7" s="36" t="n">
        <v>0</v>
      </c>
      <c r="Q7" s="36" t="n">
        <v>0</v>
      </c>
      <c r="R7" s="36" t="n">
        <v>0</v>
      </c>
      <c r="S7" s="36" t="n">
        <v>0</v>
      </c>
      <c r="T7" s="36" t="n">
        <v>0</v>
      </c>
      <c r="U7" s="36" t="n">
        <v>0</v>
      </c>
      <c r="V7" s="36" t="n">
        <v>0</v>
      </c>
      <c r="W7" s="36" t="n">
        <v>0</v>
      </c>
      <c r="X7" s="36" t="n">
        <v>0</v>
      </c>
      <c r="Y7" s="36" t="n">
        <v>0</v>
      </c>
      <c r="Z7" s="36" t="n">
        <v>0</v>
      </c>
      <c r="AA7" s="36" t="n">
        <v>0</v>
      </c>
      <c r="AB7" s="36" t="n">
        <v>0</v>
      </c>
      <c r="AC7" s="36" t="n">
        <v>0</v>
      </c>
      <c r="AD7" s="36" t="n">
        <v>0</v>
      </c>
      <c r="AE7" s="36" t="n">
        <v>0</v>
      </c>
      <c r="AF7" s="36" t="n">
        <v>0</v>
      </c>
      <c r="AG7" s="36" t="n">
        <v>0</v>
      </c>
      <c r="AH7" s="36" t="n">
        <v>0</v>
      </c>
      <c r="AI7" s="36" t="n">
        <v>0</v>
      </c>
      <c r="AJ7" s="36" t="n">
        <v>0</v>
      </c>
      <c r="AK7" s="36" t="n">
        <v>0</v>
      </c>
      <c r="AL7" s="36" t="n">
        <v>0</v>
      </c>
      <c r="AM7" s="36" t="n">
        <v>0</v>
      </c>
      <c r="AN7" s="36" t="n">
        <v>0</v>
      </c>
      <c r="AO7" s="36" t="n">
        <v>0</v>
      </c>
      <c r="AP7" s="36" t="n">
        <v>0</v>
      </c>
      <c r="AQ7" s="36" t="n">
        <v>0</v>
      </c>
      <c r="AR7" s="36" t="n">
        <v>0</v>
      </c>
      <c r="AS7" s="36" t="n">
        <v>0</v>
      </c>
      <c r="AT7" s="36" t="n">
        <v>0</v>
      </c>
      <c r="AU7" s="36" t="n">
        <v>0</v>
      </c>
      <c r="AV7" s="36" t="n">
        <v>0</v>
      </c>
      <c r="AW7" s="36" t="n">
        <v>0</v>
      </c>
      <c r="AX7" s="36" t="n">
        <v>0</v>
      </c>
      <c r="AY7" s="36" t="n">
        <v>0</v>
      </c>
      <c r="AZ7" s="36" t="n">
        <v>0</v>
      </c>
      <c r="BA7" s="36" t="n">
        <v>0</v>
      </c>
      <c r="BB7" s="36" t="n">
        <v>0</v>
      </c>
      <c r="BC7" s="36" t="n">
        <v>0</v>
      </c>
      <c r="BD7" s="36" t="n">
        <v>0</v>
      </c>
      <c r="BE7" s="36" t="n">
        <v>0</v>
      </c>
      <c r="BF7" s="36" t="n">
        <v>0</v>
      </c>
      <c r="BG7" s="36" t="n">
        <v>0</v>
      </c>
      <c r="BH7" s="36" t="n">
        <v>0</v>
      </c>
      <c r="BI7" s="36" t="n">
        <v>0</v>
      </c>
      <c r="BJ7" s="36" t="n">
        <v>0</v>
      </c>
      <c r="BK7" s="36" t="n">
        <v>0</v>
      </c>
      <c r="BL7" s="36" t="n">
        <v>0</v>
      </c>
      <c r="BM7" s="36" t="n">
        <v>0</v>
      </c>
      <c r="BN7" s="36" t="n">
        <v>0</v>
      </c>
      <c r="BO7" s="36" t="n">
        <v>0</v>
      </c>
      <c r="BP7" s="36" t="n">
        <v>0</v>
      </c>
      <c r="BQ7" s="36" t="n">
        <v>0</v>
      </c>
      <c r="BR7" s="37" t="n">
        <v>0</v>
      </c>
      <c r="BS7" s="36" t="n">
        <v>-421.414766003013</v>
      </c>
      <c r="BT7" s="36" t="n">
        <v>41829.8098641487</v>
      </c>
      <c r="BU7" s="36" t="n">
        <v>41435.4370073641</v>
      </c>
      <c r="BV7" s="36" t="n">
        <v>43297.1822251818</v>
      </c>
      <c r="BW7" s="36" t="n">
        <v>42903.487018097</v>
      </c>
      <c r="BX7" s="36" t="n">
        <v>44765.9168810457</v>
      </c>
      <c r="BY7" s="36" t="n">
        <v>87039.5799376426</v>
      </c>
      <c r="BZ7" s="36" t="n">
        <v>88917.8499369712</v>
      </c>
      <c r="CC7" s="36" t="n">
        <v>0</v>
      </c>
      <c r="CD7" s="36" t="n">
        <v>0</v>
      </c>
      <c r="CE7" s="36" t="n">
        <v>0</v>
      </c>
      <c r="CF7" s="36" t="n">
        <v>0</v>
      </c>
      <c r="CG7" s="36" t="n">
        <v>0</v>
      </c>
      <c r="CH7" s="36" t="n">
        <v>0</v>
      </c>
      <c r="CI7" s="36" t="n">
        <v>0</v>
      </c>
      <c r="CJ7" s="36" t="n">
        <v>0</v>
      </c>
      <c r="CK7" s="36" t="n">
        <v>0</v>
      </c>
      <c r="CL7" s="36" t="n">
        <v>0</v>
      </c>
      <c r="CM7" s="36" t="n">
        <v>0</v>
      </c>
      <c r="CN7" s="36" t="n">
        <v>0</v>
      </c>
      <c r="CO7" s="36" t="n">
        <v>0</v>
      </c>
      <c r="CP7" s="36" t="n">
        <v>0</v>
      </c>
      <c r="CQ7" s="36" t="n">
        <v>0</v>
      </c>
      <c r="CR7" s="36" t="n">
        <v>0</v>
      </c>
      <c r="CS7" s="36" t="n">
        <v>0</v>
      </c>
      <c r="CT7" s="36" t="n">
        <v>0</v>
      </c>
      <c r="CU7" s="36" t="n">
        <v>0</v>
      </c>
      <c r="CV7" s="36" t="n">
        <v>0</v>
      </c>
      <c r="CW7" s="36" t="n">
        <v>0</v>
      </c>
      <c r="CX7" s="36" t="n">
        <v>0</v>
      </c>
      <c r="CY7" s="36" t="n">
        <v>0</v>
      </c>
      <c r="CZ7" s="36" t="n">
        <v>0</v>
      </c>
      <c r="DA7" s="36" t="n">
        <v>0</v>
      </c>
      <c r="DB7" s="36" t="n">
        <v>0</v>
      </c>
      <c r="DC7" s="36" t="n">
        <v>0</v>
      </c>
      <c r="DD7" s="36" t="n">
        <v>0</v>
      </c>
      <c r="DE7" s="36" t="n">
        <v>0</v>
      </c>
      <c r="DF7" s="36" t="n">
        <v>0</v>
      </c>
      <c r="DG7" s="36" t="n">
        <v>0</v>
      </c>
      <c r="DH7" s="36" t="n">
        <v>0</v>
      </c>
      <c r="DI7" s="36" t="n">
        <v>0</v>
      </c>
      <c r="DJ7" s="36" t="n">
        <v>0</v>
      </c>
      <c r="DK7" s="36" t="n">
        <v>0</v>
      </c>
      <c r="DL7" s="36" t="n">
        <v>0</v>
      </c>
      <c r="DM7" s="36" t="n">
        <v>0</v>
      </c>
      <c r="DN7" s="36" t="n">
        <v>0</v>
      </c>
      <c r="DO7" s="36" t="n">
        <v>0</v>
      </c>
      <c r="DP7" s="36" t="n">
        <v>0</v>
      </c>
      <c r="DQ7" s="36" t="n">
        <v>0</v>
      </c>
      <c r="DR7" s="36" t="n">
        <v>0</v>
      </c>
      <c r="DS7" s="36" t="n">
        <v>0</v>
      </c>
      <c r="DT7" s="36" t="n">
        <v>0</v>
      </c>
      <c r="DU7" s="36" t="n">
        <v>0</v>
      </c>
      <c r="DV7" s="36" t="n">
        <v>0</v>
      </c>
      <c r="DW7" s="36" t="n">
        <v>0</v>
      </c>
      <c r="DX7" s="36" t="n">
        <v>0</v>
      </c>
      <c r="DY7" s="36" t="n">
        <v>0</v>
      </c>
      <c r="DZ7" s="36" t="n">
        <v>0</v>
      </c>
      <c r="EA7" s="36" t="n">
        <v>0</v>
      </c>
      <c r="EB7" s="36" t="n">
        <v>0</v>
      </c>
      <c r="EC7" s="36" t="n">
        <v>0</v>
      </c>
      <c r="ED7" s="36" t="n">
        <v>0</v>
      </c>
      <c r="EE7" s="36" t="n">
        <v>0</v>
      </c>
      <c r="EF7" s="36" t="n">
        <v>0</v>
      </c>
      <c r="EG7" s="36" t="n">
        <v>0</v>
      </c>
      <c r="EH7" s="36" t="n">
        <v>0</v>
      </c>
      <c r="EI7" s="36" t="n">
        <v>0</v>
      </c>
      <c r="EJ7" s="36" t="n">
        <v>0</v>
      </c>
      <c r="EK7" s="36" t="n">
        <v>0</v>
      </c>
      <c r="EL7" s="36" t="n">
        <v>0</v>
      </c>
      <c r="EM7" s="36" t="n">
        <v>0</v>
      </c>
      <c r="EN7" s="37" t="n">
        <v>0</v>
      </c>
      <c r="EO7" s="36" t="n">
        <v>0</v>
      </c>
      <c r="EP7" s="36" t="n">
        <v>0</v>
      </c>
      <c r="EQ7" s="36" t="n">
        <v>0</v>
      </c>
      <c r="ER7" s="36" t="n">
        <v>0</v>
      </c>
      <c r="ES7" s="36" t="n">
        <v>0</v>
      </c>
      <c r="ET7" s="36" t="n">
        <v>0</v>
      </c>
      <c r="EU7" s="36" t="n">
        <v>0</v>
      </c>
      <c r="EV7" s="36" t="n">
        <v>0</v>
      </c>
      <c r="EX7" s="36" t="n">
        <v>0</v>
      </c>
      <c r="EY7" s="36" t="n">
        <v>0</v>
      </c>
      <c r="EZ7" s="36" t="n">
        <v>0</v>
      </c>
      <c r="FA7" s="36" t="n">
        <v>0</v>
      </c>
      <c r="FB7" s="36" t="n">
        <v>0</v>
      </c>
      <c r="FC7" s="36" t="n">
        <v>0</v>
      </c>
      <c r="FD7" s="36" t="n">
        <v>0</v>
      </c>
      <c r="FE7" s="36" t="n">
        <v>0</v>
      </c>
      <c r="FF7" s="36" t="n">
        <v>0</v>
      </c>
      <c r="FG7" s="36" t="n">
        <v>0</v>
      </c>
      <c r="FH7" s="36" t="n">
        <v>0</v>
      </c>
      <c r="FI7" s="36" t="n">
        <v>0</v>
      </c>
      <c r="FJ7" s="36" t="n">
        <v>0</v>
      </c>
      <c r="FK7" s="36" t="n">
        <v>0</v>
      </c>
      <c r="FL7" s="36" t="n">
        <v>0</v>
      </c>
      <c r="FM7" s="36" t="n">
        <v>0</v>
      </c>
      <c r="FN7" s="36" t="n">
        <v>0</v>
      </c>
      <c r="FO7" s="36" t="n">
        <v>0</v>
      </c>
      <c r="FP7" s="36" t="n">
        <v>0</v>
      </c>
      <c r="FQ7" s="36" t="n">
        <v>0</v>
      </c>
      <c r="FR7" s="36" t="n">
        <v>0</v>
      </c>
      <c r="FS7" s="36" t="n">
        <v>0</v>
      </c>
      <c r="FT7" s="36" t="n">
        <v>0</v>
      </c>
      <c r="FU7" s="36" t="n">
        <v>0</v>
      </c>
      <c r="FV7" s="36" t="n">
        <v>0</v>
      </c>
      <c r="FW7" s="36" t="n">
        <v>0</v>
      </c>
      <c r="FX7" s="36" t="n">
        <v>0</v>
      </c>
      <c r="FY7" s="36" t="n">
        <v>0</v>
      </c>
      <c r="FZ7" s="36" t="n">
        <v>0</v>
      </c>
      <c r="GA7" s="36" t="n">
        <v>0</v>
      </c>
      <c r="GB7" s="36" t="n">
        <v>0</v>
      </c>
      <c r="GC7" s="36" t="n">
        <v>0</v>
      </c>
      <c r="GD7" s="36" t="n">
        <v>0</v>
      </c>
      <c r="GE7" s="36" t="n">
        <v>0</v>
      </c>
      <c r="GF7" s="36" t="n">
        <v>0</v>
      </c>
      <c r="GG7" s="36" t="n">
        <v>0</v>
      </c>
      <c r="GH7" s="36" t="n">
        <v>0</v>
      </c>
      <c r="GI7" s="36" t="n">
        <v>0</v>
      </c>
      <c r="GJ7" s="36" t="n">
        <v>0</v>
      </c>
      <c r="GK7" s="36" t="n">
        <v>0</v>
      </c>
      <c r="GL7" s="36" t="n">
        <v>0</v>
      </c>
      <c r="GM7" s="36" t="n">
        <v>0</v>
      </c>
      <c r="GN7" s="36" t="n">
        <v>0</v>
      </c>
      <c r="GO7" s="36" t="n">
        <v>0</v>
      </c>
      <c r="GP7" s="36" t="n">
        <v>0</v>
      </c>
      <c r="GQ7" s="36" t="n">
        <v>0</v>
      </c>
      <c r="GR7" s="36" t="n">
        <v>0</v>
      </c>
      <c r="GS7" s="36" t="n">
        <v>0</v>
      </c>
      <c r="GT7" s="36" t="n">
        <v>0</v>
      </c>
      <c r="GU7" s="36" t="n">
        <v>0</v>
      </c>
      <c r="GV7" s="36" t="n">
        <v>0</v>
      </c>
      <c r="GW7" s="36" t="n">
        <v>0</v>
      </c>
      <c r="GX7" s="36" t="n">
        <v>0</v>
      </c>
      <c r="GY7" s="36" t="n">
        <v>0</v>
      </c>
      <c r="GZ7" s="36" t="n">
        <v>0</v>
      </c>
      <c r="HA7" s="36" t="n">
        <v>0</v>
      </c>
      <c r="HB7" s="36" t="n">
        <v>0</v>
      </c>
      <c r="HC7" s="36" t="n">
        <v>0</v>
      </c>
      <c r="HD7" s="36" t="n">
        <v>0</v>
      </c>
      <c r="HE7" s="36" t="n">
        <v>0</v>
      </c>
      <c r="HF7" s="36" t="n">
        <v>0</v>
      </c>
      <c r="HG7" s="36" t="n">
        <v>0</v>
      </c>
      <c r="HH7" s="36" t="n">
        <v>0</v>
      </c>
      <c r="HI7" s="37" t="n">
        <v>0</v>
      </c>
      <c r="HJ7" s="36" t="n">
        <v>-421.414766003013</v>
      </c>
      <c r="HK7" s="36" t="n">
        <v>41829.8098641487</v>
      </c>
      <c r="HL7" s="36" t="n">
        <v>41435.4370073641</v>
      </c>
      <c r="HM7" s="36" t="n">
        <v>43297.1822251818</v>
      </c>
      <c r="HN7" s="36" t="n">
        <v>42903.487018097</v>
      </c>
      <c r="HO7" s="36" t="n">
        <v>44765.9168810457</v>
      </c>
      <c r="HP7" s="36" t="n">
        <v>87039.5799376426</v>
      </c>
      <c r="HQ7" s="36" t="n">
        <v>88917.8499369712</v>
      </c>
      <c r="HS7" s="36" t="n">
        <v>0</v>
      </c>
      <c r="HT7" s="36" t="n">
        <v>0</v>
      </c>
      <c r="HU7" s="36" t="n">
        <v>0</v>
      </c>
      <c r="HV7" s="36" t="n">
        <v>0</v>
      </c>
      <c r="HW7" s="36" t="n">
        <v>0</v>
      </c>
      <c r="HX7" s="36" t="n">
        <v>0</v>
      </c>
      <c r="HY7" s="36" t="n">
        <v>0</v>
      </c>
      <c r="HZ7" s="36" t="n">
        <v>0</v>
      </c>
      <c r="IA7" s="36" t="n">
        <v>0</v>
      </c>
      <c r="IB7" s="36" t="n">
        <v>0</v>
      </c>
      <c r="IC7" s="36" t="n">
        <v>0</v>
      </c>
      <c r="ID7" s="36" t="n">
        <v>0</v>
      </c>
      <c r="IE7" s="36" t="n">
        <v>0</v>
      </c>
      <c r="IF7" s="36" t="n">
        <v>0</v>
      </c>
      <c r="IG7" s="36" t="n">
        <v>0</v>
      </c>
      <c r="IH7" s="36" t="n">
        <v>0</v>
      </c>
      <c r="II7" s="36" t="n">
        <v>0</v>
      </c>
      <c r="IJ7" s="36" t="n">
        <v>0</v>
      </c>
      <c r="IK7" s="36" t="n">
        <v>0</v>
      </c>
      <c r="IL7" s="36" t="n">
        <v>0</v>
      </c>
      <c r="IM7" s="36" t="n">
        <v>0</v>
      </c>
      <c r="IN7" s="36" t="n">
        <v>0</v>
      </c>
      <c r="IO7" s="36" t="n">
        <v>0</v>
      </c>
      <c r="IP7" s="36" t="n">
        <v>0</v>
      </c>
      <c r="IQ7" s="36" t="n">
        <v>0</v>
      </c>
      <c r="IR7" s="36" t="n">
        <v>0</v>
      </c>
      <c r="IS7" s="36" t="n">
        <v>0</v>
      </c>
      <c r="IT7" s="36" t="n">
        <v>0</v>
      </c>
      <c r="IU7" s="36" t="n">
        <v>0</v>
      </c>
      <c r="IV7" s="36" t="n">
        <v>0</v>
      </c>
      <c r="IW7" s="36" t="n">
        <v>0</v>
      </c>
      <c r="IX7" s="36" t="n">
        <v>0</v>
      </c>
      <c r="IY7" s="36" t="n">
        <v>0</v>
      </c>
      <c r="IZ7" s="36" t="n">
        <v>0</v>
      </c>
      <c r="JA7" s="36" t="n">
        <v>0</v>
      </c>
      <c r="JB7" s="36" t="n">
        <v>0</v>
      </c>
      <c r="JC7" s="36" t="n">
        <v>0</v>
      </c>
      <c r="JD7" s="36" t="n">
        <v>0</v>
      </c>
      <c r="JE7" s="36" t="n">
        <v>0</v>
      </c>
      <c r="JF7" s="36" t="n">
        <v>0</v>
      </c>
      <c r="JG7" s="36" t="n">
        <v>0</v>
      </c>
      <c r="JH7" s="36" t="n">
        <v>0</v>
      </c>
      <c r="JI7" s="36" t="n">
        <v>0</v>
      </c>
      <c r="JJ7" s="36" t="n">
        <v>0</v>
      </c>
      <c r="JK7" s="36" t="n">
        <v>0</v>
      </c>
      <c r="JL7" s="36" t="n">
        <v>0</v>
      </c>
      <c r="JM7" s="36" t="n">
        <v>0</v>
      </c>
      <c r="JN7" s="36" t="n">
        <v>0</v>
      </c>
      <c r="JO7" s="36" t="n">
        <v>0</v>
      </c>
      <c r="JP7" s="36" t="n">
        <v>0</v>
      </c>
      <c r="JQ7" s="36" t="n">
        <v>0</v>
      </c>
      <c r="JR7" s="36" t="n">
        <v>0</v>
      </c>
      <c r="JS7" s="36" t="n">
        <v>0</v>
      </c>
      <c r="JT7" s="36" t="n">
        <v>0</v>
      </c>
      <c r="JU7" s="36" t="n">
        <v>0</v>
      </c>
      <c r="JV7" s="36" t="n">
        <v>0</v>
      </c>
      <c r="JW7" s="36" t="n">
        <v>0</v>
      </c>
      <c r="JX7" s="36" t="n">
        <v>0</v>
      </c>
      <c r="JY7" s="36" t="n">
        <v>0</v>
      </c>
      <c r="JZ7" s="36" t="n">
        <v>0</v>
      </c>
      <c r="KA7" s="36" t="n">
        <v>0</v>
      </c>
      <c r="KB7" s="36" t="n">
        <v>0</v>
      </c>
      <c r="KC7" s="36" t="n">
        <v>0</v>
      </c>
      <c r="KD7" s="37" t="n">
        <v>0</v>
      </c>
      <c r="KE7" s="36" t="n">
        <v>-421.414766003013</v>
      </c>
      <c r="KF7" s="36" t="n">
        <v>41829.8098641487</v>
      </c>
      <c r="KG7" s="36" t="n">
        <v>41435.4370073641</v>
      </c>
      <c r="KH7" s="36" t="n">
        <v>43297.1822251818</v>
      </c>
      <c r="KI7" s="36" t="n">
        <v>42903.487018097</v>
      </c>
      <c r="KJ7" s="36" t="n">
        <v>44765.9168810457</v>
      </c>
      <c r="KK7" s="36" t="n">
        <v>87039.5799376426</v>
      </c>
      <c r="KL7" s="36" t="n">
        <v>88917.8499369712</v>
      </c>
    </row>
    <row r="8" customFormat="false" ht="15.75" hidden="false" customHeight="true" outlineLevel="0" collapsed="false">
      <c r="A8" s="38" t="s">
        <v>160</v>
      </c>
      <c r="G8" s="39" t="n">
        <v>123697.6995</v>
      </c>
      <c r="H8" s="39" t="n">
        <v>126688.333666667</v>
      </c>
      <c r="I8" s="39" t="n">
        <v>125139.167</v>
      </c>
      <c r="J8" s="39" t="n">
        <v>126521.167</v>
      </c>
      <c r="K8" s="39" t="n">
        <v>129219.067</v>
      </c>
      <c r="L8" s="39" t="n">
        <v>131485.741666667</v>
      </c>
      <c r="M8" s="39" t="n">
        <v>121101.086666667</v>
      </c>
      <c r="N8" s="39" t="n">
        <v>129048.5</v>
      </c>
      <c r="O8" s="39" t="n">
        <v>131592.328152174</v>
      </c>
      <c r="P8" s="39" t="n">
        <v>135850.664818841</v>
      </c>
      <c r="Q8" s="39" t="n">
        <v>136434.001485507</v>
      </c>
      <c r="R8" s="39" t="n">
        <v>135638.371945277</v>
      </c>
      <c r="S8" s="39" t="n">
        <v>136877.371945277</v>
      </c>
      <c r="T8" s="39" t="n">
        <v>138159.298611944</v>
      </c>
      <c r="U8" s="39" t="n">
        <v>138600.961945277</v>
      </c>
      <c r="V8" s="39" t="n">
        <v>139746.505278611</v>
      </c>
      <c r="W8" s="39" t="n">
        <v>139754.848611944</v>
      </c>
      <c r="X8" s="39" t="n">
        <v>141777.728611944</v>
      </c>
      <c r="Y8" s="39" t="n">
        <v>139104.206945277</v>
      </c>
      <c r="Z8" s="39" t="n">
        <v>139750.040278611</v>
      </c>
      <c r="AA8" s="39" t="n">
        <v>148228.344626437</v>
      </c>
      <c r="AB8" s="39" t="n">
        <v>151426.171293103</v>
      </c>
      <c r="AC8" s="39" t="n">
        <v>153796.590267462</v>
      </c>
      <c r="AD8" s="39" t="n">
        <v>165253.261474359</v>
      </c>
      <c r="AE8" s="39" t="n">
        <v>298017.350889644</v>
      </c>
      <c r="AF8" s="39" t="n">
        <v>301392.776722977</v>
      </c>
      <c r="AG8" s="39" t="n">
        <v>300500.974222977</v>
      </c>
      <c r="AH8" s="39" t="n">
        <v>300521.890889644</v>
      </c>
      <c r="AI8" s="39" t="n">
        <v>303117.7504452</v>
      </c>
      <c r="AJ8" s="39" t="n">
        <v>299197.536863247</v>
      </c>
      <c r="AK8" s="39" t="n">
        <v>299527.878529914</v>
      </c>
      <c r="AL8" s="39" t="n">
        <v>300741.906029914</v>
      </c>
      <c r="AM8" s="39" t="n">
        <v>305767.640196581</v>
      </c>
      <c r="AN8" s="39" t="n">
        <v>306921.791613248</v>
      </c>
      <c r="AO8" s="39" t="n">
        <v>306921.791613248</v>
      </c>
      <c r="AP8" s="39" t="n">
        <v>308418.166805555</v>
      </c>
      <c r="AQ8" s="39" t="n">
        <v>226129.731305556</v>
      </c>
      <c r="AR8" s="39" t="n">
        <v>226870.543856061</v>
      </c>
      <c r="AS8" s="39" t="n">
        <v>226182.346356061</v>
      </c>
      <c r="AT8" s="39" t="n">
        <v>225515.679689394</v>
      </c>
      <c r="AU8" s="39" t="n">
        <v>225515.679689394</v>
      </c>
      <c r="AV8" s="39" t="n">
        <v>232767.374772727</v>
      </c>
      <c r="AW8" s="39" t="n">
        <v>252970.039924242</v>
      </c>
      <c r="AX8" s="39" t="n">
        <v>253367.835174242</v>
      </c>
      <c r="AY8" s="39" t="n">
        <v>252988.821840909</v>
      </c>
      <c r="AZ8" s="39" t="n">
        <v>254879.017481935</v>
      </c>
      <c r="BA8" s="39" t="n">
        <v>259512.350815268</v>
      </c>
      <c r="BB8" s="39" t="n">
        <v>257376.421648602</v>
      </c>
      <c r="BC8" s="39" t="n">
        <v>269010.901042541</v>
      </c>
      <c r="BD8" s="39" t="n">
        <v>262314.307709208</v>
      </c>
      <c r="BE8" s="39" t="n">
        <v>270771.842219011</v>
      </c>
      <c r="BF8" s="39" t="n">
        <v>278271.655195202</v>
      </c>
      <c r="BG8" s="39" t="n">
        <v>314593.272278535</v>
      </c>
      <c r="BH8" s="39" t="n">
        <v>312190.43312702</v>
      </c>
      <c r="BI8" s="39" t="n">
        <v>305383.36312702</v>
      </c>
      <c r="BJ8" s="39" t="n">
        <v>307742.139793687</v>
      </c>
      <c r="BK8" s="39" t="n">
        <v>301294.752293687</v>
      </c>
      <c r="BL8" s="39" t="n">
        <v>302138.252293687</v>
      </c>
      <c r="BM8" s="39" t="n">
        <v>301623.846176471</v>
      </c>
      <c r="BN8" s="39" t="n">
        <v>301006.771593137</v>
      </c>
      <c r="BO8" s="39" t="n">
        <v>380330.247426471</v>
      </c>
      <c r="BP8" s="39" t="n">
        <v>376627.035759804</v>
      </c>
      <c r="BQ8" s="39" t="n">
        <v>378235.712426471</v>
      </c>
      <c r="BR8" s="40" t="n">
        <v>382308.265759804</v>
      </c>
      <c r="BS8" s="39" t="n">
        <v>377431.850993801</v>
      </c>
      <c r="BT8" s="39" t="n">
        <v>419683.075623953</v>
      </c>
      <c r="BU8" s="39" t="n">
        <v>419288.702767168</v>
      </c>
      <c r="BV8" s="39" t="n">
        <v>421150.447984986</v>
      </c>
      <c r="BW8" s="39" t="n">
        <v>420756.752777901</v>
      </c>
      <c r="BX8" s="39" t="n">
        <v>422619.18264085</v>
      </c>
      <c r="BY8" s="39" t="n">
        <v>464892.845697447</v>
      </c>
      <c r="BZ8" s="39" t="n">
        <v>466771.115696775</v>
      </c>
      <c r="CC8" s="39" t="n">
        <v>-31114</v>
      </c>
      <c r="CD8" s="39" t="n">
        <v>-32220.2333333333</v>
      </c>
      <c r="CE8" s="39" t="n">
        <v>-30962.7333333333</v>
      </c>
      <c r="CF8" s="39" t="n">
        <v>-30962.7333333333</v>
      </c>
      <c r="CG8" s="39" t="n">
        <v>-30962.7333333333</v>
      </c>
      <c r="CH8" s="39" t="n">
        <v>-31354.4166666667</v>
      </c>
      <c r="CI8" s="39" t="n">
        <v>-18679.4166666667</v>
      </c>
      <c r="CJ8" s="39" t="n">
        <v>-18679.4</v>
      </c>
      <c r="CK8" s="39" t="n">
        <v>-19802.3333333333</v>
      </c>
      <c r="CL8" s="39" t="n">
        <v>-19802.3333333333</v>
      </c>
      <c r="CM8" s="39" t="n">
        <v>-20269</v>
      </c>
      <c r="CN8" s="39" t="n">
        <v>-20269</v>
      </c>
      <c r="CO8" s="39" t="n">
        <v>-22519</v>
      </c>
      <c r="CP8" s="39" t="n">
        <v>-23453.1666666667</v>
      </c>
      <c r="CQ8" s="39" t="n">
        <v>-23603.1666666667</v>
      </c>
      <c r="CR8" s="39" t="n">
        <v>-23603.1666666667</v>
      </c>
      <c r="CS8" s="39" t="n">
        <v>-23611.5</v>
      </c>
      <c r="CT8" s="39" t="n">
        <v>-23611.5</v>
      </c>
      <c r="CU8" s="39" t="n">
        <v>-18911.5</v>
      </c>
      <c r="CV8" s="39" t="n">
        <v>-18911.5</v>
      </c>
      <c r="CW8" s="39" t="n">
        <v>-19428.1666666667</v>
      </c>
      <c r="CX8" s="39" t="n">
        <v>-20769.8266666667</v>
      </c>
      <c r="CY8" s="39" t="n">
        <v>-20769.8333333333</v>
      </c>
      <c r="CZ8" s="39" t="n">
        <v>-32762.3333333333</v>
      </c>
      <c r="DA8" s="39" t="n">
        <v>-131736.4475</v>
      </c>
      <c r="DB8" s="39" t="n">
        <v>-130272.280833333</v>
      </c>
      <c r="DC8" s="39" t="n">
        <v>-129067.280833333</v>
      </c>
      <c r="DD8" s="39" t="n">
        <v>-129067.280833333</v>
      </c>
      <c r="DE8" s="39" t="n">
        <v>-129615.4475</v>
      </c>
      <c r="DF8" s="39" t="n">
        <v>-130498.780833333</v>
      </c>
      <c r="DG8" s="39" t="n">
        <v>-130498.780833333</v>
      </c>
      <c r="DH8" s="39" t="n">
        <v>-130635.030833333</v>
      </c>
      <c r="DI8" s="39" t="n">
        <v>-130699.614166667</v>
      </c>
      <c r="DJ8" s="39" t="n">
        <v>-131012.112916667</v>
      </c>
      <c r="DK8" s="39" t="n">
        <v>-131012.112916667</v>
      </c>
      <c r="DL8" s="39" t="n">
        <v>-126755.73125</v>
      </c>
      <c r="DM8" s="39" t="n">
        <v>-26231.5890833333</v>
      </c>
      <c r="DN8" s="39" t="n">
        <v>-26588.6365833333</v>
      </c>
      <c r="DO8" s="39" t="n">
        <v>-26363.6365833333</v>
      </c>
      <c r="DP8" s="39" t="n">
        <v>-26363.6365833333</v>
      </c>
      <c r="DQ8" s="39" t="n">
        <v>-26363.6365833333</v>
      </c>
      <c r="DR8" s="39" t="n">
        <v>-24838.3266666667</v>
      </c>
      <c r="DS8" s="39" t="n">
        <v>-29447.91</v>
      </c>
      <c r="DT8" s="39" t="n">
        <v>-28999.169</v>
      </c>
      <c r="DU8" s="39" t="n">
        <v>-28999.169</v>
      </c>
      <c r="DV8" s="39" t="n">
        <v>-29099.169</v>
      </c>
      <c r="DW8" s="39" t="n">
        <v>-28515.8356666667</v>
      </c>
      <c r="DX8" s="39" t="n">
        <v>-22135.269</v>
      </c>
      <c r="DY8" s="39" t="n">
        <v>-18385.269</v>
      </c>
      <c r="DZ8" s="39" t="n">
        <v>-15676.509</v>
      </c>
      <c r="EA8" s="39" t="n">
        <v>-15676.509</v>
      </c>
      <c r="EB8" s="39" t="n">
        <v>-20131.509</v>
      </c>
      <c r="EC8" s="39" t="n">
        <v>-20161.509</v>
      </c>
      <c r="ED8" s="39" t="n">
        <v>-17190.6666666667</v>
      </c>
      <c r="EE8" s="39" t="n">
        <v>-11281.0833333333</v>
      </c>
      <c r="EF8" s="39" t="n">
        <v>-11281.0833333333</v>
      </c>
      <c r="EG8" s="39" t="n">
        <v>-8091.5</v>
      </c>
      <c r="EH8" s="39" t="n">
        <v>-5138.33333333333</v>
      </c>
      <c r="EI8" s="39" t="n">
        <v>-5138.33333333333</v>
      </c>
      <c r="EJ8" s="39" t="n">
        <v>-4455</v>
      </c>
      <c r="EK8" s="39" t="n">
        <v>-4455</v>
      </c>
      <c r="EL8" s="39" t="n">
        <v>-4455</v>
      </c>
      <c r="EM8" s="39" t="n">
        <v>-4455</v>
      </c>
      <c r="EN8" s="40" t="n">
        <v>-4455</v>
      </c>
      <c r="EO8" s="39" t="n">
        <v>0</v>
      </c>
      <c r="EP8" s="39" t="n">
        <v>0</v>
      </c>
      <c r="EQ8" s="39" t="n">
        <v>0</v>
      </c>
      <c r="ER8" s="39" t="n">
        <v>0</v>
      </c>
      <c r="ES8" s="39" t="n">
        <v>0</v>
      </c>
      <c r="ET8" s="39" t="n">
        <v>0</v>
      </c>
      <c r="EU8" s="39" t="n">
        <v>0</v>
      </c>
      <c r="EV8" s="39" t="n">
        <v>0</v>
      </c>
      <c r="EX8" s="39" t="n">
        <v>106022.6995</v>
      </c>
      <c r="EY8" s="39" t="n">
        <v>109013.333666667</v>
      </c>
      <c r="EZ8" s="39" t="n">
        <v>107464.167</v>
      </c>
      <c r="FA8" s="39" t="n">
        <v>108846.167</v>
      </c>
      <c r="FB8" s="39" t="n">
        <v>111544.067</v>
      </c>
      <c r="FC8" s="39" t="n">
        <v>113810.741666667</v>
      </c>
      <c r="FD8" s="39" t="n">
        <v>117351.086666667</v>
      </c>
      <c r="FE8" s="39" t="n">
        <v>125298.5</v>
      </c>
      <c r="FF8" s="39" t="n">
        <v>127842.328152174</v>
      </c>
      <c r="FG8" s="39" t="n">
        <v>132100.664818841</v>
      </c>
      <c r="FH8" s="39" t="n">
        <v>132684.001485507</v>
      </c>
      <c r="FI8" s="39" t="n">
        <v>131888.371945277</v>
      </c>
      <c r="FJ8" s="39" t="n">
        <v>130877.371945277</v>
      </c>
      <c r="FK8" s="39" t="n">
        <v>132159.298611944</v>
      </c>
      <c r="FL8" s="39" t="n">
        <v>132600.961945277</v>
      </c>
      <c r="FM8" s="39" t="n">
        <v>133746.505278611</v>
      </c>
      <c r="FN8" s="39" t="n">
        <v>133754.848611944</v>
      </c>
      <c r="FO8" s="39" t="n">
        <v>135777.728611944</v>
      </c>
      <c r="FP8" s="39" t="n">
        <v>133104.206945277</v>
      </c>
      <c r="FQ8" s="39" t="n">
        <v>133750.040278611</v>
      </c>
      <c r="FR8" s="39" t="n">
        <v>142228.344626437</v>
      </c>
      <c r="FS8" s="39" t="n">
        <v>145426.171293103</v>
      </c>
      <c r="FT8" s="39" t="n">
        <v>147796.590267462</v>
      </c>
      <c r="FU8" s="39" t="n">
        <v>147560.761474359</v>
      </c>
      <c r="FV8" s="39" t="n">
        <v>181350.736722977</v>
      </c>
      <c r="FW8" s="39" t="n">
        <v>184726.162556311</v>
      </c>
      <c r="FX8" s="39" t="n">
        <v>183834.360056311</v>
      </c>
      <c r="FY8" s="39" t="n">
        <v>183855.276722977</v>
      </c>
      <c r="FZ8" s="39" t="n">
        <v>186451.136278533</v>
      </c>
      <c r="GA8" s="39" t="n">
        <v>182530.922696581</v>
      </c>
      <c r="GB8" s="39" t="n">
        <v>182861.264363248</v>
      </c>
      <c r="GC8" s="39" t="n">
        <v>184075.291863248</v>
      </c>
      <c r="GD8" s="39" t="n">
        <v>189101.026029914</v>
      </c>
      <c r="GE8" s="39" t="n">
        <v>190255.177446581</v>
      </c>
      <c r="GF8" s="39" t="n">
        <v>190255.177446581</v>
      </c>
      <c r="GG8" s="39" t="n">
        <v>196405.152638889</v>
      </c>
      <c r="GH8" s="39" t="n">
        <v>215340.831305556</v>
      </c>
      <c r="GI8" s="39" t="n">
        <v>216081.643856061</v>
      </c>
      <c r="GJ8" s="39" t="n">
        <v>215393.446356061</v>
      </c>
      <c r="GK8" s="39" t="n">
        <v>214726.779689394</v>
      </c>
      <c r="GL8" s="39" t="n">
        <v>214726.779689394</v>
      </c>
      <c r="GM8" s="39" t="n">
        <v>221978.474772727</v>
      </c>
      <c r="GN8" s="39" t="n">
        <v>236271.556590909</v>
      </c>
      <c r="GO8" s="39" t="n">
        <v>236669.351840909</v>
      </c>
      <c r="GP8" s="39" t="n">
        <v>236290.338507576</v>
      </c>
      <c r="GQ8" s="39" t="n">
        <v>238180.534148602</v>
      </c>
      <c r="GR8" s="39" t="n">
        <v>242813.867481935</v>
      </c>
      <c r="GS8" s="39" t="n">
        <v>247716.838315268</v>
      </c>
      <c r="GT8" s="39" t="n">
        <v>263101.317709208</v>
      </c>
      <c r="GU8" s="39" t="n">
        <v>256404.724375874</v>
      </c>
      <c r="GV8" s="39" t="n">
        <v>264862.258885678</v>
      </c>
      <c r="GW8" s="39" t="n">
        <v>267907.071861868</v>
      </c>
      <c r="GX8" s="39" t="n">
        <v>304228.688945202</v>
      </c>
      <c r="GY8" s="39" t="n">
        <v>301825.849793687</v>
      </c>
      <c r="GZ8" s="39" t="n">
        <v>300928.36312702</v>
      </c>
      <c r="HA8" s="39" t="n">
        <v>303287.139793687</v>
      </c>
      <c r="HB8" s="39" t="n">
        <v>296839.752293687</v>
      </c>
      <c r="HC8" s="39" t="n">
        <v>297683.252293687</v>
      </c>
      <c r="HD8" s="39" t="n">
        <v>297168.846176471</v>
      </c>
      <c r="HE8" s="39" t="n">
        <v>296551.771593137</v>
      </c>
      <c r="HF8" s="39" t="n">
        <v>375875.247426471</v>
      </c>
      <c r="HG8" s="39" t="n">
        <v>372172.035759804</v>
      </c>
      <c r="HH8" s="39" t="n">
        <v>373780.712426471</v>
      </c>
      <c r="HI8" s="40" t="n">
        <v>377853.265759804</v>
      </c>
      <c r="HJ8" s="39" t="n">
        <v>377431.850993801</v>
      </c>
      <c r="HK8" s="39" t="n">
        <v>419683.075623953</v>
      </c>
      <c r="HL8" s="39" t="n">
        <v>419288.702767168</v>
      </c>
      <c r="HM8" s="39" t="n">
        <v>421150.447984986</v>
      </c>
      <c r="HN8" s="39" t="n">
        <v>420756.752777901</v>
      </c>
      <c r="HO8" s="39" t="n">
        <v>422619.18264085</v>
      </c>
      <c r="HP8" s="39" t="n">
        <v>464892.845697447</v>
      </c>
      <c r="HQ8" s="39" t="n">
        <v>466771.115696775</v>
      </c>
      <c r="HS8" s="39" t="n">
        <v>92583.6995</v>
      </c>
      <c r="HT8" s="39" t="n">
        <v>94468.1003333333</v>
      </c>
      <c r="HU8" s="39" t="n">
        <v>94176.4336666667</v>
      </c>
      <c r="HV8" s="39" t="n">
        <v>95558.4336666667</v>
      </c>
      <c r="HW8" s="39" t="n">
        <v>98256.3336666667</v>
      </c>
      <c r="HX8" s="39" t="n">
        <v>100131.325</v>
      </c>
      <c r="HY8" s="39" t="n">
        <v>102421.67</v>
      </c>
      <c r="HZ8" s="39" t="n">
        <v>110369.1</v>
      </c>
      <c r="IA8" s="39" t="n">
        <v>111789.994818841</v>
      </c>
      <c r="IB8" s="39" t="n">
        <v>116048.331485507</v>
      </c>
      <c r="IC8" s="39" t="n">
        <v>116165.001485507</v>
      </c>
      <c r="ID8" s="39" t="n">
        <v>115369.371945277</v>
      </c>
      <c r="IE8" s="39" t="n">
        <v>114358.371945277</v>
      </c>
      <c r="IF8" s="39" t="n">
        <v>114706.131945277</v>
      </c>
      <c r="IG8" s="39" t="n">
        <v>114997.795278611</v>
      </c>
      <c r="IH8" s="39" t="n">
        <v>116143.338611944</v>
      </c>
      <c r="II8" s="39" t="n">
        <v>116143.348611944</v>
      </c>
      <c r="IJ8" s="39" t="n">
        <v>118166.228611944</v>
      </c>
      <c r="IK8" s="39" t="n">
        <v>120192.706945277</v>
      </c>
      <c r="IL8" s="39" t="n">
        <v>120838.540278611</v>
      </c>
      <c r="IM8" s="39" t="n">
        <v>128800.17795977</v>
      </c>
      <c r="IN8" s="39" t="n">
        <v>130656.344626437</v>
      </c>
      <c r="IO8" s="39" t="n">
        <v>133026.756934129</v>
      </c>
      <c r="IP8" s="39" t="n">
        <v>132490.928141026</v>
      </c>
      <c r="IQ8" s="39" t="n">
        <v>166280.903389644</v>
      </c>
      <c r="IR8" s="39" t="n">
        <v>171120.495889644</v>
      </c>
      <c r="IS8" s="39" t="n">
        <v>171433.693389644</v>
      </c>
      <c r="IT8" s="39" t="n">
        <v>171454.610056311</v>
      </c>
      <c r="IU8" s="39" t="n">
        <v>173502.3029452</v>
      </c>
      <c r="IV8" s="39" t="n">
        <v>168698.756029914</v>
      </c>
      <c r="IW8" s="39" t="n">
        <v>169029.097696581</v>
      </c>
      <c r="IX8" s="39" t="n">
        <v>170106.875196581</v>
      </c>
      <c r="IY8" s="39" t="n">
        <v>175068.026029914</v>
      </c>
      <c r="IZ8" s="39" t="n">
        <v>175909.678696581</v>
      </c>
      <c r="JA8" s="39" t="n">
        <v>175909.678696581</v>
      </c>
      <c r="JB8" s="39" t="n">
        <v>181662.435555555</v>
      </c>
      <c r="JC8" s="39" t="n">
        <v>199898.142222222</v>
      </c>
      <c r="JD8" s="39" t="n">
        <v>200281.907272727</v>
      </c>
      <c r="JE8" s="39" t="n">
        <v>199818.709772727</v>
      </c>
      <c r="JF8" s="39" t="n">
        <v>199152.043106061</v>
      </c>
      <c r="JG8" s="39" t="n">
        <v>199152.043106061</v>
      </c>
      <c r="JH8" s="39" t="n">
        <v>207929.048106061</v>
      </c>
      <c r="JI8" s="39" t="n">
        <v>223522.129924242</v>
      </c>
      <c r="JJ8" s="39" t="n">
        <v>224368.666174242</v>
      </c>
      <c r="JK8" s="39" t="n">
        <v>223989.652840909</v>
      </c>
      <c r="JL8" s="39" t="n">
        <v>225779.848481935</v>
      </c>
      <c r="JM8" s="39" t="n">
        <v>230996.515148602</v>
      </c>
      <c r="JN8" s="39" t="n">
        <v>235241.152648602</v>
      </c>
      <c r="JO8" s="39" t="n">
        <v>250625.632042541</v>
      </c>
      <c r="JP8" s="39" t="n">
        <v>246637.798709208</v>
      </c>
      <c r="JQ8" s="39" t="n">
        <v>255095.333219011</v>
      </c>
      <c r="JR8" s="39" t="n">
        <v>258140.146195202</v>
      </c>
      <c r="JS8" s="39" t="n">
        <v>294431.763278535</v>
      </c>
      <c r="JT8" s="39" t="n">
        <v>294999.766460353</v>
      </c>
      <c r="JU8" s="39" t="n">
        <v>294102.279793687</v>
      </c>
      <c r="JV8" s="39" t="n">
        <v>296461.056460353</v>
      </c>
      <c r="JW8" s="39" t="n">
        <v>293203.252293687</v>
      </c>
      <c r="JX8" s="39" t="n">
        <v>296999.918960353</v>
      </c>
      <c r="JY8" s="39" t="n">
        <v>296485.512843137</v>
      </c>
      <c r="JZ8" s="39" t="n">
        <v>296551.771593137</v>
      </c>
      <c r="KA8" s="39" t="n">
        <v>375875.247426471</v>
      </c>
      <c r="KB8" s="39" t="n">
        <v>372172.035759804</v>
      </c>
      <c r="KC8" s="39" t="n">
        <v>373780.712426471</v>
      </c>
      <c r="KD8" s="40" t="n">
        <v>377853.265759804</v>
      </c>
      <c r="KE8" s="39" t="n">
        <v>377431.850993801</v>
      </c>
      <c r="KF8" s="39" t="n">
        <v>419683.075623953</v>
      </c>
      <c r="KG8" s="39" t="n">
        <v>419288.702767168</v>
      </c>
      <c r="KH8" s="39" t="n">
        <v>421150.447984986</v>
      </c>
      <c r="KI8" s="39" t="n">
        <v>420756.752777901</v>
      </c>
      <c r="KJ8" s="39" t="n">
        <v>422619.18264085</v>
      </c>
      <c r="KK8" s="39" t="n">
        <v>464892.845697447</v>
      </c>
      <c r="KL8" s="39" t="n">
        <v>466771.115696775</v>
      </c>
    </row>
    <row r="9" customFormat="false" ht="15.75" hidden="false" customHeight="true" outlineLevel="0" collapsed="false">
      <c r="G9" s="41" t="n">
        <v>0</v>
      </c>
      <c r="H9" s="41" t="n">
        <v>0</v>
      </c>
      <c r="I9" s="41" t="n">
        <v>0</v>
      </c>
      <c r="J9" s="41" t="n">
        <v>0</v>
      </c>
      <c r="K9" s="41" t="n">
        <v>0</v>
      </c>
      <c r="L9" s="41" t="n">
        <v>0</v>
      </c>
      <c r="M9" s="41" t="n">
        <v>0</v>
      </c>
      <c r="N9" s="41" t="n">
        <v>0</v>
      </c>
      <c r="O9" s="41" t="n">
        <v>0</v>
      </c>
      <c r="P9" s="41" t="n">
        <v>0</v>
      </c>
      <c r="Q9" s="41" t="n">
        <v>0</v>
      </c>
      <c r="R9" s="41" t="n">
        <v>0</v>
      </c>
      <c r="S9" s="41" t="n">
        <v>0</v>
      </c>
      <c r="T9" s="41" t="n">
        <v>0</v>
      </c>
      <c r="U9" s="41" t="n">
        <v>0</v>
      </c>
      <c r="V9" s="41" t="n">
        <v>0</v>
      </c>
      <c r="W9" s="41" t="n">
        <v>0</v>
      </c>
      <c r="X9" s="41" t="n">
        <v>0</v>
      </c>
      <c r="Y9" s="41" t="n">
        <v>0</v>
      </c>
      <c r="Z9" s="41" t="n">
        <v>0</v>
      </c>
      <c r="AA9" s="41" t="n">
        <v>0</v>
      </c>
      <c r="AB9" s="41" t="n">
        <v>0</v>
      </c>
      <c r="AC9" s="41" t="n">
        <v>0</v>
      </c>
      <c r="AD9" s="41" t="n">
        <v>0</v>
      </c>
      <c r="AE9" s="41" t="n">
        <v>0</v>
      </c>
      <c r="AF9" s="41" t="n">
        <v>0</v>
      </c>
      <c r="AG9" s="41" t="n">
        <v>0</v>
      </c>
      <c r="AH9" s="41" t="n">
        <v>0</v>
      </c>
      <c r="AI9" s="41" t="n">
        <v>0</v>
      </c>
      <c r="AJ9" s="41" t="n">
        <v>0</v>
      </c>
      <c r="AK9" s="41" t="n">
        <v>0</v>
      </c>
      <c r="AL9" s="41" t="n">
        <v>0</v>
      </c>
      <c r="AM9" s="41" t="n">
        <v>0</v>
      </c>
      <c r="AN9" s="41" t="n">
        <v>0</v>
      </c>
      <c r="AO9" s="41" t="n">
        <v>0</v>
      </c>
      <c r="AP9" s="41" t="n">
        <v>0</v>
      </c>
      <c r="AQ9" s="41" t="n">
        <v>0</v>
      </c>
      <c r="AR9" s="41" t="n">
        <v>0</v>
      </c>
      <c r="AS9" s="41" t="n">
        <v>0</v>
      </c>
      <c r="AT9" s="41" t="n">
        <v>0</v>
      </c>
      <c r="AU9" s="41" t="n">
        <v>0</v>
      </c>
      <c r="AV9" s="41" t="n">
        <v>0</v>
      </c>
      <c r="AW9" s="41" t="n">
        <v>0</v>
      </c>
      <c r="AX9" s="41" t="n">
        <v>0</v>
      </c>
      <c r="AY9" s="41" t="n">
        <v>0</v>
      </c>
      <c r="AZ9" s="41" t="n">
        <v>0</v>
      </c>
      <c r="BA9" s="41" t="n">
        <v>0</v>
      </c>
      <c r="BB9" s="41" t="n">
        <v>0</v>
      </c>
      <c r="BC9" s="41" t="n">
        <v>0</v>
      </c>
      <c r="BD9" s="41" t="n">
        <v>0</v>
      </c>
      <c r="BE9" s="41" t="n">
        <v>0</v>
      </c>
      <c r="BF9" s="41" t="n">
        <v>0</v>
      </c>
      <c r="BG9" s="41" t="n">
        <v>0</v>
      </c>
      <c r="BH9" s="41" t="n">
        <v>0</v>
      </c>
      <c r="BI9" s="41" t="n">
        <v>0</v>
      </c>
      <c r="BJ9" s="41" t="n">
        <v>0</v>
      </c>
      <c r="BK9" s="41" t="n">
        <v>0</v>
      </c>
      <c r="BL9" s="41" t="n">
        <v>0</v>
      </c>
      <c r="BM9" s="41" t="n">
        <v>0</v>
      </c>
      <c r="BN9" s="41" t="n">
        <v>0</v>
      </c>
      <c r="BO9" s="41" t="n">
        <v>0</v>
      </c>
      <c r="BP9" s="41" t="n">
        <v>0</v>
      </c>
      <c r="BQ9" s="41" t="n">
        <v>0</v>
      </c>
      <c r="BR9" s="42" t="n">
        <v>0</v>
      </c>
      <c r="BS9" s="41" t="n">
        <v>0</v>
      </c>
      <c r="BT9" s="41" t="n">
        <v>0</v>
      </c>
      <c r="BU9" s="41" t="n">
        <v>0</v>
      </c>
      <c r="BV9" s="41" t="n">
        <v>0</v>
      </c>
      <c r="BW9" s="41" t="n">
        <v>0</v>
      </c>
      <c r="BX9" s="41" t="n">
        <v>0</v>
      </c>
      <c r="BY9" s="41" t="n">
        <v>0</v>
      </c>
      <c r="BZ9" s="41" t="n">
        <v>0</v>
      </c>
      <c r="CC9" s="41" t="n">
        <v>0</v>
      </c>
      <c r="CD9" s="41" t="n">
        <v>0</v>
      </c>
      <c r="CE9" s="41" t="n">
        <v>0</v>
      </c>
      <c r="CF9" s="41" t="n">
        <v>0</v>
      </c>
      <c r="CG9" s="41" t="n">
        <v>0</v>
      </c>
      <c r="CH9" s="41" t="n">
        <v>0</v>
      </c>
      <c r="CI9" s="41" t="n">
        <v>0</v>
      </c>
      <c r="CJ9" s="41" t="n">
        <v>0</v>
      </c>
      <c r="CK9" s="41" t="n">
        <v>0</v>
      </c>
      <c r="CL9" s="41" t="n">
        <v>0</v>
      </c>
      <c r="CM9" s="41" t="n">
        <v>0</v>
      </c>
      <c r="CN9" s="41" t="n">
        <v>0</v>
      </c>
      <c r="CO9" s="41" t="n">
        <v>0</v>
      </c>
      <c r="CP9" s="41" t="n">
        <v>0</v>
      </c>
      <c r="CQ9" s="41" t="n">
        <v>0</v>
      </c>
      <c r="CR9" s="41" t="n">
        <v>0</v>
      </c>
      <c r="CS9" s="41" t="n">
        <v>0</v>
      </c>
      <c r="CT9" s="41" t="n">
        <v>0</v>
      </c>
      <c r="CU9" s="41" t="n">
        <v>0</v>
      </c>
      <c r="CV9" s="41" t="n">
        <v>0</v>
      </c>
      <c r="CW9" s="41" t="n">
        <v>0</v>
      </c>
      <c r="CX9" s="41" t="n">
        <v>0</v>
      </c>
      <c r="CY9" s="41" t="n">
        <v>0</v>
      </c>
      <c r="CZ9" s="41" t="n">
        <v>0</v>
      </c>
      <c r="DA9" s="41" t="n">
        <v>0</v>
      </c>
      <c r="DB9" s="41" t="n">
        <v>0</v>
      </c>
      <c r="DC9" s="41" t="n">
        <v>0</v>
      </c>
      <c r="DD9" s="41" t="n">
        <v>0</v>
      </c>
      <c r="DE9" s="41" t="n">
        <v>0</v>
      </c>
      <c r="DF9" s="41" t="n">
        <v>0</v>
      </c>
      <c r="DG9" s="41" t="n">
        <v>0</v>
      </c>
      <c r="DH9" s="41" t="n">
        <v>0</v>
      </c>
      <c r="DI9" s="41" t="n">
        <v>0</v>
      </c>
      <c r="DJ9" s="41" t="n">
        <v>0</v>
      </c>
      <c r="DK9" s="41" t="n">
        <v>0</v>
      </c>
      <c r="DL9" s="41" t="n">
        <v>0</v>
      </c>
      <c r="DM9" s="41" t="n">
        <v>0</v>
      </c>
      <c r="DN9" s="41" t="n">
        <v>0</v>
      </c>
      <c r="DO9" s="41" t="n">
        <v>0</v>
      </c>
      <c r="DP9" s="41" t="n">
        <v>0</v>
      </c>
      <c r="DQ9" s="41" t="n">
        <v>0</v>
      </c>
      <c r="DR9" s="41" t="n">
        <v>0</v>
      </c>
      <c r="DS9" s="41" t="n">
        <v>0</v>
      </c>
      <c r="DT9" s="41" t="n">
        <v>0</v>
      </c>
      <c r="DU9" s="41" t="n">
        <v>0</v>
      </c>
      <c r="DV9" s="41" t="n">
        <v>0</v>
      </c>
      <c r="DW9" s="41" t="n">
        <v>0</v>
      </c>
      <c r="DX9" s="41" t="n">
        <v>0</v>
      </c>
      <c r="DY9" s="41" t="n">
        <v>0</v>
      </c>
      <c r="DZ9" s="41" t="n">
        <v>0</v>
      </c>
      <c r="EA9" s="41" t="n">
        <v>0</v>
      </c>
      <c r="EB9" s="41" t="n">
        <v>0</v>
      </c>
      <c r="EC9" s="41" t="n">
        <v>0</v>
      </c>
      <c r="ED9" s="41" t="n">
        <v>0</v>
      </c>
      <c r="EE9" s="41" t="n">
        <v>0</v>
      </c>
      <c r="EF9" s="41" t="n">
        <v>0</v>
      </c>
      <c r="EG9" s="41" t="n">
        <v>0</v>
      </c>
      <c r="EH9" s="41" t="n">
        <v>0</v>
      </c>
      <c r="EI9" s="41" t="n">
        <v>0</v>
      </c>
      <c r="EJ9" s="41" t="n">
        <v>0</v>
      </c>
      <c r="EK9" s="41" t="n">
        <v>0</v>
      </c>
      <c r="EL9" s="41" t="n">
        <v>0</v>
      </c>
      <c r="EM9" s="41" t="n">
        <v>0</v>
      </c>
      <c r="EN9" s="42" t="n">
        <v>0</v>
      </c>
      <c r="EO9" s="41" t="n">
        <v>0</v>
      </c>
      <c r="EP9" s="41" t="n">
        <v>0</v>
      </c>
      <c r="EQ9" s="41" t="n">
        <v>0</v>
      </c>
      <c r="ER9" s="41" t="n">
        <v>0</v>
      </c>
      <c r="ES9" s="41" t="n">
        <v>0</v>
      </c>
      <c r="ET9" s="41" t="n">
        <v>0</v>
      </c>
      <c r="EU9" s="41" t="n">
        <v>0</v>
      </c>
      <c r="EV9" s="41" t="n">
        <v>0</v>
      </c>
      <c r="EX9" s="41" t="n">
        <v>0</v>
      </c>
      <c r="EY9" s="41" t="n">
        <v>0</v>
      </c>
      <c r="EZ9" s="41" t="n">
        <v>0</v>
      </c>
      <c r="FA9" s="41" t="n">
        <v>0</v>
      </c>
      <c r="FB9" s="41" t="n">
        <v>0</v>
      </c>
      <c r="FC9" s="41" t="n">
        <v>0</v>
      </c>
      <c r="FD9" s="41" t="n">
        <v>0</v>
      </c>
      <c r="FE9" s="41" t="n">
        <v>0</v>
      </c>
      <c r="FF9" s="41" t="n">
        <v>0</v>
      </c>
      <c r="FG9" s="41" t="n">
        <v>0</v>
      </c>
      <c r="FH9" s="41" t="n">
        <v>0</v>
      </c>
      <c r="FI9" s="41" t="n">
        <v>0</v>
      </c>
      <c r="FJ9" s="41" t="n">
        <v>0</v>
      </c>
      <c r="FK9" s="41" t="n">
        <v>0</v>
      </c>
      <c r="FL9" s="41" t="n">
        <v>0</v>
      </c>
      <c r="FM9" s="41" t="n">
        <v>0</v>
      </c>
      <c r="FN9" s="41" t="n">
        <v>0</v>
      </c>
      <c r="FO9" s="41" t="n">
        <v>0</v>
      </c>
      <c r="FP9" s="41" t="n">
        <v>0</v>
      </c>
      <c r="FQ9" s="41" t="n">
        <v>0</v>
      </c>
      <c r="FR9" s="41" t="n">
        <v>0</v>
      </c>
      <c r="FS9" s="41" t="n">
        <v>0</v>
      </c>
      <c r="FT9" s="41" t="n">
        <v>0</v>
      </c>
      <c r="FU9" s="41" t="n">
        <v>0</v>
      </c>
      <c r="FV9" s="41" t="n">
        <v>0</v>
      </c>
      <c r="FW9" s="41" t="n">
        <v>0</v>
      </c>
      <c r="FX9" s="41" t="n">
        <v>0</v>
      </c>
      <c r="FY9" s="41" t="n">
        <v>0</v>
      </c>
      <c r="FZ9" s="41" t="n">
        <v>0</v>
      </c>
      <c r="GA9" s="41" t="n">
        <v>0</v>
      </c>
      <c r="GB9" s="41" t="n">
        <v>0</v>
      </c>
      <c r="GC9" s="41" t="n">
        <v>0</v>
      </c>
      <c r="GD9" s="41" t="n">
        <v>0</v>
      </c>
      <c r="GE9" s="41" t="n">
        <v>0</v>
      </c>
      <c r="GF9" s="41" t="n">
        <v>0</v>
      </c>
      <c r="GG9" s="41" t="n">
        <v>0</v>
      </c>
      <c r="GH9" s="41" t="n">
        <v>0</v>
      </c>
      <c r="GI9" s="41" t="n">
        <v>0</v>
      </c>
      <c r="GJ9" s="41" t="n">
        <v>0</v>
      </c>
      <c r="GK9" s="41" t="n">
        <v>0</v>
      </c>
      <c r="GL9" s="41" t="n">
        <v>0</v>
      </c>
      <c r="GM9" s="41" t="n">
        <v>0</v>
      </c>
      <c r="GN9" s="41" t="n">
        <v>0</v>
      </c>
      <c r="GO9" s="41" t="n">
        <v>0</v>
      </c>
      <c r="GP9" s="41" t="n">
        <v>0</v>
      </c>
      <c r="GQ9" s="41" t="n">
        <v>0</v>
      </c>
      <c r="GR9" s="41" t="n">
        <v>0</v>
      </c>
      <c r="GS9" s="41" t="n">
        <v>0</v>
      </c>
      <c r="GT9" s="41" t="n">
        <v>0</v>
      </c>
      <c r="GU9" s="41" t="n">
        <v>0</v>
      </c>
      <c r="GV9" s="41" t="n">
        <v>0</v>
      </c>
      <c r="GW9" s="41" t="n">
        <v>0</v>
      </c>
      <c r="GX9" s="41" t="n">
        <v>0</v>
      </c>
      <c r="GY9" s="41" t="n">
        <v>0</v>
      </c>
      <c r="GZ9" s="41" t="n">
        <v>0</v>
      </c>
      <c r="HA9" s="41" t="n">
        <v>0</v>
      </c>
      <c r="HB9" s="41" t="n">
        <v>0</v>
      </c>
      <c r="HC9" s="41" t="n">
        <v>0</v>
      </c>
      <c r="HD9" s="41" t="n">
        <v>0</v>
      </c>
      <c r="HE9" s="41" t="n">
        <v>0</v>
      </c>
      <c r="HF9" s="41" t="n">
        <v>0</v>
      </c>
      <c r="HG9" s="41" t="n">
        <v>0</v>
      </c>
      <c r="HH9" s="41" t="n">
        <v>0</v>
      </c>
      <c r="HI9" s="42" t="n">
        <v>0</v>
      </c>
      <c r="HJ9" s="41" t="n">
        <v>0</v>
      </c>
      <c r="HK9" s="41" t="n">
        <v>0</v>
      </c>
      <c r="HL9" s="41" t="n">
        <v>0</v>
      </c>
      <c r="HM9" s="41" t="n">
        <v>0</v>
      </c>
      <c r="HN9" s="41" t="n">
        <v>0</v>
      </c>
      <c r="HO9" s="41" t="n">
        <v>0</v>
      </c>
      <c r="HP9" s="41" t="n">
        <v>0</v>
      </c>
      <c r="HQ9" s="41" t="n">
        <v>0</v>
      </c>
      <c r="HS9" s="41" t="n">
        <v>0</v>
      </c>
      <c r="HT9" s="41" t="n">
        <v>0</v>
      </c>
      <c r="HU9" s="41" t="n">
        <v>0</v>
      </c>
      <c r="HV9" s="41" t="n">
        <v>0</v>
      </c>
      <c r="HW9" s="41" t="n">
        <v>0</v>
      </c>
      <c r="HX9" s="41" t="n">
        <v>0</v>
      </c>
      <c r="HY9" s="41" t="n">
        <v>0</v>
      </c>
      <c r="HZ9" s="41" t="n">
        <v>0</v>
      </c>
      <c r="IA9" s="41" t="n">
        <v>0</v>
      </c>
      <c r="IB9" s="41" t="n">
        <v>0</v>
      </c>
      <c r="IC9" s="41" t="n">
        <v>0</v>
      </c>
      <c r="ID9" s="41" t="n">
        <v>0</v>
      </c>
      <c r="IE9" s="41" t="n">
        <v>0</v>
      </c>
      <c r="IF9" s="41" t="n">
        <v>0</v>
      </c>
      <c r="IG9" s="41" t="n">
        <v>0</v>
      </c>
      <c r="IH9" s="41" t="n">
        <v>0</v>
      </c>
      <c r="II9" s="41" t="n">
        <v>0</v>
      </c>
      <c r="IJ9" s="41" t="n">
        <v>0</v>
      </c>
      <c r="IK9" s="41" t="n">
        <v>0</v>
      </c>
      <c r="IL9" s="41" t="n">
        <v>0</v>
      </c>
      <c r="IM9" s="41" t="n">
        <v>0</v>
      </c>
      <c r="IN9" s="41" t="n">
        <v>0</v>
      </c>
      <c r="IO9" s="41" t="n">
        <v>0</v>
      </c>
      <c r="IP9" s="41" t="n">
        <v>0</v>
      </c>
      <c r="IQ9" s="41" t="n">
        <v>0</v>
      </c>
      <c r="IR9" s="41" t="n">
        <v>0</v>
      </c>
      <c r="IS9" s="41" t="n">
        <v>0</v>
      </c>
      <c r="IT9" s="41" t="n">
        <v>0</v>
      </c>
      <c r="IU9" s="41" t="n">
        <v>0</v>
      </c>
      <c r="IV9" s="41" t="n">
        <v>0</v>
      </c>
      <c r="IW9" s="41" t="n">
        <v>0</v>
      </c>
      <c r="IX9" s="41" t="n">
        <v>0</v>
      </c>
      <c r="IY9" s="41" t="n">
        <v>0</v>
      </c>
      <c r="IZ9" s="41" t="n">
        <v>0</v>
      </c>
      <c r="JA9" s="41" t="n">
        <v>0</v>
      </c>
      <c r="JB9" s="41" t="n">
        <v>0</v>
      </c>
      <c r="JC9" s="41" t="n">
        <v>0</v>
      </c>
      <c r="JD9" s="41" t="n">
        <v>0</v>
      </c>
      <c r="JE9" s="41" t="n">
        <v>0</v>
      </c>
      <c r="JF9" s="41" t="n">
        <v>0</v>
      </c>
      <c r="JG9" s="41" t="n">
        <v>0</v>
      </c>
      <c r="JH9" s="41" t="n">
        <v>0</v>
      </c>
      <c r="JI9" s="41" t="n">
        <v>0</v>
      </c>
      <c r="JJ9" s="41" t="n">
        <v>0</v>
      </c>
      <c r="JK9" s="41" t="n">
        <v>0</v>
      </c>
      <c r="JL9" s="41" t="n">
        <v>0</v>
      </c>
      <c r="JM9" s="41" t="n">
        <v>0</v>
      </c>
      <c r="JN9" s="41" t="n">
        <v>0</v>
      </c>
      <c r="JO9" s="41" t="n">
        <v>0</v>
      </c>
      <c r="JP9" s="41" t="n">
        <v>0</v>
      </c>
      <c r="JQ9" s="41" t="n">
        <v>0</v>
      </c>
      <c r="JR9" s="41" t="n">
        <v>0</v>
      </c>
      <c r="JS9" s="41" t="n">
        <v>0</v>
      </c>
      <c r="JT9" s="41" t="n">
        <v>0</v>
      </c>
      <c r="JU9" s="41" t="n">
        <v>0</v>
      </c>
      <c r="JV9" s="41" t="n">
        <v>0</v>
      </c>
      <c r="JW9" s="41" t="n">
        <v>0</v>
      </c>
      <c r="JX9" s="41" t="n">
        <v>0</v>
      </c>
      <c r="JY9" s="41" t="n">
        <v>0</v>
      </c>
      <c r="JZ9" s="41" t="n">
        <v>0</v>
      </c>
      <c r="KA9" s="41" t="n">
        <v>0</v>
      </c>
      <c r="KB9" s="41" t="n">
        <v>0</v>
      </c>
      <c r="KC9" s="41" t="n">
        <v>0</v>
      </c>
      <c r="KD9" s="42" t="n">
        <v>0</v>
      </c>
      <c r="KE9" s="41" t="n">
        <v>0</v>
      </c>
      <c r="KF9" s="41" t="n">
        <v>0</v>
      </c>
      <c r="KG9" s="41" t="n">
        <v>0</v>
      </c>
      <c r="KH9" s="41" t="n">
        <v>0</v>
      </c>
      <c r="KI9" s="41" t="n">
        <v>0</v>
      </c>
      <c r="KJ9" s="41" t="n">
        <v>0</v>
      </c>
      <c r="KK9" s="41" t="n">
        <v>0</v>
      </c>
      <c r="KL9" s="41" t="n">
        <v>0</v>
      </c>
    </row>
    <row r="10" customFormat="false" ht="15.75" hidden="false" customHeight="true" outlineLevel="0" collapsed="false"/>
    <row r="11" customFormat="false" ht="15.75" hidden="false" customHeight="true" outlineLevel="0" collapsed="false">
      <c r="CB11" s="43" t="s">
        <v>161</v>
      </c>
    </row>
    <row r="12" customFormat="false" ht="16.5" hidden="false" customHeight="true" outlineLevel="0" collapsed="false">
      <c r="A12" s="35" t="s">
        <v>162</v>
      </c>
      <c r="B12" s="35" t="s">
        <v>163</v>
      </c>
      <c r="C12" s="35" t="s">
        <v>164</v>
      </c>
      <c r="D12" s="35" t="s">
        <v>165</v>
      </c>
      <c r="E12" s="35" t="s">
        <v>166</v>
      </c>
      <c r="G12" s="44" t="n">
        <v>0</v>
      </c>
      <c r="H12" s="44" t="n">
        <v>0</v>
      </c>
      <c r="I12" s="44" t="n">
        <v>0</v>
      </c>
      <c r="J12" s="44" t="n">
        <v>0</v>
      </c>
      <c r="K12" s="44" t="n">
        <v>0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>
        <v>0</v>
      </c>
      <c r="Q12" s="44" t="n">
        <v>0</v>
      </c>
      <c r="R12" s="44" t="n">
        <v>0</v>
      </c>
      <c r="S12" s="44" t="n">
        <v>0</v>
      </c>
      <c r="T12" s="44" t="n">
        <v>0</v>
      </c>
      <c r="U12" s="44" t="n">
        <v>0</v>
      </c>
      <c r="V12" s="44" t="n">
        <v>0</v>
      </c>
      <c r="W12" s="44" t="n">
        <v>0</v>
      </c>
      <c r="X12" s="44" t="n">
        <v>0</v>
      </c>
      <c r="Y12" s="44" t="n">
        <v>0</v>
      </c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44" t="n">
        <v>0</v>
      </c>
      <c r="AJ12" s="44" t="n">
        <v>0</v>
      </c>
      <c r="AK12" s="44" t="n">
        <v>0</v>
      </c>
      <c r="AL12" s="44" t="n">
        <v>0</v>
      </c>
      <c r="AM12" s="44" t="n">
        <v>0</v>
      </c>
      <c r="AN12" s="44" t="n">
        <v>0</v>
      </c>
      <c r="AO12" s="44" t="n">
        <v>0</v>
      </c>
      <c r="AP12" s="44" t="n">
        <v>0</v>
      </c>
      <c r="AQ12" s="44" t="n">
        <v>0</v>
      </c>
      <c r="AR12" s="44" t="n">
        <v>0</v>
      </c>
      <c r="AS12" s="44" t="n">
        <v>0</v>
      </c>
      <c r="AT12" s="44" t="n">
        <v>0</v>
      </c>
      <c r="AU12" s="44" t="n">
        <v>0</v>
      </c>
      <c r="AV12" s="44" t="n">
        <v>0</v>
      </c>
      <c r="AW12" s="44" t="n">
        <v>0</v>
      </c>
      <c r="AX12" s="44" t="n">
        <v>0</v>
      </c>
      <c r="AY12" s="44" t="n">
        <v>0</v>
      </c>
      <c r="AZ12" s="44" t="n">
        <v>0</v>
      </c>
      <c r="BA12" s="44" t="n">
        <v>0</v>
      </c>
      <c r="BB12" s="44" t="n">
        <v>0</v>
      </c>
      <c r="BC12" s="44" t="n">
        <v>0</v>
      </c>
      <c r="BD12" s="44" t="n">
        <v>0</v>
      </c>
      <c r="BE12" s="44" t="n">
        <v>7973.83333333333</v>
      </c>
      <c r="BF12" s="44" t="n">
        <v>7973.83333333333</v>
      </c>
      <c r="BG12" s="44" t="n">
        <v>7973.83333333333</v>
      </c>
      <c r="BH12" s="44" t="n">
        <v>7973.83333333333</v>
      </c>
      <c r="BI12" s="44" t="n">
        <v>7973.83333333333</v>
      </c>
      <c r="BJ12" s="44" t="n">
        <v>7973.83333333333</v>
      </c>
      <c r="BK12" s="44" t="n">
        <v>7973.83333333333</v>
      </c>
      <c r="BL12" s="44" t="n">
        <v>7973.83333333333</v>
      </c>
      <c r="BM12" s="44" t="n">
        <v>7973.83333333333</v>
      </c>
      <c r="BN12" s="44" t="n">
        <v>7973.83333333333</v>
      </c>
      <c r="BO12" s="44" t="n">
        <v>7973.83333333333</v>
      </c>
      <c r="BP12" s="44" t="n">
        <v>7973.83333333333</v>
      </c>
      <c r="BQ12" s="44" t="n">
        <v>8236.25</v>
      </c>
      <c r="BR12" s="45" t="n">
        <v>8236.25</v>
      </c>
      <c r="BS12" s="46" t="n">
        <v>8236.25</v>
      </c>
      <c r="BT12" s="46" t="n">
        <v>8236.25</v>
      </c>
      <c r="BU12" s="46" t="n">
        <v>8236.25</v>
      </c>
      <c r="BV12" s="46" t="n">
        <v>8236.25</v>
      </c>
      <c r="BW12" s="46" t="n">
        <v>8236.25</v>
      </c>
      <c r="BX12" s="46" t="n">
        <v>8236.25</v>
      </c>
      <c r="BY12" s="46" t="n">
        <v>8236.25</v>
      </c>
      <c r="BZ12" s="46" t="n">
        <v>8236.25</v>
      </c>
      <c r="EX12" s="47" t="n">
        <v>0</v>
      </c>
      <c r="EY12" s="47" t="n">
        <v>0</v>
      </c>
      <c r="EZ12" s="47" t="n">
        <v>0</v>
      </c>
      <c r="FA12" s="47" t="n">
        <v>0</v>
      </c>
      <c r="FB12" s="47" t="n">
        <v>0</v>
      </c>
      <c r="FC12" s="47" t="n">
        <v>0</v>
      </c>
      <c r="FD12" s="47" t="n">
        <v>0</v>
      </c>
      <c r="FE12" s="47" t="n">
        <v>0</v>
      </c>
      <c r="FF12" s="47" t="n">
        <v>0</v>
      </c>
      <c r="FG12" s="47" t="n">
        <v>0</v>
      </c>
      <c r="FH12" s="47" t="n">
        <v>0</v>
      </c>
      <c r="FI12" s="47" t="n">
        <v>0</v>
      </c>
      <c r="FJ12" s="47" t="n">
        <v>0</v>
      </c>
      <c r="FK12" s="47" t="n">
        <v>0</v>
      </c>
      <c r="FL12" s="47" t="n">
        <v>0</v>
      </c>
      <c r="FM12" s="47" t="n">
        <v>0</v>
      </c>
      <c r="FN12" s="47" t="n">
        <v>0</v>
      </c>
      <c r="FO12" s="47" t="n">
        <v>0</v>
      </c>
      <c r="FP12" s="47" t="n">
        <v>0</v>
      </c>
      <c r="FQ12" s="47" t="n">
        <v>0</v>
      </c>
      <c r="FR12" s="47" t="n">
        <v>0</v>
      </c>
      <c r="FS12" s="47" t="n">
        <v>0</v>
      </c>
      <c r="FT12" s="47" t="n">
        <v>0</v>
      </c>
      <c r="FU12" s="47" t="n">
        <v>0</v>
      </c>
      <c r="FV12" s="47" t="n">
        <v>0</v>
      </c>
      <c r="FW12" s="47" t="n">
        <v>0</v>
      </c>
      <c r="FX12" s="47" t="n">
        <v>0</v>
      </c>
      <c r="FY12" s="47" t="n">
        <v>0</v>
      </c>
      <c r="FZ12" s="47" t="n">
        <v>0</v>
      </c>
      <c r="GA12" s="47" t="n">
        <v>0</v>
      </c>
      <c r="GB12" s="47" t="n">
        <v>0</v>
      </c>
      <c r="GC12" s="47" t="n">
        <v>0</v>
      </c>
      <c r="GD12" s="47" t="n">
        <v>0</v>
      </c>
      <c r="GE12" s="47" t="n">
        <v>0</v>
      </c>
      <c r="GF12" s="47" t="n">
        <v>0</v>
      </c>
      <c r="GG12" s="47" t="n">
        <v>0</v>
      </c>
      <c r="GH12" s="47" t="n">
        <v>0</v>
      </c>
      <c r="GI12" s="47" t="n">
        <v>0</v>
      </c>
      <c r="GJ12" s="47" t="n">
        <v>0</v>
      </c>
      <c r="GK12" s="47" t="n">
        <v>0</v>
      </c>
      <c r="GL12" s="47" t="n">
        <v>0</v>
      </c>
      <c r="GM12" s="47" t="n">
        <v>0</v>
      </c>
      <c r="GN12" s="47" t="n">
        <v>0</v>
      </c>
      <c r="GO12" s="47" t="n">
        <v>0</v>
      </c>
      <c r="GP12" s="47" t="n">
        <v>0</v>
      </c>
      <c r="GQ12" s="47" t="n">
        <v>0</v>
      </c>
      <c r="GR12" s="47" t="n">
        <v>0</v>
      </c>
      <c r="GS12" s="47" t="n">
        <v>0</v>
      </c>
      <c r="GT12" s="47" t="n">
        <v>0</v>
      </c>
      <c r="GU12" s="47" t="n">
        <v>0</v>
      </c>
      <c r="GV12" s="47" t="n">
        <v>7973.83333333333</v>
      </c>
      <c r="GW12" s="47" t="n">
        <v>7973.83333333333</v>
      </c>
      <c r="GX12" s="47" t="n">
        <v>7973.83333333333</v>
      </c>
      <c r="GY12" s="47" t="n">
        <v>7973.83333333333</v>
      </c>
      <c r="GZ12" s="47" t="n">
        <v>7973.83333333333</v>
      </c>
      <c r="HA12" s="47" t="n">
        <v>7973.83333333333</v>
      </c>
      <c r="HB12" s="47" t="n">
        <v>7973.83333333333</v>
      </c>
      <c r="HC12" s="47" t="n">
        <v>7973.83333333333</v>
      </c>
      <c r="HD12" s="47" t="n">
        <v>7973.83333333333</v>
      </c>
      <c r="HE12" s="47" t="n">
        <v>7973.83333333333</v>
      </c>
      <c r="HF12" s="47" t="n">
        <v>7973.83333333333</v>
      </c>
      <c r="HG12" s="47" t="n">
        <v>7973.83333333333</v>
      </c>
      <c r="HH12" s="47" t="n">
        <v>8236.25</v>
      </c>
      <c r="HI12" s="48" t="n">
        <v>8236.25</v>
      </c>
      <c r="HJ12" s="47" t="n">
        <v>8236.25</v>
      </c>
      <c r="HK12" s="47" t="n">
        <v>8236.25</v>
      </c>
      <c r="HL12" s="47" t="n">
        <v>8236.25</v>
      </c>
      <c r="HM12" s="47" t="n">
        <v>8236.25</v>
      </c>
      <c r="HN12" s="47" t="n">
        <v>8236.25</v>
      </c>
      <c r="HO12" s="47" t="n">
        <v>8236.25</v>
      </c>
      <c r="HP12" s="47" t="n">
        <v>8236.25</v>
      </c>
      <c r="HQ12" s="47" t="n">
        <v>8236.25</v>
      </c>
      <c r="HS12" s="47" t="n">
        <v>0</v>
      </c>
      <c r="HT12" s="47" t="n">
        <v>0</v>
      </c>
      <c r="HU12" s="47" t="n">
        <v>0</v>
      </c>
      <c r="HV12" s="47" t="n">
        <v>0</v>
      </c>
      <c r="HW12" s="47" t="n">
        <v>0</v>
      </c>
      <c r="HX12" s="47" t="n">
        <v>0</v>
      </c>
      <c r="HY12" s="47" t="n">
        <v>0</v>
      </c>
      <c r="HZ12" s="47" t="n">
        <v>0</v>
      </c>
      <c r="IA12" s="47" t="n">
        <v>0</v>
      </c>
      <c r="IB12" s="47" t="n">
        <v>0</v>
      </c>
      <c r="IC12" s="47" t="n">
        <v>0</v>
      </c>
      <c r="ID12" s="47" t="n">
        <v>0</v>
      </c>
      <c r="IE12" s="47" t="n">
        <v>0</v>
      </c>
      <c r="IF12" s="47" t="n">
        <v>0</v>
      </c>
      <c r="IG12" s="47" t="n">
        <v>0</v>
      </c>
      <c r="IH12" s="47" t="n">
        <v>0</v>
      </c>
      <c r="II12" s="47" t="n">
        <v>0</v>
      </c>
      <c r="IJ12" s="47" t="n">
        <v>0</v>
      </c>
      <c r="IK12" s="47" t="n">
        <v>0</v>
      </c>
      <c r="IL12" s="47" t="n">
        <v>0</v>
      </c>
      <c r="IM12" s="47" t="n">
        <v>0</v>
      </c>
      <c r="IN12" s="47" t="n">
        <v>0</v>
      </c>
      <c r="IO12" s="47" t="n">
        <v>0</v>
      </c>
      <c r="IP12" s="47" t="n">
        <v>0</v>
      </c>
      <c r="IQ12" s="47" t="n">
        <v>0</v>
      </c>
      <c r="IR12" s="47" t="n">
        <v>0</v>
      </c>
      <c r="IS12" s="47" t="n">
        <v>0</v>
      </c>
      <c r="IT12" s="47" t="n">
        <v>0</v>
      </c>
      <c r="IU12" s="47" t="n">
        <v>0</v>
      </c>
      <c r="IV12" s="47" t="n">
        <v>0</v>
      </c>
      <c r="IW12" s="47" t="n">
        <v>0</v>
      </c>
      <c r="IX12" s="47" t="n">
        <v>0</v>
      </c>
      <c r="IY12" s="47" t="n">
        <v>0</v>
      </c>
      <c r="IZ12" s="47" t="n">
        <v>0</v>
      </c>
      <c r="JA12" s="47" t="n">
        <v>0</v>
      </c>
      <c r="JB12" s="47" t="n">
        <v>0</v>
      </c>
      <c r="JC12" s="47" t="n">
        <v>0</v>
      </c>
      <c r="JD12" s="47" t="n">
        <v>0</v>
      </c>
      <c r="JE12" s="47" t="n">
        <v>0</v>
      </c>
      <c r="JF12" s="47" t="n">
        <v>0</v>
      </c>
      <c r="JG12" s="47" t="n">
        <v>0</v>
      </c>
      <c r="JH12" s="47" t="n">
        <v>0</v>
      </c>
      <c r="JI12" s="47" t="n">
        <v>0</v>
      </c>
      <c r="JJ12" s="47" t="n">
        <v>0</v>
      </c>
      <c r="JK12" s="47" t="n">
        <v>0</v>
      </c>
      <c r="JL12" s="47" t="n">
        <v>0</v>
      </c>
      <c r="JM12" s="47" t="n">
        <v>0</v>
      </c>
      <c r="JN12" s="47" t="n">
        <v>0</v>
      </c>
      <c r="JO12" s="47" t="n">
        <v>0</v>
      </c>
      <c r="JP12" s="47" t="n">
        <v>0</v>
      </c>
      <c r="JQ12" s="47" t="n">
        <v>7973.83333333333</v>
      </c>
      <c r="JR12" s="47" t="n">
        <v>7973.83333333333</v>
      </c>
      <c r="JS12" s="47" t="n">
        <v>7973.83333333333</v>
      </c>
      <c r="JT12" s="47" t="n">
        <v>7973.83333333333</v>
      </c>
      <c r="JU12" s="47" t="n">
        <v>7973.83333333333</v>
      </c>
      <c r="JV12" s="47" t="n">
        <v>7973.83333333333</v>
      </c>
      <c r="JW12" s="47" t="n">
        <v>7973.83333333333</v>
      </c>
      <c r="JX12" s="47" t="n">
        <v>7973.83333333333</v>
      </c>
      <c r="JY12" s="47" t="n">
        <v>7973.83333333333</v>
      </c>
      <c r="JZ12" s="47" t="n">
        <v>7973.83333333333</v>
      </c>
      <c r="KA12" s="47" t="n">
        <v>7973.83333333333</v>
      </c>
      <c r="KB12" s="47" t="n">
        <v>7973.83333333333</v>
      </c>
      <c r="KC12" s="47" t="n">
        <v>8236.25</v>
      </c>
      <c r="KD12" s="48" t="n">
        <v>8236.25</v>
      </c>
      <c r="KE12" s="47" t="n">
        <v>8236.25</v>
      </c>
      <c r="KF12" s="47" t="n">
        <v>8236.25</v>
      </c>
      <c r="KG12" s="47" t="n">
        <v>8236.25</v>
      </c>
      <c r="KH12" s="47" t="n">
        <v>8236.25</v>
      </c>
      <c r="KI12" s="47" t="n">
        <v>8236.25</v>
      </c>
      <c r="KJ12" s="47" t="n">
        <v>8236.25</v>
      </c>
      <c r="KK12" s="47" t="n">
        <v>8236.25</v>
      </c>
      <c r="KL12" s="47" t="n">
        <v>8236.25</v>
      </c>
    </row>
    <row r="13" customFormat="false" ht="15.75" hidden="false" customHeight="true" outlineLevel="0" collapsed="false">
      <c r="A13" s="35" t="s">
        <v>167</v>
      </c>
      <c r="B13" s="35" t="s">
        <v>168</v>
      </c>
      <c r="C13" s="35" t="s">
        <v>164</v>
      </c>
      <c r="D13" s="35" t="s">
        <v>165</v>
      </c>
      <c r="E13" s="35" t="s">
        <v>169</v>
      </c>
      <c r="S13" s="44" t="n">
        <v>0</v>
      </c>
      <c r="T13" s="44" t="n">
        <v>0</v>
      </c>
      <c r="U13" s="44" t="n">
        <v>0</v>
      </c>
      <c r="V13" s="44" t="n">
        <v>0</v>
      </c>
      <c r="W13" s="44" t="n">
        <v>0</v>
      </c>
      <c r="X13" s="44" t="n">
        <v>0</v>
      </c>
      <c r="Y13" s="44" t="n">
        <v>0</v>
      </c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44" t="n">
        <v>0</v>
      </c>
      <c r="AJ13" s="44" t="n">
        <v>0</v>
      </c>
      <c r="AK13" s="44" t="n">
        <v>0</v>
      </c>
      <c r="AL13" s="44" t="n">
        <v>0</v>
      </c>
      <c r="AM13" s="44" t="n">
        <v>0</v>
      </c>
      <c r="AN13" s="44" t="n">
        <v>0</v>
      </c>
      <c r="AO13" s="44" t="n">
        <v>0</v>
      </c>
      <c r="AP13" s="44" t="n">
        <v>0</v>
      </c>
      <c r="AQ13" s="44" t="n">
        <v>0</v>
      </c>
      <c r="AR13" s="44" t="n">
        <v>0</v>
      </c>
      <c r="AS13" s="44" t="n">
        <v>0</v>
      </c>
      <c r="AT13" s="44" t="n">
        <v>0</v>
      </c>
      <c r="AU13" s="44" t="n">
        <v>0</v>
      </c>
      <c r="AV13" s="44" t="n">
        <v>0</v>
      </c>
      <c r="AW13" s="44" t="n">
        <v>5909.58333333333</v>
      </c>
      <c r="AX13" s="44" t="n">
        <v>5909.58333333333</v>
      </c>
      <c r="AY13" s="44" t="n">
        <v>5909.58333333333</v>
      </c>
      <c r="AZ13" s="44" t="n">
        <v>5909.58333333333</v>
      </c>
      <c r="BA13" s="44" t="n">
        <v>5909.58333333333</v>
      </c>
      <c r="BB13" s="44" t="n">
        <v>5909.58333333333</v>
      </c>
      <c r="BC13" s="44" t="n">
        <v>5909.58333333333</v>
      </c>
      <c r="BD13" s="44" t="n">
        <v>5909.58333333333</v>
      </c>
      <c r="BE13" s="44" t="n">
        <v>5909.58333333333</v>
      </c>
      <c r="BF13" s="44" t="n">
        <v>5909.58333333333</v>
      </c>
      <c r="BG13" s="44" t="n">
        <v>5909.58333333333</v>
      </c>
      <c r="BH13" s="44" t="n">
        <v>5909.58333333333</v>
      </c>
      <c r="BI13" s="44" t="n">
        <v>0</v>
      </c>
      <c r="BJ13" s="44" t="n">
        <v>0</v>
      </c>
      <c r="BK13" s="44" t="n">
        <v>0</v>
      </c>
      <c r="BL13" s="44" t="n">
        <v>0</v>
      </c>
      <c r="BM13" s="44" t="n">
        <v>0</v>
      </c>
      <c r="BN13" s="44" t="n">
        <v>0</v>
      </c>
      <c r="BO13" s="44" t="n">
        <v>0</v>
      </c>
      <c r="BP13" s="44" t="n">
        <v>0</v>
      </c>
      <c r="BQ13" s="44" t="n">
        <v>0</v>
      </c>
      <c r="BR13" s="45" t="n">
        <v>0</v>
      </c>
      <c r="BS13" s="46" t="n">
        <v>0</v>
      </c>
      <c r="BT13" s="46" t="n">
        <v>0</v>
      </c>
      <c r="BU13" s="46" t="n">
        <v>0</v>
      </c>
      <c r="BV13" s="46" t="n">
        <v>0</v>
      </c>
      <c r="BW13" s="46" t="n">
        <v>0</v>
      </c>
      <c r="BX13" s="46" t="n">
        <v>0</v>
      </c>
      <c r="BY13" s="46" t="n">
        <v>0</v>
      </c>
      <c r="BZ13" s="46" t="n">
        <v>0</v>
      </c>
      <c r="CB13" s="49" t="s">
        <v>170</v>
      </c>
      <c r="CC13" s="50" t="n">
        <v>0</v>
      </c>
      <c r="CD13" s="50" t="n">
        <v>0</v>
      </c>
      <c r="CE13" s="50" t="n">
        <v>0</v>
      </c>
      <c r="CF13" s="50" t="n">
        <v>0</v>
      </c>
      <c r="CG13" s="50" t="n">
        <v>0</v>
      </c>
      <c r="CH13" s="50" t="n">
        <v>0</v>
      </c>
      <c r="CI13" s="50" t="n">
        <v>0</v>
      </c>
      <c r="CJ13" s="50" t="n">
        <v>0</v>
      </c>
      <c r="CK13" s="50" t="n">
        <v>0</v>
      </c>
      <c r="CL13" s="50" t="n">
        <v>0</v>
      </c>
      <c r="CM13" s="50" t="n">
        <v>0</v>
      </c>
      <c r="CN13" s="50" t="n">
        <v>0</v>
      </c>
      <c r="CO13" s="50" t="n">
        <v>0</v>
      </c>
      <c r="CP13" s="50" t="n">
        <v>0</v>
      </c>
      <c r="CQ13" s="50" t="n">
        <v>0</v>
      </c>
      <c r="CR13" s="50" t="n">
        <v>0</v>
      </c>
      <c r="CS13" s="50" t="n">
        <v>0</v>
      </c>
      <c r="CT13" s="50" t="n">
        <v>0</v>
      </c>
      <c r="CU13" s="50" t="n">
        <v>0</v>
      </c>
      <c r="CV13" s="50" t="n">
        <v>0</v>
      </c>
      <c r="CW13" s="50" t="n">
        <v>0</v>
      </c>
      <c r="CX13" s="50" t="n">
        <v>0</v>
      </c>
      <c r="CY13" s="50" t="n">
        <v>0</v>
      </c>
      <c r="CZ13" s="50" t="n">
        <v>0</v>
      </c>
      <c r="DA13" s="50" t="n">
        <v>0</v>
      </c>
      <c r="DB13" s="50" t="n">
        <v>0</v>
      </c>
      <c r="DC13" s="50" t="n">
        <v>0</v>
      </c>
      <c r="DD13" s="50" t="n">
        <v>0</v>
      </c>
      <c r="DE13" s="50" t="n">
        <v>0</v>
      </c>
      <c r="DF13" s="50" t="n">
        <v>0</v>
      </c>
      <c r="DG13" s="50" t="n">
        <v>0</v>
      </c>
      <c r="DH13" s="50" t="n">
        <v>0</v>
      </c>
      <c r="DI13" s="50" t="n">
        <v>0</v>
      </c>
      <c r="DJ13" s="50" t="n">
        <v>0</v>
      </c>
      <c r="DK13" s="50" t="n">
        <v>0</v>
      </c>
      <c r="DL13" s="50" t="n">
        <v>0</v>
      </c>
      <c r="DM13" s="50" t="n">
        <v>0</v>
      </c>
      <c r="DN13" s="50" t="n">
        <v>0</v>
      </c>
      <c r="DO13" s="50" t="n">
        <v>0</v>
      </c>
      <c r="DP13" s="50" t="n">
        <v>0</v>
      </c>
      <c r="DQ13" s="50" t="n">
        <v>0</v>
      </c>
      <c r="DR13" s="50" t="n">
        <v>0</v>
      </c>
      <c r="DS13" s="50" t="n">
        <v>-5909.58333333333</v>
      </c>
      <c r="DT13" s="50" t="n">
        <v>-5909.58333333333</v>
      </c>
      <c r="DU13" s="50" t="n">
        <v>-5909.58333333333</v>
      </c>
      <c r="DV13" s="50" t="n">
        <v>-5909.58333333333</v>
      </c>
      <c r="DW13" s="50" t="n">
        <v>-5909.58333333333</v>
      </c>
      <c r="DX13" s="50" t="n">
        <v>-5909.58333333333</v>
      </c>
      <c r="DY13" s="50" t="n">
        <v>-5909.58333333333</v>
      </c>
      <c r="DZ13" s="50" t="n">
        <v>-5909.58333333333</v>
      </c>
      <c r="EA13" s="50" t="n">
        <v>-5909.58333333333</v>
      </c>
      <c r="EB13" s="50" t="n">
        <v>-5909.58333333333</v>
      </c>
      <c r="EC13" s="50" t="n">
        <v>-5909.58333333333</v>
      </c>
      <c r="ED13" s="50" t="n">
        <v>-5909.58333333333</v>
      </c>
      <c r="EE13" s="50" t="n">
        <v>0</v>
      </c>
      <c r="EF13" s="50" t="n">
        <v>0</v>
      </c>
      <c r="EG13" s="50" t="n">
        <v>0</v>
      </c>
      <c r="EH13" s="50" t="n">
        <v>0</v>
      </c>
      <c r="EI13" s="50" t="n">
        <v>0</v>
      </c>
      <c r="EJ13" s="50" t="n">
        <v>0</v>
      </c>
      <c r="EK13" s="50" t="n">
        <v>0</v>
      </c>
      <c r="EL13" s="50" t="n">
        <v>0</v>
      </c>
      <c r="EM13" s="50" t="n">
        <v>0</v>
      </c>
      <c r="EN13" s="51" t="n">
        <v>0</v>
      </c>
      <c r="EO13" s="50" t="n">
        <v>0</v>
      </c>
      <c r="EP13" s="50" t="n">
        <v>0</v>
      </c>
      <c r="EQ13" s="50" t="n">
        <v>0</v>
      </c>
      <c r="ER13" s="50" t="n">
        <v>0</v>
      </c>
      <c r="ES13" s="50" t="n">
        <v>0</v>
      </c>
      <c r="ET13" s="50" t="n">
        <v>0</v>
      </c>
      <c r="EU13" s="50" t="n">
        <v>0</v>
      </c>
      <c r="EV13" s="50" t="n">
        <v>0</v>
      </c>
      <c r="EX13" s="47" t="n">
        <v>0</v>
      </c>
      <c r="EY13" s="47" t="n">
        <v>0</v>
      </c>
      <c r="EZ13" s="47" t="n">
        <v>0</v>
      </c>
      <c r="FA13" s="47" t="n">
        <v>0</v>
      </c>
      <c r="FB13" s="47" t="n">
        <v>0</v>
      </c>
      <c r="FC13" s="47" t="n">
        <v>0</v>
      </c>
      <c r="FD13" s="47" t="n">
        <v>0</v>
      </c>
      <c r="FE13" s="47" t="n">
        <v>0</v>
      </c>
      <c r="FF13" s="47" t="n">
        <v>0</v>
      </c>
      <c r="FG13" s="47" t="n">
        <v>0</v>
      </c>
      <c r="FH13" s="47" t="n">
        <v>0</v>
      </c>
      <c r="FI13" s="47" t="n">
        <v>0</v>
      </c>
      <c r="FJ13" s="47" t="n">
        <v>0</v>
      </c>
      <c r="FK13" s="47" t="n">
        <v>0</v>
      </c>
      <c r="FL13" s="47" t="n">
        <v>0</v>
      </c>
      <c r="FM13" s="47" t="n">
        <v>0</v>
      </c>
      <c r="FN13" s="47" t="n">
        <v>0</v>
      </c>
      <c r="FO13" s="47" t="n">
        <v>0</v>
      </c>
      <c r="FP13" s="47" t="n">
        <v>0</v>
      </c>
      <c r="FQ13" s="47" t="n">
        <v>0</v>
      </c>
      <c r="FR13" s="47" t="n">
        <v>0</v>
      </c>
      <c r="FS13" s="47" t="n">
        <v>0</v>
      </c>
      <c r="FT13" s="47" t="n">
        <v>0</v>
      </c>
      <c r="FU13" s="47" t="n">
        <v>0</v>
      </c>
      <c r="FV13" s="47" t="n">
        <v>0</v>
      </c>
      <c r="FW13" s="47" t="n">
        <v>0</v>
      </c>
      <c r="FX13" s="47" t="n">
        <v>0</v>
      </c>
      <c r="FY13" s="47" t="n">
        <v>0</v>
      </c>
      <c r="FZ13" s="47" t="n">
        <v>0</v>
      </c>
      <c r="GA13" s="47" t="n">
        <v>0</v>
      </c>
      <c r="GB13" s="47" t="n">
        <v>0</v>
      </c>
      <c r="GC13" s="47" t="n">
        <v>0</v>
      </c>
      <c r="GD13" s="47" t="n">
        <v>0</v>
      </c>
      <c r="GE13" s="47" t="n">
        <v>0</v>
      </c>
      <c r="GF13" s="47" t="n">
        <v>0</v>
      </c>
      <c r="GG13" s="47" t="n">
        <v>0</v>
      </c>
      <c r="GH13" s="47" t="n">
        <v>0</v>
      </c>
      <c r="GI13" s="47" t="n">
        <v>0</v>
      </c>
      <c r="GJ13" s="47" t="n">
        <v>0</v>
      </c>
      <c r="GK13" s="47" t="n">
        <v>0</v>
      </c>
      <c r="GL13" s="47" t="n">
        <v>0</v>
      </c>
      <c r="GM13" s="47" t="n">
        <v>0</v>
      </c>
      <c r="GN13" s="47" t="n">
        <v>0</v>
      </c>
      <c r="GO13" s="47" t="n">
        <v>0</v>
      </c>
      <c r="GP13" s="47" t="n">
        <v>0</v>
      </c>
      <c r="GQ13" s="47" t="n">
        <v>0</v>
      </c>
      <c r="GR13" s="47" t="n">
        <v>0</v>
      </c>
      <c r="GS13" s="47" t="n">
        <v>0</v>
      </c>
      <c r="GT13" s="47" t="n">
        <v>0</v>
      </c>
      <c r="GU13" s="47" t="n">
        <v>0</v>
      </c>
      <c r="GV13" s="47" t="n">
        <v>0</v>
      </c>
      <c r="GW13" s="47" t="n">
        <v>0</v>
      </c>
      <c r="GX13" s="47" t="n">
        <v>0</v>
      </c>
      <c r="GY13" s="47" t="n">
        <v>0</v>
      </c>
      <c r="GZ13" s="47" t="n">
        <v>0</v>
      </c>
      <c r="HA13" s="47" t="n">
        <v>0</v>
      </c>
      <c r="HB13" s="47" t="n">
        <v>0</v>
      </c>
      <c r="HC13" s="47" t="n">
        <v>0</v>
      </c>
      <c r="HD13" s="47" t="n">
        <v>0</v>
      </c>
      <c r="HE13" s="47" t="n">
        <v>0</v>
      </c>
      <c r="HF13" s="47" t="n">
        <v>0</v>
      </c>
      <c r="HG13" s="47" t="n">
        <v>0</v>
      </c>
      <c r="HH13" s="47" t="n">
        <v>0</v>
      </c>
      <c r="HI13" s="48" t="n">
        <v>0</v>
      </c>
      <c r="HJ13" s="47" t="n">
        <v>0</v>
      </c>
      <c r="HK13" s="47" t="n">
        <v>0</v>
      </c>
      <c r="HL13" s="47" t="n">
        <v>0</v>
      </c>
      <c r="HM13" s="47" t="n">
        <v>0</v>
      </c>
      <c r="HN13" s="47" t="n">
        <v>0</v>
      </c>
      <c r="HO13" s="47" t="n">
        <v>0</v>
      </c>
      <c r="HP13" s="47" t="n">
        <v>0</v>
      </c>
      <c r="HQ13" s="47" t="n">
        <v>0</v>
      </c>
      <c r="HS13" s="47" t="n">
        <v>0</v>
      </c>
      <c r="HT13" s="47" t="n">
        <v>0</v>
      </c>
      <c r="HU13" s="47" t="n">
        <v>0</v>
      </c>
      <c r="HV13" s="47" t="n">
        <v>0</v>
      </c>
      <c r="HW13" s="47" t="n">
        <v>0</v>
      </c>
      <c r="HX13" s="47" t="n">
        <v>0</v>
      </c>
      <c r="HY13" s="47" t="n">
        <v>0</v>
      </c>
      <c r="HZ13" s="47" t="n">
        <v>0</v>
      </c>
      <c r="IA13" s="47" t="n">
        <v>0</v>
      </c>
      <c r="IB13" s="47" t="n">
        <v>0</v>
      </c>
      <c r="IC13" s="47" t="n">
        <v>0</v>
      </c>
      <c r="ID13" s="47" t="n">
        <v>0</v>
      </c>
      <c r="IE13" s="47" t="n">
        <v>0</v>
      </c>
      <c r="IF13" s="47" t="n">
        <v>0</v>
      </c>
      <c r="IG13" s="47" t="n">
        <v>0</v>
      </c>
      <c r="IH13" s="47" t="n">
        <v>0</v>
      </c>
      <c r="II13" s="47" t="n">
        <v>0</v>
      </c>
      <c r="IJ13" s="47" t="n">
        <v>0</v>
      </c>
      <c r="IK13" s="47" t="n">
        <v>0</v>
      </c>
      <c r="IL13" s="47" t="n">
        <v>0</v>
      </c>
      <c r="IM13" s="47" t="n">
        <v>0</v>
      </c>
      <c r="IN13" s="47" t="n">
        <v>0</v>
      </c>
      <c r="IO13" s="47" t="n">
        <v>0</v>
      </c>
      <c r="IP13" s="47" t="n">
        <v>0</v>
      </c>
      <c r="IQ13" s="47" t="n">
        <v>0</v>
      </c>
      <c r="IR13" s="47" t="n">
        <v>0</v>
      </c>
      <c r="IS13" s="47" t="n">
        <v>0</v>
      </c>
      <c r="IT13" s="47" t="n">
        <v>0</v>
      </c>
      <c r="IU13" s="47" t="n">
        <v>0</v>
      </c>
      <c r="IV13" s="47" t="n">
        <v>0</v>
      </c>
      <c r="IW13" s="47" t="n">
        <v>0</v>
      </c>
      <c r="IX13" s="47" t="n">
        <v>0</v>
      </c>
      <c r="IY13" s="47" t="n">
        <v>0</v>
      </c>
      <c r="IZ13" s="47" t="n">
        <v>0</v>
      </c>
      <c r="JA13" s="47" t="n">
        <v>0</v>
      </c>
      <c r="JB13" s="47" t="n">
        <v>0</v>
      </c>
      <c r="JC13" s="47" t="n">
        <v>0</v>
      </c>
      <c r="JD13" s="47" t="n">
        <v>0</v>
      </c>
      <c r="JE13" s="47" t="n">
        <v>0</v>
      </c>
      <c r="JF13" s="47" t="n">
        <v>0</v>
      </c>
      <c r="JG13" s="47" t="n">
        <v>0</v>
      </c>
      <c r="JH13" s="47" t="n">
        <v>0</v>
      </c>
      <c r="JI13" s="47" t="n">
        <v>0</v>
      </c>
      <c r="JJ13" s="47" t="n">
        <v>0</v>
      </c>
      <c r="JK13" s="47" t="n">
        <v>0</v>
      </c>
      <c r="JL13" s="47" t="n">
        <v>0</v>
      </c>
      <c r="JM13" s="47" t="n">
        <v>0</v>
      </c>
      <c r="JN13" s="47" t="n">
        <v>0</v>
      </c>
      <c r="JO13" s="47" t="n">
        <v>0</v>
      </c>
      <c r="JP13" s="47" t="n">
        <v>0</v>
      </c>
      <c r="JQ13" s="47" t="n">
        <v>0</v>
      </c>
      <c r="JR13" s="47" t="n">
        <v>0</v>
      </c>
      <c r="JS13" s="47" t="n">
        <v>0</v>
      </c>
      <c r="JT13" s="47" t="n">
        <v>0</v>
      </c>
      <c r="JU13" s="47" t="n">
        <v>0</v>
      </c>
      <c r="JV13" s="47" t="n">
        <v>0</v>
      </c>
      <c r="JW13" s="47" t="n">
        <v>0</v>
      </c>
      <c r="JX13" s="47" t="n">
        <v>0</v>
      </c>
      <c r="JY13" s="47" t="n">
        <v>0</v>
      </c>
      <c r="JZ13" s="47" t="n">
        <v>0</v>
      </c>
      <c r="KA13" s="47" t="n">
        <v>0</v>
      </c>
      <c r="KB13" s="47" t="n">
        <v>0</v>
      </c>
      <c r="KC13" s="47" t="n">
        <v>0</v>
      </c>
      <c r="KD13" s="48" t="n">
        <v>0</v>
      </c>
      <c r="KE13" s="47" t="n">
        <v>0</v>
      </c>
      <c r="KF13" s="47" t="n">
        <v>0</v>
      </c>
      <c r="KG13" s="47" t="n">
        <v>0</v>
      </c>
      <c r="KH13" s="47" t="n">
        <v>0</v>
      </c>
      <c r="KI13" s="47" t="n">
        <v>0</v>
      </c>
      <c r="KJ13" s="47" t="n">
        <v>0</v>
      </c>
      <c r="KK13" s="47" t="n">
        <v>0</v>
      </c>
      <c r="KL13" s="47" t="n">
        <v>0</v>
      </c>
    </row>
    <row r="14" customFormat="false" ht="15.75" hidden="false" customHeight="true" outlineLevel="0" collapsed="false">
      <c r="A14" s="35" t="s">
        <v>171</v>
      </c>
      <c r="B14" s="35" t="s">
        <v>172</v>
      </c>
      <c r="C14" s="35" t="s">
        <v>164</v>
      </c>
      <c r="D14" s="35" t="s">
        <v>173</v>
      </c>
      <c r="E14" s="35" t="s">
        <v>174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9364.58333333333</v>
      </c>
      <c r="W14" s="44" t="n">
        <v>9364.58333333333</v>
      </c>
      <c r="X14" s="44" t="n">
        <v>9364.58333333333</v>
      </c>
      <c r="Y14" s="44" t="n">
        <v>9364.58333333333</v>
      </c>
      <c r="Z14" s="44" t="n">
        <v>9364.58333333333</v>
      </c>
      <c r="AA14" s="44" t="n">
        <v>9364.58333333333</v>
      </c>
      <c r="AB14" s="44" t="n">
        <v>10979.0833333333</v>
      </c>
      <c r="AC14" s="44" t="n">
        <v>10979.0833333333</v>
      </c>
      <c r="AD14" s="44" t="n">
        <v>10979.0833333333</v>
      </c>
      <c r="AE14" s="44" t="n">
        <v>10979.0833333333</v>
      </c>
      <c r="AF14" s="44" t="n">
        <v>10979.0833333333</v>
      </c>
      <c r="AG14" s="44" t="n">
        <v>10979.0833333333</v>
      </c>
      <c r="AH14" s="44" t="n">
        <v>10333.3333333333</v>
      </c>
      <c r="AI14" s="44" t="n">
        <v>10333.3333333333</v>
      </c>
      <c r="AJ14" s="44" t="n">
        <v>10333.3333333333</v>
      </c>
      <c r="AK14" s="44" t="n">
        <v>10333.3333333333</v>
      </c>
      <c r="AL14" s="44" t="n">
        <v>10333.3333333333</v>
      </c>
      <c r="AM14" s="44" t="n">
        <v>10333.3333333333</v>
      </c>
      <c r="AN14" s="44" t="n">
        <v>10333.3333333333</v>
      </c>
      <c r="AO14" s="44" t="n">
        <v>10333.3333333333</v>
      </c>
      <c r="AP14" s="44" t="n">
        <v>10333.3333333333</v>
      </c>
      <c r="AQ14" s="44" t="n">
        <v>10333.3333333333</v>
      </c>
      <c r="AR14" s="44" t="n">
        <v>10333.3333333333</v>
      </c>
      <c r="AS14" s="44" t="n">
        <v>10333.3333333333</v>
      </c>
      <c r="AT14" s="44" t="n">
        <v>10333.3333333333</v>
      </c>
      <c r="AU14" s="44" t="n">
        <v>10333.3333333333</v>
      </c>
      <c r="AV14" s="44" t="n">
        <v>10333.3333333333</v>
      </c>
      <c r="AW14" s="44" t="n">
        <v>10333.3333333333</v>
      </c>
      <c r="AX14" s="44" t="n">
        <v>11431.2570833333</v>
      </c>
      <c r="AY14" s="44" t="n">
        <v>11431.2570833333</v>
      </c>
      <c r="AZ14" s="44" t="n">
        <v>11560.4254166667</v>
      </c>
      <c r="BA14" s="44" t="n">
        <v>11560.4254166667</v>
      </c>
      <c r="BB14" s="44" t="n">
        <v>12593.7054166667</v>
      </c>
      <c r="BC14" s="44" t="n">
        <v>12593.7054166667</v>
      </c>
      <c r="BD14" s="44" t="n">
        <v>12593.7054166667</v>
      </c>
      <c r="BE14" s="44" t="n">
        <v>12593.7054166667</v>
      </c>
      <c r="BF14" s="44" t="n">
        <v>12693.75</v>
      </c>
      <c r="BG14" s="44" t="n">
        <v>13727.03</v>
      </c>
      <c r="BH14" s="44" t="n">
        <v>13727.03</v>
      </c>
      <c r="BI14" s="44" t="n">
        <v>13727.03</v>
      </c>
      <c r="BJ14" s="44" t="n">
        <v>13727.03</v>
      </c>
      <c r="BK14" s="44" t="n">
        <v>13727.03</v>
      </c>
      <c r="BL14" s="44" t="n">
        <v>13727.03</v>
      </c>
      <c r="BM14" s="44" t="n">
        <v>13727.03</v>
      </c>
      <c r="BN14" s="44" t="n">
        <v>13727.03</v>
      </c>
      <c r="BO14" s="44" t="n">
        <v>13727.03</v>
      </c>
      <c r="BP14" s="44" t="n">
        <v>13727.03</v>
      </c>
      <c r="BQ14" s="44" t="n">
        <v>13727.03</v>
      </c>
      <c r="BR14" s="45" t="n">
        <v>13239.5833333333</v>
      </c>
      <c r="BS14" s="46" t="n">
        <v>13239.5833333333</v>
      </c>
      <c r="BT14" s="46" t="n">
        <v>13239.5833333333</v>
      </c>
      <c r="BU14" s="46" t="n">
        <v>13239.5833333333</v>
      </c>
      <c r="BV14" s="46" t="n">
        <v>13239.5833333333</v>
      </c>
      <c r="BW14" s="46" t="n">
        <v>13239.5833333333</v>
      </c>
      <c r="BX14" s="46" t="n">
        <v>13239.5833333333</v>
      </c>
      <c r="BY14" s="46" t="n">
        <v>13239.5833333333</v>
      </c>
      <c r="BZ14" s="46" t="n">
        <v>13239.5833333333</v>
      </c>
      <c r="EX14" s="47" t="n">
        <v>0</v>
      </c>
      <c r="EY14" s="47" t="n">
        <v>0</v>
      </c>
      <c r="EZ14" s="47" t="n">
        <v>0</v>
      </c>
      <c r="FA14" s="47" t="n">
        <v>0</v>
      </c>
      <c r="FB14" s="47" t="n">
        <v>0</v>
      </c>
      <c r="FC14" s="47" t="n">
        <v>0</v>
      </c>
      <c r="FD14" s="47" t="n">
        <v>0</v>
      </c>
      <c r="FE14" s="47" t="n">
        <v>0</v>
      </c>
      <c r="FF14" s="47" t="n">
        <v>0</v>
      </c>
      <c r="FG14" s="47" t="n">
        <v>0</v>
      </c>
      <c r="FH14" s="47" t="n">
        <v>0</v>
      </c>
      <c r="FI14" s="47" t="n">
        <v>0</v>
      </c>
      <c r="FJ14" s="47" t="n">
        <v>0</v>
      </c>
      <c r="FK14" s="47" t="n">
        <v>0</v>
      </c>
      <c r="FL14" s="47" t="n">
        <v>0</v>
      </c>
      <c r="FM14" s="47" t="n">
        <v>9364.58333333333</v>
      </c>
      <c r="FN14" s="47" t="n">
        <v>9364.58333333333</v>
      </c>
      <c r="FO14" s="47" t="n">
        <v>9364.58333333333</v>
      </c>
      <c r="FP14" s="47" t="n">
        <v>9364.58333333333</v>
      </c>
      <c r="FQ14" s="47" t="n">
        <v>9364.58333333333</v>
      </c>
      <c r="FR14" s="47" t="n">
        <v>9364.58333333333</v>
      </c>
      <c r="FS14" s="47" t="n">
        <v>10979.0833333333</v>
      </c>
      <c r="FT14" s="47" t="n">
        <v>10979.0833333333</v>
      </c>
      <c r="FU14" s="47" t="n">
        <v>10979.0833333333</v>
      </c>
      <c r="FV14" s="47" t="n">
        <v>10979.0833333333</v>
      </c>
      <c r="FW14" s="47" t="n">
        <v>10979.0833333333</v>
      </c>
      <c r="FX14" s="47" t="n">
        <v>10979.0833333333</v>
      </c>
      <c r="FY14" s="47" t="n">
        <v>10333.3333333333</v>
      </c>
      <c r="FZ14" s="47" t="n">
        <v>10333.3333333333</v>
      </c>
      <c r="GA14" s="47" t="n">
        <v>10333.3333333333</v>
      </c>
      <c r="GB14" s="47" t="n">
        <v>10333.3333333333</v>
      </c>
      <c r="GC14" s="47" t="n">
        <v>10333.3333333333</v>
      </c>
      <c r="GD14" s="47" t="n">
        <v>10333.3333333333</v>
      </c>
      <c r="GE14" s="47" t="n">
        <v>10333.3333333333</v>
      </c>
      <c r="GF14" s="47" t="n">
        <v>10333.3333333333</v>
      </c>
      <c r="GG14" s="47" t="n">
        <v>10333.3333333333</v>
      </c>
      <c r="GH14" s="47" t="n">
        <v>10333.3333333333</v>
      </c>
      <c r="GI14" s="47" t="n">
        <v>10333.3333333333</v>
      </c>
      <c r="GJ14" s="47" t="n">
        <v>10333.3333333333</v>
      </c>
      <c r="GK14" s="47" t="n">
        <v>10333.3333333333</v>
      </c>
      <c r="GL14" s="47" t="n">
        <v>10333.3333333333</v>
      </c>
      <c r="GM14" s="47" t="n">
        <v>10333.3333333333</v>
      </c>
      <c r="GN14" s="47" t="n">
        <v>10333.3333333333</v>
      </c>
      <c r="GO14" s="47" t="n">
        <v>11431.2570833333</v>
      </c>
      <c r="GP14" s="47" t="n">
        <v>11431.2570833333</v>
      </c>
      <c r="GQ14" s="47" t="n">
        <v>11560.4254166667</v>
      </c>
      <c r="GR14" s="47" t="n">
        <v>11560.4254166667</v>
      </c>
      <c r="GS14" s="47" t="n">
        <v>12593.7054166667</v>
      </c>
      <c r="GT14" s="47" t="n">
        <v>12593.7054166667</v>
      </c>
      <c r="GU14" s="47" t="n">
        <v>12593.7054166667</v>
      </c>
      <c r="GV14" s="47" t="n">
        <v>12593.7054166667</v>
      </c>
      <c r="GW14" s="47" t="n">
        <v>12693.75</v>
      </c>
      <c r="GX14" s="47" t="n">
        <v>13727.03</v>
      </c>
      <c r="GY14" s="47" t="n">
        <v>13727.03</v>
      </c>
      <c r="GZ14" s="47" t="n">
        <v>13727.03</v>
      </c>
      <c r="HA14" s="47" t="n">
        <v>13727.03</v>
      </c>
      <c r="HB14" s="47" t="n">
        <v>13727.03</v>
      </c>
      <c r="HC14" s="47" t="n">
        <v>13727.03</v>
      </c>
      <c r="HD14" s="47" t="n">
        <v>13727.03</v>
      </c>
      <c r="HE14" s="47" t="n">
        <v>13727.03</v>
      </c>
      <c r="HF14" s="47" t="n">
        <v>13727.03</v>
      </c>
      <c r="HG14" s="47" t="n">
        <v>13727.03</v>
      </c>
      <c r="HH14" s="47" t="n">
        <v>13727.03</v>
      </c>
      <c r="HI14" s="48" t="n">
        <v>13239.5833333333</v>
      </c>
      <c r="HJ14" s="47" t="n">
        <v>13239.5833333333</v>
      </c>
      <c r="HK14" s="47" t="n">
        <v>13239.5833333333</v>
      </c>
      <c r="HL14" s="47" t="n">
        <v>13239.5833333333</v>
      </c>
      <c r="HM14" s="47" t="n">
        <v>13239.5833333333</v>
      </c>
      <c r="HN14" s="47" t="n">
        <v>13239.5833333333</v>
      </c>
      <c r="HO14" s="47" t="n">
        <v>13239.5833333333</v>
      </c>
      <c r="HP14" s="47" t="n">
        <v>13239.5833333333</v>
      </c>
      <c r="HQ14" s="47" t="n">
        <v>13239.5833333333</v>
      </c>
      <c r="HS14" s="47" t="n">
        <v>0</v>
      </c>
      <c r="HT14" s="47" t="n">
        <v>0</v>
      </c>
      <c r="HU14" s="47" t="n">
        <v>0</v>
      </c>
      <c r="HV14" s="47" t="n">
        <v>0</v>
      </c>
      <c r="HW14" s="47" t="n">
        <v>0</v>
      </c>
      <c r="HX14" s="47" t="n">
        <v>0</v>
      </c>
      <c r="HY14" s="47" t="n">
        <v>0</v>
      </c>
      <c r="HZ14" s="47" t="n">
        <v>0</v>
      </c>
      <c r="IA14" s="47" t="n">
        <v>0</v>
      </c>
      <c r="IB14" s="47" t="n">
        <v>0</v>
      </c>
      <c r="IC14" s="47" t="n">
        <v>0</v>
      </c>
      <c r="ID14" s="47" t="n">
        <v>0</v>
      </c>
      <c r="IE14" s="47" t="n">
        <v>0</v>
      </c>
      <c r="IF14" s="47" t="n">
        <v>0</v>
      </c>
      <c r="IG14" s="47" t="n">
        <v>0</v>
      </c>
      <c r="IH14" s="47" t="n">
        <v>9364.58333333333</v>
      </c>
      <c r="II14" s="47" t="n">
        <v>9364.58333333333</v>
      </c>
      <c r="IJ14" s="47" t="n">
        <v>9364.58333333333</v>
      </c>
      <c r="IK14" s="47" t="n">
        <v>9364.58333333333</v>
      </c>
      <c r="IL14" s="47" t="n">
        <v>9364.58333333333</v>
      </c>
      <c r="IM14" s="47" t="n">
        <v>9364.58333333333</v>
      </c>
      <c r="IN14" s="47" t="n">
        <v>10979.0833333333</v>
      </c>
      <c r="IO14" s="47" t="n">
        <v>10979.0833333333</v>
      </c>
      <c r="IP14" s="47" t="n">
        <v>10979.0833333333</v>
      </c>
      <c r="IQ14" s="47" t="n">
        <v>10979.0833333333</v>
      </c>
      <c r="IR14" s="47" t="n">
        <v>10979.0833333333</v>
      </c>
      <c r="IS14" s="47" t="n">
        <v>10979.0833333333</v>
      </c>
      <c r="IT14" s="47" t="n">
        <v>10333.3333333333</v>
      </c>
      <c r="IU14" s="47" t="n">
        <v>10333.3333333333</v>
      </c>
      <c r="IV14" s="47" t="n">
        <v>10333.3333333333</v>
      </c>
      <c r="IW14" s="47" t="n">
        <v>10333.3333333333</v>
      </c>
      <c r="IX14" s="47" t="n">
        <v>10333.3333333333</v>
      </c>
      <c r="IY14" s="47" t="n">
        <v>10333.3333333333</v>
      </c>
      <c r="IZ14" s="47" t="n">
        <v>10333.3333333333</v>
      </c>
      <c r="JA14" s="47" t="n">
        <v>10333.3333333333</v>
      </c>
      <c r="JB14" s="47" t="n">
        <v>10333.3333333333</v>
      </c>
      <c r="JC14" s="47" t="n">
        <v>10333.3333333333</v>
      </c>
      <c r="JD14" s="47" t="n">
        <v>10333.3333333333</v>
      </c>
      <c r="JE14" s="47" t="n">
        <v>10333.3333333333</v>
      </c>
      <c r="JF14" s="47" t="n">
        <v>10333.3333333333</v>
      </c>
      <c r="JG14" s="47" t="n">
        <v>10333.3333333333</v>
      </c>
      <c r="JH14" s="47" t="n">
        <v>10333.3333333333</v>
      </c>
      <c r="JI14" s="47" t="n">
        <v>10333.3333333333</v>
      </c>
      <c r="JJ14" s="47" t="n">
        <v>11431.2570833333</v>
      </c>
      <c r="JK14" s="47" t="n">
        <v>11431.2570833333</v>
      </c>
      <c r="JL14" s="47" t="n">
        <v>11560.4254166667</v>
      </c>
      <c r="JM14" s="47" t="n">
        <v>11560.4254166667</v>
      </c>
      <c r="JN14" s="47" t="n">
        <v>12593.7054166667</v>
      </c>
      <c r="JO14" s="47" t="n">
        <v>12593.7054166667</v>
      </c>
      <c r="JP14" s="47" t="n">
        <v>12593.7054166667</v>
      </c>
      <c r="JQ14" s="47" t="n">
        <v>12593.7054166667</v>
      </c>
      <c r="JR14" s="47" t="n">
        <v>12693.75</v>
      </c>
      <c r="JS14" s="47" t="n">
        <v>13727.03</v>
      </c>
      <c r="JT14" s="47" t="n">
        <v>13727.03</v>
      </c>
      <c r="JU14" s="47" t="n">
        <v>13727.03</v>
      </c>
      <c r="JV14" s="47" t="n">
        <v>13727.03</v>
      </c>
      <c r="JW14" s="47" t="n">
        <v>13727.03</v>
      </c>
      <c r="JX14" s="47" t="n">
        <v>13727.03</v>
      </c>
      <c r="JY14" s="47" t="n">
        <v>13727.03</v>
      </c>
      <c r="JZ14" s="47" t="n">
        <v>13727.03</v>
      </c>
      <c r="KA14" s="47" t="n">
        <v>13727.03</v>
      </c>
      <c r="KB14" s="47" t="n">
        <v>13727.03</v>
      </c>
      <c r="KC14" s="47" t="n">
        <v>13727.03</v>
      </c>
      <c r="KD14" s="48" t="n">
        <v>13239.5833333333</v>
      </c>
      <c r="KE14" s="47" t="n">
        <v>13239.5833333333</v>
      </c>
      <c r="KF14" s="47" t="n">
        <v>13239.5833333333</v>
      </c>
      <c r="KG14" s="47" t="n">
        <v>13239.5833333333</v>
      </c>
      <c r="KH14" s="47" t="n">
        <v>13239.5833333333</v>
      </c>
      <c r="KI14" s="47" t="n">
        <v>13239.5833333333</v>
      </c>
      <c r="KJ14" s="47" t="n">
        <v>13239.5833333333</v>
      </c>
      <c r="KK14" s="47" t="n">
        <v>13239.5833333333</v>
      </c>
      <c r="KL14" s="47" t="n">
        <v>13239.5833333333</v>
      </c>
    </row>
    <row r="15" customFormat="false" ht="15.75" hidden="false" customHeight="true" outlineLevel="0" collapsed="false">
      <c r="A15" s="35" t="s">
        <v>175</v>
      </c>
      <c r="B15" s="35" t="s">
        <v>176</v>
      </c>
      <c r="C15" s="35" t="s">
        <v>164</v>
      </c>
      <c r="D15" s="35" t="s">
        <v>165</v>
      </c>
      <c r="E15" s="35" t="s">
        <v>177</v>
      </c>
      <c r="G15" s="44" t="n">
        <v>0</v>
      </c>
      <c r="H15" s="44" t="n">
        <v>0</v>
      </c>
      <c r="I15" s="44" t="n">
        <v>0</v>
      </c>
      <c r="J15" s="44" t="n">
        <v>0</v>
      </c>
      <c r="K15" s="44" t="n">
        <v>0</v>
      </c>
      <c r="L15" s="44" t="n">
        <v>0</v>
      </c>
      <c r="M15" s="44" t="n">
        <v>0</v>
      </c>
      <c r="N15" s="44" t="n">
        <v>0</v>
      </c>
      <c r="O15" s="44" t="n">
        <v>2608.69565217391</v>
      </c>
      <c r="P15" s="44" t="n">
        <v>2608.69565217391</v>
      </c>
      <c r="Q15" s="44" t="n">
        <v>2658.69565217391</v>
      </c>
      <c r="R15" s="44" t="n">
        <v>2658.69565217391</v>
      </c>
      <c r="S15" s="44" t="n">
        <v>2658.69565217391</v>
      </c>
      <c r="T15" s="44" t="n">
        <v>2658.69565217391</v>
      </c>
      <c r="U15" s="44" t="n">
        <v>2658.69565217391</v>
      </c>
      <c r="V15" s="44" t="n">
        <v>2658.69565217391</v>
      </c>
      <c r="W15" s="44" t="n">
        <v>2658.69565217391</v>
      </c>
      <c r="X15" s="44" t="n">
        <v>2658.69565217391</v>
      </c>
      <c r="Y15" s="44" t="n">
        <v>2658.69565217391</v>
      </c>
      <c r="Z15" s="44" t="n">
        <v>2658.69565217391</v>
      </c>
      <c r="AA15" s="44" t="n">
        <v>2550</v>
      </c>
      <c r="AB15" s="44" t="n">
        <v>2550</v>
      </c>
      <c r="AC15" s="44" t="n">
        <v>2550</v>
      </c>
      <c r="AD15" s="44" t="n">
        <v>2550</v>
      </c>
      <c r="AE15" s="44" t="n">
        <v>2550</v>
      </c>
      <c r="AF15" s="44" t="n">
        <v>2550</v>
      </c>
      <c r="AG15" s="44" t="n">
        <v>2550</v>
      </c>
      <c r="AH15" s="44" t="n">
        <v>2550</v>
      </c>
      <c r="AI15" s="44" t="n">
        <v>2550</v>
      </c>
      <c r="AJ15" s="44" t="n">
        <v>2550</v>
      </c>
      <c r="AK15" s="44" t="n">
        <v>2550</v>
      </c>
      <c r="AL15" s="44" t="n">
        <v>2550</v>
      </c>
      <c r="AM15" s="44" t="n">
        <v>2987</v>
      </c>
      <c r="AN15" s="44" t="n">
        <v>2987</v>
      </c>
      <c r="AO15" s="44" t="n">
        <v>2987</v>
      </c>
      <c r="AP15" s="44" t="n">
        <v>2987</v>
      </c>
      <c r="AQ15" s="44" t="n">
        <v>2987</v>
      </c>
      <c r="AR15" s="44" t="n">
        <v>2987</v>
      </c>
      <c r="AS15" s="44" t="n">
        <v>2987</v>
      </c>
      <c r="AT15" s="44" t="n">
        <v>2987</v>
      </c>
      <c r="AU15" s="44" t="n">
        <v>2987</v>
      </c>
      <c r="AV15" s="44" t="n">
        <v>2987</v>
      </c>
      <c r="AW15" s="44" t="n">
        <v>2987</v>
      </c>
      <c r="AX15" s="44" t="n">
        <v>2987</v>
      </c>
      <c r="AY15" s="44" t="n">
        <v>3926.875</v>
      </c>
      <c r="AZ15" s="44" t="n">
        <v>3926.875</v>
      </c>
      <c r="BA15" s="44" t="n">
        <v>3926.875</v>
      </c>
      <c r="BB15" s="44" t="n">
        <v>3926.875</v>
      </c>
      <c r="BC15" s="44" t="n">
        <v>3926.875</v>
      </c>
      <c r="BD15" s="44" t="n">
        <v>3926.875</v>
      </c>
      <c r="BE15" s="44" t="n">
        <v>3926.875</v>
      </c>
      <c r="BF15" s="44" t="n">
        <v>4132.875</v>
      </c>
      <c r="BG15" s="44" t="n">
        <v>4132.875</v>
      </c>
      <c r="BH15" s="44" t="n">
        <v>4132.875</v>
      </c>
      <c r="BI15" s="44" t="n">
        <v>5729.375</v>
      </c>
      <c r="BJ15" s="44" t="n">
        <v>5729.375</v>
      </c>
      <c r="BK15" s="44" t="n">
        <v>5613.5</v>
      </c>
      <c r="BL15" s="44" t="n">
        <v>5613.5</v>
      </c>
      <c r="BM15" s="44" t="n">
        <v>5613.5</v>
      </c>
      <c r="BN15" s="44" t="n">
        <v>5613.5</v>
      </c>
      <c r="BO15" s="44" t="n">
        <v>5613.5</v>
      </c>
      <c r="BP15" s="44" t="n">
        <v>5613.5</v>
      </c>
      <c r="BQ15" s="44" t="n">
        <v>5613.5</v>
      </c>
      <c r="BR15" s="45" t="n">
        <v>5613.5</v>
      </c>
      <c r="BS15" s="46" t="n">
        <v>5613.5</v>
      </c>
      <c r="BT15" s="46" t="n">
        <v>5613.5</v>
      </c>
      <c r="BU15" s="46" t="n">
        <v>5613.5</v>
      </c>
      <c r="BV15" s="46" t="n">
        <v>5613.5</v>
      </c>
      <c r="BW15" s="46" t="n">
        <v>5613.5</v>
      </c>
      <c r="BX15" s="46" t="n">
        <v>5613.5</v>
      </c>
      <c r="BY15" s="46" t="n">
        <v>5613.5</v>
      </c>
      <c r="BZ15" s="46" t="n">
        <v>5613.5</v>
      </c>
      <c r="EX15" s="47" t="n">
        <v>0</v>
      </c>
      <c r="EY15" s="47" t="n">
        <v>0</v>
      </c>
      <c r="EZ15" s="47" t="n">
        <v>0</v>
      </c>
      <c r="FA15" s="47" t="n">
        <v>0</v>
      </c>
      <c r="FB15" s="47" t="n">
        <v>0</v>
      </c>
      <c r="FC15" s="47" t="n">
        <v>0</v>
      </c>
      <c r="FD15" s="47" t="n">
        <v>0</v>
      </c>
      <c r="FE15" s="47" t="n">
        <v>0</v>
      </c>
      <c r="FF15" s="47" t="n">
        <v>2608.69565217391</v>
      </c>
      <c r="FG15" s="47" t="n">
        <v>2608.69565217391</v>
      </c>
      <c r="FH15" s="47" t="n">
        <v>2658.69565217391</v>
      </c>
      <c r="FI15" s="47" t="n">
        <v>2658.69565217391</v>
      </c>
      <c r="FJ15" s="47" t="n">
        <v>2658.69565217391</v>
      </c>
      <c r="FK15" s="47" t="n">
        <v>2658.69565217391</v>
      </c>
      <c r="FL15" s="47" t="n">
        <v>2658.69565217391</v>
      </c>
      <c r="FM15" s="47" t="n">
        <v>2658.69565217391</v>
      </c>
      <c r="FN15" s="47" t="n">
        <v>2658.69565217391</v>
      </c>
      <c r="FO15" s="47" t="n">
        <v>2658.69565217391</v>
      </c>
      <c r="FP15" s="47" t="n">
        <v>2658.69565217391</v>
      </c>
      <c r="FQ15" s="47" t="n">
        <v>2658.69565217391</v>
      </c>
      <c r="FR15" s="47" t="n">
        <v>2550</v>
      </c>
      <c r="FS15" s="47" t="n">
        <v>2550</v>
      </c>
      <c r="FT15" s="47" t="n">
        <v>2550</v>
      </c>
      <c r="FU15" s="47" t="n">
        <v>2550</v>
      </c>
      <c r="FV15" s="47" t="n">
        <v>2550</v>
      </c>
      <c r="FW15" s="47" t="n">
        <v>2550</v>
      </c>
      <c r="FX15" s="47" t="n">
        <v>2550</v>
      </c>
      <c r="FY15" s="47" t="n">
        <v>2550</v>
      </c>
      <c r="FZ15" s="47" t="n">
        <v>2550</v>
      </c>
      <c r="GA15" s="47" t="n">
        <v>2550</v>
      </c>
      <c r="GB15" s="47" t="n">
        <v>2550</v>
      </c>
      <c r="GC15" s="47" t="n">
        <v>2550</v>
      </c>
      <c r="GD15" s="47" t="n">
        <v>2987</v>
      </c>
      <c r="GE15" s="47" t="n">
        <v>2987</v>
      </c>
      <c r="GF15" s="47" t="n">
        <v>2987</v>
      </c>
      <c r="GG15" s="47" t="n">
        <v>2987</v>
      </c>
      <c r="GH15" s="47" t="n">
        <v>2987</v>
      </c>
      <c r="GI15" s="47" t="n">
        <v>2987</v>
      </c>
      <c r="GJ15" s="47" t="n">
        <v>2987</v>
      </c>
      <c r="GK15" s="47" t="n">
        <v>2987</v>
      </c>
      <c r="GL15" s="47" t="n">
        <v>2987</v>
      </c>
      <c r="GM15" s="47" t="n">
        <v>2987</v>
      </c>
      <c r="GN15" s="47" t="n">
        <v>2987</v>
      </c>
      <c r="GO15" s="47" t="n">
        <v>2987</v>
      </c>
      <c r="GP15" s="47" t="n">
        <v>3926.875</v>
      </c>
      <c r="GQ15" s="47" t="n">
        <v>3926.875</v>
      </c>
      <c r="GR15" s="47" t="n">
        <v>3926.875</v>
      </c>
      <c r="GS15" s="47" t="n">
        <v>3926.875</v>
      </c>
      <c r="GT15" s="47" t="n">
        <v>3926.875</v>
      </c>
      <c r="GU15" s="47" t="n">
        <v>3926.875</v>
      </c>
      <c r="GV15" s="47" t="n">
        <v>3926.875</v>
      </c>
      <c r="GW15" s="47" t="n">
        <v>4132.875</v>
      </c>
      <c r="GX15" s="47" t="n">
        <v>4132.875</v>
      </c>
      <c r="GY15" s="47" t="n">
        <v>4132.875</v>
      </c>
      <c r="GZ15" s="47" t="n">
        <v>5729.375</v>
      </c>
      <c r="HA15" s="47" t="n">
        <v>5729.375</v>
      </c>
      <c r="HB15" s="47" t="n">
        <v>5613.5</v>
      </c>
      <c r="HC15" s="47" t="n">
        <v>5613.5</v>
      </c>
      <c r="HD15" s="47" t="n">
        <v>5613.5</v>
      </c>
      <c r="HE15" s="47" t="n">
        <v>5613.5</v>
      </c>
      <c r="HF15" s="47" t="n">
        <v>5613.5</v>
      </c>
      <c r="HG15" s="47" t="n">
        <v>5613.5</v>
      </c>
      <c r="HH15" s="47" t="n">
        <v>5613.5</v>
      </c>
      <c r="HI15" s="48" t="n">
        <v>5613.5</v>
      </c>
      <c r="HJ15" s="47" t="n">
        <v>5613.5</v>
      </c>
      <c r="HK15" s="47" t="n">
        <v>5613.5</v>
      </c>
      <c r="HL15" s="47" t="n">
        <v>5613.5</v>
      </c>
      <c r="HM15" s="47" t="n">
        <v>5613.5</v>
      </c>
      <c r="HN15" s="47" t="n">
        <v>5613.5</v>
      </c>
      <c r="HO15" s="47" t="n">
        <v>5613.5</v>
      </c>
      <c r="HP15" s="47" t="n">
        <v>5613.5</v>
      </c>
      <c r="HQ15" s="47" t="n">
        <v>5613.5</v>
      </c>
      <c r="HS15" s="47" t="n">
        <v>0</v>
      </c>
      <c r="HT15" s="47" t="n">
        <v>0</v>
      </c>
      <c r="HU15" s="47" t="n">
        <v>0</v>
      </c>
      <c r="HV15" s="47" t="n">
        <v>0</v>
      </c>
      <c r="HW15" s="47" t="n">
        <v>0</v>
      </c>
      <c r="HX15" s="47" t="n">
        <v>0</v>
      </c>
      <c r="HY15" s="47" t="n">
        <v>0</v>
      </c>
      <c r="HZ15" s="47" t="n">
        <v>0</v>
      </c>
      <c r="IA15" s="47" t="n">
        <v>2608.69565217391</v>
      </c>
      <c r="IB15" s="47" t="n">
        <v>2608.69565217391</v>
      </c>
      <c r="IC15" s="47" t="n">
        <v>2658.69565217391</v>
      </c>
      <c r="ID15" s="47" t="n">
        <v>2658.69565217391</v>
      </c>
      <c r="IE15" s="47" t="n">
        <v>2658.69565217391</v>
      </c>
      <c r="IF15" s="47" t="n">
        <v>2658.69565217391</v>
      </c>
      <c r="IG15" s="47" t="n">
        <v>2658.69565217391</v>
      </c>
      <c r="IH15" s="47" t="n">
        <v>2658.69565217391</v>
      </c>
      <c r="II15" s="47" t="n">
        <v>2658.69565217391</v>
      </c>
      <c r="IJ15" s="47" t="n">
        <v>2658.69565217391</v>
      </c>
      <c r="IK15" s="47" t="n">
        <v>2658.69565217391</v>
      </c>
      <c r="IL15" s="47" t="n">
        <v>2658.69565217391</v>
      </c>
      <c r="IM15" s="47" t="n">
        <v>2550</v>
      </c>
      <c r="IN15" s="47" t="n">
        <v>2550</v>
      </c>
      <c r="IO15" s="47" t="n">
        <v>2550</v>
      </c>
      <c r="IP15" s="47" t="n">
        <v>2550</v>
      </c>
      <c r="IQ15" s="47" t="n">
        <v>2550</v>
      </c>
      <c r="IR15" s="47" t="n">
        <v>2550</v>
      </c>
      <c r="IS15" s="47" t="n">
        <v>2550</v>
      </c>
      <c r="IT15" s="47" t="n">
        <v>2550</v>
      </c>
      <c r="IU15" s="47" t="n">
        <v>2550</v>
      </c>
      <c r="IV15" s="47" t="n">
        <v>2550</v>
      </c>
      <c r="IW15" s="47" t="n">
        <v>2550</v>
      </c>
      <c r="IX15" s="47" t="n">
        <v>2550</v>
      </c>
      <c r="IY15" s="47" t="n">
        <v>2987</v>
      </c>
      <c r="IZ15" s="47" t="n">
        <v>2987</v>
      </c>
      <c r="JA15" s="47" t="n">
        <v>2987</v>
      </c>
      <c r="JB15" s="47" t="n">
        <v>2987</v>
      </c>
      <c r="JC15" s="47" t="n">
        <v>2987</v>
      </c>
      <c r="JD15" s="47" t="n">
        <v>2987</v>
      </c>
      <c r="JE15" s="47" t="n">
        <v>2987</v>
      </c>
      <c r="JF15" s="47" t="n">
        <v>2987</v>
      </c>
      <c r="JG15" s="47" t="n">
        <v>2987</v>
      </c>
      <c r="JH15" s="47" t="n">
        <v>2987</v>
      </c>
      <c r="JI15" s="47" t="n">
        <v>2987</v>
      </c>
      <c r="JJ15" s="47" t="n">
        <v>2987</v>
      </c>
      <c r="JK15" s="47" t="n">
        <v>3926.875</v>
      </c>
      <c r="JL15" s="47" t="n">
        <v>3926.875</v>
      </c>
      <c r="JM15" s="47" t="n">
        <v>3926.875</v>
      </c>
      <c r="JN15" s="47" t="n">
        <v>3926.875</v>
      </c>
      <c r="JO15" s="47" t="n">
        <v>3926.875</v>
      </c>
      <c r="JP15" s="47" t="n">
        <v>3926.875</v>
      </c>
      <c r="JQ15" s="47" t="n">
        <v>3926.875</v>
      </c>
      <c r="JR15" s="47" t="n">
        <v>4132.875</v>
      </c>
      <c r="JS15" s="47" t="n">
        <v>4132.875</v>
      </c>
      <c r="JT15" s="47" t="n">
        <v>4132.875</v>
      </c>
      <c r="JU15" s="47" t="n">
        <v>5729.375</v>
      </c>
      <c r="JV15" s="47" t="n">
        <v>5729.375</v>
      </c>
      <c r="JW15" s="47" t="n">
        <v>5613.5</v>
      </c>
      <c r="JX15" s="47" t="n">
        <v>5613.5</v>
      </c>
      <c r="JY15" s="47" t="n">
        <v>5613.5</v>
      </c>
      <c r="JZ15" s="47" t="n">
        <v>5613.5</v>
      </c>
      <c r="KA15" s="47" t="n">
        <v>5613.5</v>
      </c>
      <c r="KB15" s="47" t="n">
        <v>5613.5</v>
      </c>
      <c r="KC15" s="47" t="n">
        <v>5613.5</v>
      </c>
      <c r="KD15" s="48" t="n">
        <v>5613.5</v>
      </c>
      <c r="KE15" s="47" t="n">
        <v>5613.5</v>
      </c>
      <c r="KF15" s="47" t="n">
        <v>5613.5</v>
      </c>
      <c r="KG15" s="47" t="n">
        <v>5613.5</v>
      </c>
      <c r="KH15" s="47" t="n">
        <v>5613.5</v>
      </c>
      <c r="KI15" s="47" t="n">
        <v>5613.5</v>
      </c>
      <c r="KJ15" s="47" t="n">
        <v>5613.5</v>
      </c>
      <c r="KK15" s="47" t="n">
        <v>5613.5</v>
      </c>
      <c r="KL15" s="47" t="n">
        <v>5613.5</v>
      </c>
    </row>
    <row r="16" customFormat="false" ht="15.75" hidden="false" customHeight="true" outlineLevel="0" collapsed="false">
      <c r="A16" s="35" t="s">
        <v>178</v>
      </c>
      <c r="B16" s="35" t="s">
        <v>179</v>
      </c>
      <c r="C16" s="35" t="s">
        <v>164</v>
      </c>
      <c r="D16" s="35" t="s">
        <v>180</v>
      </c>
      <c r="E16" s="35" t="s">
        <v>177</v>
      </c>
      <c r="G16" s="44" t="n">
        <v>0</v>
      </c>
      <c r="H16" s="44" t="n">
        <v>0</v>
      </c>
      <c r="I16" s="44" t="n">
        <v>0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</v>
      </c>
      <c r="Y16" s="44" t="n">
        <v>0</v>
      </c>
      <c r="Z16" s="44" t="n">
        <v>0</v>
      </c>
      <c r="AA16" s="44" t="n">
        <v>525</v>
      </c>
      <c r="AB16" s="44" t="n">
        <v>525</v>
      </c>
      <c r="AC16" s="44" t="n">
        <v>525</v>
      </c>
      <c r="AD16" s="44" t="n">
        <v>525</v>
      </c>
      <c r="AE16" s="44" t="n">
        <v>525</v>
      </c>
      <c r="AF16" s="44" t="n">
        <v>525</v>
      </c>
      <c r="AG16" s="44" t="n">
        <v>525</v>
      </c>
      <c r="AH16" s="44" t="n">
        <v>525</v>
      </c>
      <c r="AI16" s="44" t="n">
        <v>525</v>
      </c>
      <c r="AJ16" s="44" t="n">
        <v>525</v>
      </c>
      <c r="AK16" s="44" t="n">
        <v>525</v>
      </c>
      <c r="AL16" s="44" t="n">
        <v>525</v>
      </c>
      <c r="AM16" s="44" t="n">
        <v>1215.8175</v>
      </c>
      <c r="AN16" s="44" t="n">
        <v>1215.8175</v>
      </c>
      <c r="AO16" s="44" t="n">
        <v>1215.8175</v>
      </c>
      <c r="AP16" s="44" t="n">
        <v>1215.8175</v>
      </c>
      <c r="AQ16" s="44" t="n">
        <v>1215.8175</v>
      </c>
      <c r="AR16" s="44" t="n">
        <v>1215.8175</v>
      </c>
      <c r="AS16" s="44" t="n">
        <v>1215.8175</v>
      </c>
      <c r="AT16" s="44" t="n">
        <v>1215.8175</v>
      </c>
      <c r="AU16" s="44" t="n">
        <v>1215.8175</v>
      </c>
      <c r="AV16" s="44" t="n">
        <v>1215.8175</v>
      </c>
      <c r="AW16" s="44" t="n">
        <v>1215.8175</v>
      </c>
      <c r="AX16" s="44" t="n">
        <v>1215.8175</v>
      </c>
      <c r="AY16" s="44" t="n">
        <v>750</v>
      </c>
      <c r="AZ16" s="44" t="n">
        <v>750</v>
      </c>
      <c r="BA16" s="44" t="n">
        <v>900</v>
      </c>
      <c r="BB16" s="44" t="n">
        <v>900</v>
      </c>
      <c r="BC16" s="44" t="n">
        <v>900</v>
      </c>
      <c r="BD16" s="44" t="n">
        <v>900</v>
      </c>
      <c r="BE16" s="44" t="n">
        <v>900</v>
      </c>
      <c r="BF16" s="44" t="n">
        <v>900</v>
      </c>
      <c r="BG16" s="44" t="n">
        <v>900</v>
      </c>
      <c r="BH16" s="44" t="n">
        <v>900</v>
      </c>
      <c r="BI16" s="44" t="n">
        <v>900</v>
      </c>
      <c r="BJ16" s="44" t="n">
        <v>900</v>
      </c>
      <c r="BK16" s="44" t="n">
        <v>825</v>
      </c>
      <c r="BL16" s="44" t="n">
        <v>825</v>
      </c>
      <c r="BM16" s="44" t="n">
        <v>825</v>
      </c>
      <c r="BN16" s="44" t="n">
        <v>825</v>
      </c>
      <c r="BO16" s="44" t="n">
        <v>825</v>
      </c>
      <c r="BP16" s="44" t="n">
        <v>825</v>
      </c>
      <c r="BQ16" s="44" t="n">
        <v>825</v>
      </c>
      <c r="BR16" s="45" t="n">
        <v>825</v>
      </c>
      <c r="BS16" s="46" t="n">
        <v>825</v>
      </c>
      <c r="BT16" s="46" t="n">
        <v>825</v>
      </c>
      <c r="BU16" s="46" t="n">
        <v>825</v>
      </c>
      <c r="BV16" s="46" t="n">
        <v>825</v>
      </c>
      <c r="BW16" s="46" t="n">
        <v>825</v>
      </c>
      <c r="BX16" s="46" t="n">
        <v>825</v>
      </c>
      <c r="BY16" s="46" t="n">
        <v>825</v>
      </c>
      <c r="BZ16" s="46" t="n">
        <v>825</v>
      </c>
      <c r="EX16" s="47" t="n">
        <v>0</v>
      </c>
      <c r="EY16" s="47" t="n">
        <v>0</v>
      </c>
      <c r="EZ16" s="47" t="n">
        <v>0</v>
      </c>
      <c r="FA16" s="47" t="n">
        <v>0</v>
      </c>
      <c r="FB16" s="47" t="n">
        <v>0</v>
      </c>
      <c r="FC16" s="47" t="n">
        <v>0</v>
      </c>
      <c r="FD16" s="47" t="n">
        <v>0</v>
      </c>
      <c r="FE16" s="47" t="n">
        <v>0</v>
      </c>
      <c r="FF16" s="47" t="n">
        <v>0</v>
      </c>
      <c r="FG16" s="47" t="n">
        <v>0</v>
      </c>
      <c r="FH16" s="47" t="n">
        <v>0</v>
      </c>
      <c r="FI16" s="47" t="n">
        <v>0</v>
      </c>
      <c r="FJ16" s="47" t="n">
        <v>0</v>
      </c>
      <c r="FK16" s="47" t="n">
        <v>0</v>
      </c>
      <c r="FL16" s="47" t="n">
        <v>0</v>
      </c>
      <c r="FM16" s="47" t="n">
        <v>0</v>
      </c>
      <c r="FN16" s="47" t="n">
        <v>0</v>
      </c>
      <c r="FO16" s="47" t="n">
        <v>0</v>
      </c>
      <c r="FP16" s="47" t="n">
        <v>0</v>
      </c>
      <c r="FQ16" s="47" t="n">
        <v>0</v>
      </c>
      <c r="FR16" s="47" t="n">
        <v>525</v>
      </c>
      <c r="FS16" s="47" t="n">
        <v>525</v>
      </c>
      <c r="FT16" s="47" t="n">
        <v>525</v>
      </c>
      <c r="FU16" s="47" t="n">
        <v>525</v>
      </c>
      <c r="FV16" s="47" t="n">
        <v>525</v>
      </c>
      <c r="FW16" s="47" t="n">
        <v>525</v>
      </c>
      <c r="FX16" s="47" t="n">
        <v>525</v>
      </c>
      <c r="FY16" s="47" t="n">
        <v>525</v>
      </c>
      <c r="FZ16" s="47" t="n">
        <v>525</v>
      </c>
      <c r="GA16" s="47" t="n">
        <v>525</v>
      </c>
      <c r="GB16" s="47" t="n">
        <v>525</v>
      </c>
      <c r="GC16" s="47" t="n">
        <v>525</v>
      </c>
      <c r="GD16" s="47" t="n">
        <v>1215.8175</v>
      </c>
      <c r="GE16" s="47" t="n">
        <v>1215.8175</v>
      </c>
      <c r="GF16" s="47" t="n">
        <v>1215.8175</v>
      </c>
      <c r="GG16" s="47" t="n">
        <v>1215.8175</v>
      </c>
      <c r="GH16" s="47" t="n">
        <v>1215.8175</v>
      </c>
      <c r="GI16" s="47" t="n">
        <v>1215.8175</v>
      </c>
      <c r="GJ16" s="47" t="n">
        <v>1215.8175</v>
      </c>
      <c r="GK16" s="47" t="n">
        <v>1215.8175</v>
      </c>
      <c r="GL16" s="47" t="n">
        <v>1215.8175</v>
      </c>
      <c r="GM16" s="47" t="n">
        <v>1215.8175</v>
      </c>
      <c r="GN16" s="47" t="n">
        <v>1215.8175</v>
      </c>
      <c r="GO16" s="47" t="n">
        <v>1215.8175</v>
      </c>
      <c r="GP16" s="47" t="n">
        <v>750</v>
      </c>
      <c r="GQ16" s="47" t="n">
        <v>750</v>
      </c>
      <c r="GR16" s="47" t="n">
        <v>900</v>
      </c>
      <c r="GS16" s="47" t="n">
        <v>900</v>
      </c>
      <c r="GT16" s="47" t="n">
        <v>900</v>
      </c>
      <c r="GU16" s="47" t="n">
        <v>900</v>
      </c>
      <c r="GV16" s="47" t="n">
        <v>900</v>
      </c>
      <c r="GW16" s="47" t="n">
        <v>900</v>
      </c>
      <c r="GX16" s="47" t="n">
        <v>900</v>
      </c>
      <c r="GY16" s="47" t="n">
        <v>900</v>
      </c>
      <c r="GZ16" s="47" t="n">
        <v>900</v>
      </c>
      <c r="HA16" s="47" t="n">
        <v>900</v>
      </c>
      <c r="HB16" s="47" t="n">
        <v>825</v>
      </c>
      <c r="HC16" s="47" t="n">
        <v>825</v>
      </c>
      <c r="HD16" s="47" t="n">
        <v>825</v>
      </c>
      <c r="HE16" s="47" t="n">
        <v>825</v>
      </c>
      <c r="HF16" s="47" t="n">
        <v>825</v>
      </c>
      <c r="HG16" s="47" t="n">
        <v>825</v>
      </c>
      <c r="HH16" s="47" t="n">
        <v>825</v>
      </c>
      <c r="HI16" s="48" t="n">
        <v>825</v>
      </c>
      <c r="HJ16" s="47" t="n">
        <v>825</v>
      </c>
      <c r="HK16" s="47" t="n">
        <v>825</v>
      </c>
      <c r="HL16" s="47" t="n">
        <v>825</v>
      </c>
      <c r="HM16" s="47" t="n">
        <v>825</v>
      </c>
      <c r="HN16" s="47" t="n">
        <v>825</v>
      </c>
      <c r="HO16" s="47" t="n">
        <v>825</v>
      </c>
      <c r="HP16" s="47" t="n">
        <v>825</v>
      </c>
      <c r="HQ16" s="47" t="n">
        <v>825</v>
      </c>
      <c r="HS16" s="47" t="n">
        <v>0</v>
      </c>
      <c r="HT16" s="47" t="n">
        <v>0</v>
      </c>
      <c r="HU16" s="47" t="n">
        <v>0</v>
      </c>
      <c r="HV16" s="47" t="n">
        <v>0</v>
      </c>
      <c r="HW16" s="47" t="n">
        <v>0</v>
      </c>
      <c r="HX16" s="47" t="n">
        <v>0</v>
      </c>
      <c r="HY16" s="47" t="n">
        <v>0</v>
      </c>
      <c r="HZ16" s="47" t="n">
        <v>0</v>
      </c>
      <c r="IA16" s="47" t="n">
        <v>0</v>
      </c>
      <c r="IB16" s="47" t="n">
        <v>0</v>
      </c>
      <c r="IC16" s="47" t="n">
        <v>0</v>
      </c>
      <c r="ID16" s="47" t="n">
        <v>0</v>
      </c>
      <c r="IE16" s="47" t="n">
        <v>0</v>
      </c>
      <c r="IF16" s="47" t="n">
        <v>0</v>
      </c>
      <c r="IG16" s="47" t="n">
        <v>0</v>
      </c>
      <c r="IH16" s="47" t="n">
        <v>0</v>
      </c>
      <c r="II16" s="47" t="n">
        <v>0</v>
      </c>
      <c r="IJ16" s="47" t="n">
        <v>0</v>
      </c>
      <c r="IK16" s="47" t="n">
        <v>0</v>
      </c>
      <c r="IL16" s="47" t="n">
        <v>0</v>
      </c>
      <c r="IM16" s="47" t="n">
        <v>525</v>
      </c>
      <c r="IN16" s="47" t="n">
        <v>525</v>
      </c>
      <c r="IO16" s="47" t="n">
        <v>525</v>
      </c>
      <c r="IP16" s="47" t="n">
        <v>525</v>
      </c>
      <c r="IQ16" s="47" t="n">
        <v>525</v>
      </c>
      <c r="IR16" s="47" t="n">
        <v>525</v>
      </c>
      <c r="IS16" s="47" t="n">
        <v>525</v>
      </c>
      <c r="IT16" s="47" t="n">
        <v>525</v>
      </c>
      <c r="IU16" s="47" t="n">
        <v>525</v>
      </c>
      <c r="IV16" s="47" t="n">
        <v>525</v>
      </c>
      <c r="IW16" s="47" t="n">
        <v>525</v>
      </c>
      <c r="IX16" s="47" t="n">
        <v>525</v>
      </c>
      <c r="IY16" s="47" t="n">
        <v>1215.8175</v>
      </c>
      <c r="IZ16" s="47" t="n">
        <v>1215.8175</v>
      </c>
      <c r="JA16" s="47" t="n">
        <v>1215.8175</v>
      </c>
      <c r="JB16" s="47" t="n">
        <v>1215.8175</v>
      </c>
      <c r="JC16" s="47" t="n">
        <v>1215.8175</v>
      </c>
      <c r="JD16" s="47" t="n">
        <v>1215.8175</v>
      </c>
      <c r="JE16" s="47" t="n">
        <v>1215.8175</v>
      </c>
      <c r="JF16" s="47" t="n">
        <v>1215.8175</v>
      </c>
      <c r="JG16" s="47" t="n">
        <v>1215.8175</v>
      </c>
      <c r="JH16" s="47" t="n">
        <v>1215.8175</v>
      </c>
      <c r="JI16" s="47" t="n">
        <v>1215.8175</v>
      </c>
      <c r="JJ16" s="47" t="n">
        <v>1215.8175</v>
      </c>
      <c r="JK16" s="47" t="n">
        <v>750</v>
      </c>
      <c r="JL16" s="47" t="n">
        <v>750</v>
      </c>
      <c r="JM16" s="47" t="n">
        <v>900</v>
      </c>
      <c r="JN16" s="47" t="n">
        <v>900</v>
      </c>
      <c r="JO16" s="47" t="n">
        <v>900</v>
      </c>
      <c r="JP16" s="47" t="n">
        <v>900</v>
      </c>
      <c r="JQ16" s="47" t="n">
        <v>900</v>
      </c>
      <c r="JR16" s="47" t="n">
        <v>900</v>
      </c>
      <c r="JS16" s="47" t="n">
        <v>900</v>
      </c>
      <c r="JT16" s="47" t="n">
        <v>900</v>
      </c>
      <c r="JU16" s="47" t="n">
        <v>900</v>
      </c>
      <c r="JV16" s="47" t="n">
        <v>900</v>
      </c>
      <c r="JW16" s="47" t="n">
        <v>825</v>
      </c>
      <c r="JX16" s="47" t="n">
        <v>825</v>
      </c>
      <c r="JY16" s="47" t="n">
        <v>825</v>
      </c>
      <c r="JZ16" s="47" t="n">
        <v>825</v>
      </c>
      <c r="KA16" s="47" t="n">
        <v>825</v>
      </c>
      <c r="KB16" s="47" t="n">
        <v>825</v>
      </c>
      <c r="KC16" s="47" t="n">
        <v>825</v>
      </c>
      <c r="KD16" s="48" t="n">
        <v>825</v>
      </c>
      <c r="KE16" s="47" t="n">
        <v>825</v>
      </c>
      <c r="KF16" s="47" t="n">
        <v>825</v>
      </c>
      <c r="KG16" s="47" t="n">
        <v>825</v>
      </c>
      <c r="KH16" s="47" t="n">
        <v>825</v>
      </c>
      <c r="KI16" s="47" t="n">
        <v>825</v>
      </c>
      <c r="KJ16" s="47" t="n">
        <v>825</v>
      </c>
      <c r="KK16" s="47" t="n">
        <v>825</v>
      </c>
      <c r="KL16" s="47" t="n">
        <v>825</v>
      </c>
    </row>
    <row r="17" customFormat="false" ht="15.75" hidden="false" customHeight="true" outlineLevel="0" collapsed="false">
      <c r="A17" s="35" t="s">
        <v>181</v>
      </c>
      <c r="B17" s="35" t="s">
        <v>182</v>
      </c>
      <c r="C17" s="35" t="s">
        <v>164</v>
      </c>
      <c r="D17" s="35" t="s">
        <v>183</v>
      </c>
      <c r="E17" s="35" t="s">
        <v>174</v>
      </c>
      <c r="G17" s="44" t="n">
        <v>2266.66666666667</v>
      </c>
      <c r="H17" s="44" t="n">
        <v>2266.66666666667</v>
      </c>
      <c r="I17" s="44" t="n">
        <v>2266.66666666667</v>
      </c>
      <c r="J17" s="44" t="n">
        <v>2266.66666666667</v>
      </c>
      <c r="K17" s="44" t="n">
        <v>2266.66666666667</v>
      </c>
      <c r="L17" s="44" t="n">
        <v>2600.01666666667</v>
      </c>
      <c r="M17" s="44" t="n">
        <v>2600.01666666667</v>
      </c>
      <c r="N17" s="44" t="n">
        <v>2600</v>
      </c>
      <c r="O17" s="44" t="n">
        <v>2600</v>
      </c>
      <c r="P17" s="44" t="n">
        <v>2600</v>
      </c>
      <c r="Q17" s="44" t="n">
        <v>2600</v>
      </c>
      <c r="R17" s="44" t="n">
        <v>2600</v>
      </c>
      <c r="S17" s="44" t="n">
        <v>2600</v>
      </c>
      <c r="T17" s="44" t="n">
        <v>2600</v>
      </c>
      <c r="U17" s="44" t="n">
        <v>2600</v>
      </c>
      <c r="V17" s="44" t="n">
        <v>2600</v>
      </c>
      <c r="W17" s="44" t="n">
        <v>2600</v>
      </c>
      <c r="X17" s="44" t="n">
        <v>2600</v>
      </c>
      <c r="Y17" s="44" t="n">
        <v>2600</v>
      </c>
      <c r="Z17" s="44" t="n">
        <v>2600</v>
      </c>
      <c r="AA17" s="44" t="n">
        <v>2600</v>
      </c>
      <c r="AB17" s="44" t="n">
        <v>2600</v>
      </c>
      <c r="AC17" s="44" t="n">
        <v>2600</v>
      </c>
      <c r="AD17" s="44" t="n">
        <v>2600</v>
      </c>
      <c r="AE17" s="44" t="n">
        <v>2600</v>
      </c>
      <c r="AF17" s="44" t="n">
        <v>2600</v>
      </c>
      <c r="AG17" s="44" t="n">
        <v>2600</v>
      </c>
      <c r="AH17" s="44" t="n">
        <v>2600</v>
      </c>
      <c r="AI17" s="44" t="n">
        <v>2600</v>
      </c>
      <c r="AJ17" s="44" t="n">
        <v>2600</v>
      </c>
      <c r="AK17" s="44" t="n">
        <v>2600</v>
      </c>
      <c r="AL17" s="44" t="n">
        <v>2736.25</v>
      </c>
      <c r="AM17" s="44" t="n">
        <v>2736.25</v>
      </c>
      <c r="AN17" s="44" t="n">
        <v>2736.25</v>
      </c>
      <c r="AO17" s="44" t="n">
        <v>2736.25</v>
      </c>
      <c r="AP17" s="44" t="n">
        <v>2736.25</v>
      </c>
      <c r="AQ17" s="44" t="n">
        <v>2736.25</v>
      </c>
      <c r="AR17" s="44" t="n">
        <v>2736.25</v>
      </c>
      <c r="AS17" s="44" t="n">
        <v>2736.25</v>
      </c>
      <c r="AT17" s="44" t="n">
        <v>2736.25</v>
      </c>
      <c r="AU17" s="44" t="n">
        <v>2736.25</v>
      </c>
      <c r="AV17" s="44" t="n">
        <v>2736.25</v>
      </c>
      <c r="AW17" s="44" t="n">
        <v>2736.25</v>
      </c>
      <c r="AX17" s="44" t="n">
        <v>0</v>
      </c>
      <c r="AY17" s="44" t="n">
        <v>0</v>
      </c>
      <c r="AZ17" s="44" t="n">
        <v>0</v>
      </c>
      <c r="BA17" s="44" t="n">
        <v>0</v>
      </c>
      <c r="BB17" s="44" t="n">
        <v>0</v>
      </c>
      <c r="BC17" s="44" t="n">
        <v>0</v>
      </c>
      <c r="BD17" s="44" t="n">
        <v>0</v>
      </c>
      <c r="BE17" s="44" t="n">
        <v>0</v>
      </c>
      <c r="BF17" s="44" t="n">
        <v>0</v>
      </c>
      <c r="BG17" s="44" t="n">
        <v>0</v>
      </c>
      <c r="BH17" s="44" t="n">
        <v>0</v>
      </c>
      <c r="BI17" s="44" t="n">
        <v>0</v>
      </c>
      <c r="BJ17" s="44" t="n">
        <v>0</v>
      </c>
      <c r="BK17" s="44" t="n">
        <v>0</v>
      </c>
      <c r="BL17" s="44" t="n">
        <v>0</v>
      </c>
      <c r="BM17" s="44" t="n">
        <v>0</v>
      </c>
      <c r="BN17" s="44" t="n">
        <v>0</v>
      </c>
      <c r="BO17" s="44" t="n">
        <v>0</v>
      </c>
      <c r="BP17" s="44" t="n">
        <v>0</v>
      </c>
      <c r="BQ17" s="44" t="n">
        <v>0</v>
      </c>
      <c r="BR17" s="45" t="n">
        <v>0</v>
      </c>
      <c r="BS17" s="46" t="n">
        <v>0</v>
      </c>
      <c r="BT17" s="46" t="n">
        <v>0</v>
      </c>
      <c r="BU17" s="46" t="n">
        <v>0</v>
      </c>
      <c r="BV17" s="46" t="n">
        <v>0</v>
      </c>
      <c r="BW17" s="46" t="n">
        <v>0</v>
      </c>
      <c r="BX17" s="46" t="n">
        <v>0</v>
      </c>
      <c r="BY17" s="46" t="n">
        <v>0</v>
      </c>
      <c r="BZ17" s="46" t="n">
        <v>0</v>
      </c>
      <c r="CB17" s="52" t="s">
        <v>184</v>
      </c>
      <c r="CC17" s="50" t="n">
        <v>-2266.66666666667</v>
      </c>
      <c r="CD17" s="50" t="n">
        <v>-2266.66666666667</v>
      </c>
      <c r="CE17" s="50" t="n">
        <v>-2266.66666666667</v>
      </c>
      <c r="CF17" s="50" t="n">
        <v>-2266.66666666667</v>
      </c>
      <c r="CG17" s="50" t="n">
        <v>-2266.66666666667</v>
      </c>
      <c r="CH17" s="50" t="n">
        <v>-2600.01666666667</v>
      </c>
      <c r="CI17" s="50" t="n">
        <v>-2600.01666666667</v>
      </c>
      <c r="CJ17" s="50" t="n">
        <v>-2600</v>
      </c>
      <c r="CK17" s="50" t="n">
        <v>-2600</v>
      </c>
      <c r="CL17" s="50" t="n">
        <v>-2600</v>
      </c>
      <c r="CM17" s="50" t="n">
        <v>-2600</v>
      </c>
      <c r="CN17" s="50" t="n">
        <v>-2600</v>
      </c>
      <c r="CO17" s="50" t="n">
        <v>-2600</v>
      </c>
      <c r="CP17" s="50" t="n">
        <v>-2600</v>
      </c>
      <c r="CQ17" s="50" t="n">
        <v>-2600</v>
      </c>
      <c r="CR17" s="50" t="n">
        <v>-2600</v>
      </c>
      <c r="CS17" s="50" t="n">
        <v>-2600</v>
      </c>
      <c r="CT17" s="50" t="n">
        <v>-2600</v>
      </c>
      <c r="CU17" s="50" t="n">
        <v>-2600</v>
      </c>
      <c r="CV17" s="50" t="n">
        <v>-2600</v>
      </c>
      <c r="CW17" s="50" t="n">
        <v>-2600</v>
      </c>
      <c r="CX17" s="50" t="n">
        <v>-2600</v>
      </c>
      <c r="CY17" s="50" t="n">
        <v>-2600</v>
      </c>
      <c r="CZ17" s="50" t="n">
        <v>-2600</v>
      </c>
      <c r="DA17" s="50" t="n">
        <v>-2600</v>
      </c>
      <c r="DB17" s="50" t="n">
        <v>-2600</v>
      </c>
      <c r="DC17" s="50" t="n">
        <v>-2600</v>
      </c>
      <c r="DD17" s="50" t="n">
        <v>-2600</v>
      </c>
      <c r="DE17" s="50" t="n">
        <v>-2600</v>
      </c>
      <c r="DF17" s="50" t="n">
        <v>-2600</v>
      </c>
      <c r="DG17" s="50" t="n">
        <v>-2600</v>
      </c>
      <c r="DH17" s="50" t="n">
        <v>-2736.25</v>
      </c>
      <c r="DI17" s="50" t="n">
        <v>-2736.25</v>
      </c>
      <c r="DJ17" s="50" t="n">
        <v>-2736.25</v>
      </c>
      <c r="DK17" s="50" t="n">
        <v>-2736.25</v>
      </c>
      <c r="DL17" s="50" t="n">
        <v>-2736.25</v>
      </c>
      <c r="DM17" s="50" t="n">
        <v>-2736.25</v>
      </c>
      <c r="DN17" s="50" t="n">
        <v>-2736.25</v>
      </c>
      <c r="DO17" s="50" t="n">
        <v>-2736.25</v>
      </c>
      <c r="DP17" s="50" t="n">
        <v>-2736.25</v>
      </c>
      <c r="DQ17" s="50" t="n">
        <v>-2736.25</v>
      </c>
      <c r="DR17" s="50" t="n">
        <v>-2736.25</v>
      </c>
      <c r="DS17" s="50" t="n">
        <v>-2736.25</v>
      </c>
      <c r="DT17" s="50" t="n">
        <v>0</v>
      </c>
      <c r="DU17" s="50" t="n">
        <v>0</v>
      </c>
      <c r="DV17" s="50" t="n">
        <v>0</v>
      </c>
      <c r="DW17" s="50" t="n">
        <v>0</v>
      </c>
      <c r="DX17" s="50" t="n">
        <v>0</v>
      </c>
      <c r="DY17" s="50" t="n">
        <v>0</v>
      </c>
      <c r="DZ17" s="50" t="n">
        <v>0</v>
      </c>
      <c r="EA17" s="50" t="n">
        <v>0</v>
      </c>
      <c r="EB17" s="50" t="n">
        <v>0</v>
      </c>
      <c r="EC17" s="50" t="n">
        <v>0</v>
      </c>
      <c r="ED17" s="50" t="n">
        <v>0</v>
      </c>
      <c r="EE17" s="50" t="n">
        <v>0</v>
      </c>
      <c r="EF17" s="50" t="n">
        <v>0</v>
      </c>
      <c r="EG17" s="50" t="n">
        <v>0</v>
      </c>
      <c r="EH17" s="50" t="n">
        <v>0</v>
      </c>
      <c r="EI17" s="50" t="n">
        <v>0</v>
      </c>
      <c r="EJ17" s="50" t="n">
        <v>0</v>
      </c>
      <c r="EK17" s="50" t="n">
        <v>0</v>
      </c>
      <c r="EL17" s="50" t="n">
        <v>0</v>
      </c>
      <c r="EM17" s="50" t="n">
        <v>0</v>
      </c>
      <c r="EN17" s="51" t="n">
        <v>0</v>
      </c>
      <c r="EO17" s="50" t="n">
        <v>0</v>
      </c>
      <c r="EP17" s="50" t="n">
        <v>0</v>
      </c>
      <c r="EQ17" s="50" t="n">
        <v>0</v>
      </c>
      <c r="ER17" s="50" t="n">
        <v>0</v>
      </c>
      <c r="ES17" s="50" t="n">
        <v>0</v>
      </c>
      <c r="ET17" s="50" t="n">
        <v>0</v>
      </c>
      <c r="EU17" s="50" t="n">
        <v>0</v>
      </c>
      <c r="EV17" s="50" t="n">
        <v>0</v>
      </c>
      <c r="EX17" s="47" t="n">
        <v>2266.66666666667</v>
      </c>
      <c r="EY17" s="47" t="n">
        <v>2266.66666666667</v>
      </c>
      <c r="EZ17" s="47" t="n">
        <v>2266.66666666667</v>
      </c>
      <c r="FA17" s="47" t="n">
        <v>2266.66666666667</v>
      </c>
      <c r="FB17" s="47" t="n">
        <v>2266.66666666667</v>
      </c>
      <c r="FC17" s="47" t="n">
        <v>2600.01666666667</v>
      </c>
      <c r="FD17" s="47" t="n">
        <v>2600.01666666667</v>
      </c>
      <c r="FE17" s="47" t="n">
        <v>2600</v>
      </c>
      <c r="FF17" s="47" t="n">
        <v>2600</v>
      </c>
      <c r="FG17" s="47" t="n">
        <v>2600</v>
      </c>
      <c r="FH17" s="47" t="n">
        <v>2600</v>
      </c>
      <c r="FI17" s="47" t="n">
        <v>2600</v>
      </c>
      <c r="FJ17" s="47" t="n">
        <v>2600</v>
      </c>
      <c r="FK17" s="47" t="n">
        <v>2600</v>
      </c>
      <c r="FL17" s="47" t="n">
        <v>2600</v>
      </c>
      <c r="FM17" s="47" t="n">
        <v>2600</v>
      </c>
      <c r="FN17" s="47" t="n">
        <v>2600</v>
      </c>
      <c r="FO17" s="47" t="n">
        <v>2600</v>
      </c>
      <c r="FP17" s="47" t="n">
        <v>2600</v>
      </c>
      <c r="FQ17" s="47" t="n">
        <v>2600</v>
      </c>
      <c r="FR17" s="47" t="n">
        <v>2600</v>
      </c>
      <c r="FS17" s="47" t="n">
        <v>2600</v>
      </c>
      <c r="FT17" s="47" t="n">
        <v>2600</v>
      </c>
      <c r="FU17" s="47" t="n">
        <v>2600</v>
      </c>
      <c r="FV17" s="47" t="n">
        <v>2600</v>
      </c>
      <c r="FW17" s="47" t="n">
        <v>2600</v>
      </c>
      <c r="FX17" s="47" t="n">
        <v>2600</v>
      </c>
      <c r="FY17" s="47" t="n">
        <v>2600</v>
      </c>
      <c r="FZ17" s="47" t="n">
        <v>2600</v>
      </c>
      <c r="GA17" s="47" t="n">
        <v>2600</v>
      </c>
      <c r="GB17" s="47" t="n">
        <v>2600</v>
      </c>
      <c r="GC17" s="47" t="n">
        <v>2736.25</v>
      </c>
      <c r="GD17" s="47" t="n">
        <v>2736.25</v>
      </c>
      <c r="GE17" s="47" t="n">
        <v>2736.25</v>
      </c>
      <c r="GF17" s="47" t="n">
        <v>2736.25</v>
      </c>
      <c r="GG17" s="47" t="n">
        <v>2736.25</v>
      </c>
      <c r="GH17" s="47" t="n">
        <v>2736.25</v>
      </c>
      <c r="GI17" s="47" t="n">
        <v>2736.25</v>
      </c>
      <c r="GJ17" s="47" t="n">
        <v>2736.25</v>
      </c>
      <c r="GK17" s="47" t="n">
        <v>2736.25</v>
      </c>
      <c r="GL17" s="47" t="n">
        <v>2736.25</v>
      </c>
      <c r="GM17" s="47" t="n">
        <v>2736.25</v>
      </c>
      <c r="GN17" s="47" t="n">
        <v>2736.25</v>
      </c>
      <c r="GO17" s="47" t="n">
        <v>0</v>
      </c>
      <c r="GP17" s="47" t="n">
        <v>0</v>
      </c>
      <c r="GQ17" s="47" t="n">
        <v>0</v>
      </c>
      <c r="GR17" s="47" t="n">
        <v>0</v>
      </c>
      <c r="GS17" s="47" t="n">
        <v>0</v>
      </c>
      <c r="GT17" s="47" t="n">
        <v>0</v>
      </c>
      <c r="GU17" s="47" t="n">
        <v>0</v>
      </c>
      <c r="GV17" s="47" t="n">
        <v>0</v>
      </c>
      <c r="GW17" s="47" t="n">
        <v>0</v>
      </c>
      <c r="GX17" s="47" t="n">
        <v>0</v>
      </c>
      <c r="GY17" s="47" t="n">
        <v>0</v>
      </c>
      <c r="GZ17" s="47" t="n">
        <v>0</v>
      </c>
      <c r="HA17" s="47" t="n">
        <v>0</v>
      </c>
      <c r="HB17" s="47" t="n">
        <v>0</v>
      </c>
      <c r="HC17" s="47" t="n">
        <v>0</v>
      </c>
      <c r="HD17" s="47" t="n">
        <v>0</v>
      </c>
      <c r="HE17" s="47" t="n">
        <v>0</v>
      </c>
      <c r="HF17" s="47" t="n">
        <v>0</v>
      </c>
      <c r="HG17" s="47" t="n">
        <v>0</v>
      </c>
      <c r="HH17" s="47" t="n">
        <v>0</v>
      </c>
      <c r="HI17" s="48" t="n">
        <v>0</v>
      </c>
      <c r="HJ17" s="47" t="n">
        <v>0</v>
      </c>
      <c r="HK17" s="47" t="n">
        <v>0</v>
      </c>
      <c r="HL17" s="47" t="n">
        <v>0</v>
      </c>
      <c r="HM17" s="47" t="n">
        <v>0</v>
      </c>
      <c r="HN17" s="47" t="n">
        <v>0</v>
      </c>
      <c r="HO17" s="47" t="n">
        <v>0</v>
      </c>
      <c r="HP17" s="47" t="n">
        <v>0</v>
      </c>
      <c r="HQ17" s="47" t="n">
        <v>0</v>
      </c>
      <c r="HS17" s="47" t="n">
        <v>0</v>
      </c>
      <c r="HT17" s="47" t="n">
        <v>0</v>
      </c>
      <c r="HU17" s="47" t="n">
        <v>0</v>
      </c>
      <c r="HV17" s="47" t="n">
        <v>0</v>
      </c>
      <c r="HW17" s="47" t="n">
        <v>0</v>
      </c>
      <c r="HX17" s="47" t="n">
        <v>0</v>
      </c>
      <c r="HY17" s="47" t="n">
        <v>0</v>
      </c>
      <c r="HZ17" s="47" t="n">
        <v>0</v>
      </c>
      <c r="IA17" s="47" t="n">
        <v>0</v>
      </c>
      <c r="IB17" s="47" t="n">
        <v>0</v>
      </c>
      <c r="IC17" s="47" t="n">
        <v>0</v>
      </c>
      <c r="ID17" s="47" t="n">
        <v>0</v>
      </c>
      <c r="IE17" s="47" t="n">
        <v>0</v>
      </c>
      <c r="IF17" s="47" t="n">
        <v>0</v>
      </c>
      <c r="IG17" s="47" t="n">
        <v>0</v>
      </c>
      <c r="IH17" s="47" t="n">
        <v>0</v>
      </c>
      <c r="II17" s="47" t="n">
        <v>0</v>
      </c>
      <c r="IJ17" s="47" t="n">
        <v>0</v>
      </c>
      <c r="IK17" s="47" t="n">
        <v>0</v>
      </c>
      <c r="IL17" s="47" t="n">
        <v>0</v>
      </c>
      <c r="IM17" s="47" t="n">
        <v>0</v>
      </c>
      <c r="IN17" s="47" t="n">
        <v>0</v>
      </c>
      <c r="IO17" s="47" t="n">
        <v>0</v>
      </c>
      <c r="IP17" s="47" t="n">
        <v>0</v>
      </c>
      <c r="IQ17" s="47" t="n">
        <v>0</v>
      </c>
      <c r="IR17" s="47" t="n">
        <v>0</v>
      </c>
      <c r="IS17" s="47" t="n">
        <v>0</v>
      </c>
      <c r="IT17" s="47" t="n">
        <v>0</v>
      </c>
      <c r="IU17" s="47" t="n">
        <v>0</v>
      </c>
      <c r="IV17" s="47" t="n">
        <v>0</v>
      </c>
      <c r="IW17" s="47" t="n">
        <v>0</v>
      </c>
      <c r="IX17" s="47" t="n">
        <v>0</v>
      </c>
      <c r="IY17" s="47" t="n">
        <v>0</v>
      </c>
      <c r="IZ17" s="47" t="n">
        <v>0</v>
      </c>
      <c r="JA17" s="47" t="n">
        <v>0</v>
      </c>
      <c r="JB17" s="47" t="n">
        <v>0</v>
      </c>
      <c r="JC17" s="47" t="n">
        <v>0</v>
      </c>
      <c r="JD17" s="47" t="n">
        <v>0</v>
      </c>
      <c r="JE17" s="47" t="n">
        <v>0</v>
      </c>
      <c r="JF17" s="47" t="n">
        <v>0</v>
      </c>
      <c r="JG17" s="47" t="n">
        <v>0</v>
      </c>
      <c r="JH17" s="47" t="n">
        <v>0</v>
      </c>
      <c r="JI17" s="47" t="n">
        <v>0</v>
      </c>
      <c r="JJ17" s="47" t="n">
        <v>0</v>
      </c>
      <c r="JK17" s="47" t="n">
        <v>0</v>
      </c>
      <c r="JL17" s="47" t="n">
        <v>0</v>
      </c>
      <c r="JM17" s="47" t="n">
        <v>0</v>
      </c>
      <c r="JN17" s="47" t="n">
        <v>0</v>
      </c>
      <c r="JO17" s="47" t="n">
        <v>0</v>
      </c>
      <c r="JP17" s="47" t="n">
        <v>0</v>
      </c>
      <c r="JQ17" s="47" t="n">
        <v>0</v>
      </c>
      <c r="JR17" s="47" t="n">
        <v>0</v>
      </c>
      <c r="JS17" s="47" t="n">
        <v>0</v>
      </c>
      <c r="JT17" s="47" t="n">
        <v>0</v>
      </c>
      <c r="JU17" s="47" t="n">
        <v>0</v>
      </c>
      <c r="JV17" s="47" t="n">
        <v>0</v>
      </c>
      <c r="JW17" s="47" t="n">
        <v>0</v>
      </c>
      <c r="JX17" s="47" t="n">
        <v>0</v>
      </c>
      <c r="JY17" s="47" t="n">
        <v>0</v>
      </c>
      <c r="JZ17" s="47" t="n">
        <v>0</v>
      </c>
      <c r="KA17" s="47" t="n">
        <v>0</v>
      </c>
      <c r="KB17" s="47" t="n">
        <v>0</v>
      </c>
      <c r="KC17" s="47" t="n">
        <v>0</v>
      </c>
      <c r="KD17" s="48" t="n">
        <v>0</v>
      </c>
      <c r="KE17" s="47" t="n">
        <v>0</v>
      </c>
      <c r="KF17" s="47" t="n">
        <v>0</v>
      </c>
      <c r="KG17" s="47" t="n">
        <v>0</v>
      </c>
      <c r="KH17" s="47" t="n">
        <v>0</v>
      </c>
      <c r="KI17" s="47" t="n">
        <v>0</v>
      </c>
      <c r="KJ17" s="47" t="n">
        <v>0</v>
      </c>
      <c r="KK17" s="47" t="n">
        <v>0</v>
      </c>
      <c r="KL17" s="47" t="n">
        <v>0</v>
      </c>
    </row>
    <row r="18" customFormat="false" ht="15.75" hidden="false" customHeight="true" outlineLevel="0" collapsed="false">
      <c r="A18" s="35" t="s">
        <v>185</v>
      </c>
      <c r="B18" s="35" t="s">
        <v>186</v>
      </c>
      <c r="C18" s="35" t="s">
        <v>164</v>
      </c>
      <c r="D18" s="35" t="s">
        <v>187</v>
      </c>
      <c r="E18" s="35" t="s">
        <v>188</v>
      </c>
      <c r="G18" s="44" t="n">
        <v>0</v>
      </c>
      <c r="H18" s="44" t="n">
        <v>0</v>
      </c>
      <c r="I18" s="44" t="n">
        <v>0</v>
      </c>
      <c r="J18" s="44" t="n">
        <v>0</v>
      </c>
      <c r="K18" s="44" t="n">
        <v>0</v>
      </c>
      <c r="L18" s="44" t="n">
        <v>0</v>
      </c>
      <c r="M18" s="44" t="n">
        <v>0</v>
      </c>
      <c r="N18" s="44" t="n">
        <v>0</v>
      </c>
      <c r="O18" s="44" t="n">
        <v>0</v>
      </c>
      <c r="P18" s="44" t="n">
        <v>0</v>
      </c>
      <c r="Q18" s="44" t="n">
        <v>0</v>
      </c>
      <c r="R18" s="44" t="n">
        <v>0</v>
      </c>
      <c r="S18" s="44" t="n">
        <v>0</v>
      </c>
      <c r="T18" s="44" t="n">
        <v>0</v>
      </c>
      <c r="U18" s="44" t="n">
        <v>0</v>
      </c>
      <c r="V18" s="44" t="n">
        <v>0</v>
      </c>
      <c r="W18" s="44" t="n">
        <v>0</v>
      </c>
      <c r="X18" s="44" t="n">
        <v>0</v>
      </c>
      <c r="Y18" s="44" t="n">
        <v>0</v>
      </c>
      <c r="Z18" s="44" t="n">
        <v>104.166666666667</v>
      </c>
      <c r="AA18" s="44" t="n">
        <v>104.166666666667</v>
      </c>
      <c r="AB18" s="44" t="n">
        <v>104.166666666667</v>
      </c>
      <c r="AC18" s="44" t="n">
        <v>104.166666666667</v>
      </c>
      <c r="AD18" s="44" t="n">
        <v>104.166666666667</v>
      </c>
      <c r="AE18" s="44" t="n">
        <v>104.166666666667</v>
      </c>
      <c r="AF18" s="44" t="n">
        <v>104.166666666667</v>
      </c>
      <c r="AG18" s="44" t="n">
        <v>104.166666666667</v>
      </c>
      <c r="AH18" s="44" t="n">
        <v>104.166666666667</v>
      </c>
      <c r="AI18" s="44" t="n">
        <v>104.166666666667</v>
      </c>
      <c r="AJ18" s="44" t="n">
        <v>104.166666666667</v>
      </c>
      <c r="AK18" s="44" t="n">
        <v>104.166666666667</v>
      </c>
      <c r="AL18" s="44" t="n">
        <v>104.166666666667</v>
      </c>
      <c r="AM18" s="44" t="n">
        <v>104.166666666667</v>
      </c>
      <c r="AN18" s="44" t="n">
        <v>104.166666666667</v>
      </c>
      <c r="AO18" s="44" t="n">
        <v>104.166666666667</v>
      </c>
      <c r="AP18" s="44" t="n">
        <v>104.166666666667</v>
      </c>
      <c r="AQ18" s="44" t="n">
        <v>104.166666666667</v>
      </c>
      <c r="AR18" s="44" t="n">
        <v>104.166666666667</v>
      </c>
      <c r="AS18" s="44" t="n">
        <v>104.166666666667</v>
      </c>
      <c r="AT18" s="44" t="n">
        <v>104.166666666667</v>
      </c>
      <c r="AU18" s="44" t="n">
        <v>104.166666666667</v>
      </c>
      <c r="AV18" s="44" t="n">
        <v>104.166666666667</v>
      </c>
      <c r="AW18" s="44" t="n">
        <v>104.166666666667</v>
      </c>
      <c r="AX18" s="44" t="n">
        <v>34.7233333333333</v>
      </c>
      <c r="AY18" s="44" t="n">
        <v>34.7233333333333</v>
      </c>
      <c r="AZ18" s="44" t="n">
        <v>34.7233333333333</v>
      </c>
      <c r="BA18" s="44" t="n">
        <v>34.7233333333333</v>
      </c>
      <c r="BB18" s="44" t="n">
        <v>34.7233333333333</v>
      </c>
      <c r="BC18" s="44" t="n">
        <v>34.7233333333333</v>
      </c>
      <c r="BD18" s="44" t="n">
        <v>34.7233333333333</v>
      </c>
      <c r="BE18" s="44" t="n">
        <v>34.7233333333333</v>
      </c>
      <c r="BF18" s="44" t="n">
        <v>451.393333333333</v>
      </c>
      <c r="BG18" s="44" t="n">
        <v>555.563333333333</v>
      </c>
      <c r="BH18" s="44" t="n">
        <v>555.563333333333</v>
      </c>
      <c r="BI18" s="44" t="n">
        <v>555.563333333333</v>
      </c>
      <c r="BJ18" s="44" t="n">
        <v>703.106666666667</v>
      </c>
      <c r="BK18" s="44" t="n">
        <v>703.106666666667</v>
      </c>
      <c r="BL18" s="44" t="n">
        <v>703.106666666667</v>
      </c>
      <c r="BM18" s="44" t="n">
        <v>703.106666666667</v>
      </c>
      <c r="BN18" s="44" t="n">
        <v>703.106666666667</v>
      </c>
      <c r="BO18" s="44" t="n">
        <v>703.106666666667</v>
      </c>
      <c r="BP18" s="44" t="n">
        <v>703.106666666667</v>
      </c>
      <c r="BQ18" s="44" t="n">
        <v>703.106666666667</v>
      </c>
      <c r="BR18" s="45" t="n">
        <v>703.106666666667</v>
      </c>
      <c r="BS18" s="46" t="n">
        <v>703.106666666667</v>
      </c>
      <c r="BT18" s="46" t="n">
        <v>703.106666666667</v>
      </c>
      <c r="BU18" s="46" t="n">
        <v>703.106666666667</v>
      </c>
      <c r="BV18" s="46" t="n">
        <v>703.106666666667</v>
      </c>
      <c r="BW18" s="46" t="n">
        <v>703.106666666667</v>
      </c>
      <c r="BX18" s="46" t="n">
        <v>703.106666666667</v>
      </c>
      <c r="BY18" s="46" t="n">
        <v>703.106666666667</v>
      </c>
      <c r="BZ18" s="46" t="n">
        <v>703.106666666667</v>
      </c>
      <c r="EX18" s="47" t="n">
        <v>0</v>
      </c>
      <c r="EY18" s="47" t="n">
        <v>0</v>
      </c>
      <c r="EZ18" s="47" t="n">
        <v>0</v>
      </c>
      <c r="FA18" s="47" t="n">
        <v>0</v>
      </c>
      <c r="FB18" s="47" t="n">
        <v>0</v>
      </c>
      <c r="FC18" s="47" t="n">
        <v>0</v>
      </c>
      <c r="FD18" s="47" t="n">
        <v>0</v>
      </c>
      <c r="FE18" s="47" t="n">
        <v>0</v>
      </c>
      <c r="FF18" s="47" t="n">
        <v>0</v>
      </c>
      <c r="FG18" s="47" t="n">
        <v>0</v>
      </c>
      <c r="FH18" s="47" t="n">
        <v>0</v>
      </c>
      <c r="FI18" s="47" t="n">
        <v>0</v>
      </c>
      <c r="FJ18" s="47" t="n">
        <v>0</v>
      </c>
      <c r="FK18" s="47" t="n">
        <v>0</v>
      </c>
      <c r="FL18" s="47" t="n">
        <v>0</v>
      </c>
      <c r="FM18" s="47" t="n">
        <v>0</v>
      </c>
      <c r="FN18" s="47" t="n">
        <v>0</v>
      </c>
      <c r="FO18" s="47" t="n">
        <v>0</v>
      </c>
      <c r="FP18" s="47" t="n">
        <v>0</v>
      </c>
      <c r="FQ18" s="47" t="n">
        <v>104.166666666667</v>
      </c>
      <c r="FR18" s="47" t="n">
        <v>104.166666666667</v>
      </c>
      <c r="FS18" s="47" t="n">
        <v>104.166666666667</v>
      </c>
      <c r="FT18" s="47" t="n">
        <v>104.166666666667</v>
      </c>
      <c r="FU18" s="47" t="n">
        <v>104.166666666667</v>
      </c>
      <c r="FV18" s="47" t="n">
        <v>104.166666666667</v>
      </c>
      <c r="FW18" s="47" t="n">
        <v>104.166666666667</v>
      </c>
      <c r="FX18" s="47" t="n">
        <v>104.166666666667</v>
      </c>
      <c r="FY18" s="47" t="n">
        <v>104.166666666667</v>
      </c>
      <c r="FZ18" s="47" t="n">
        <v>104.166666666667</v>
      </c>
      <c r="GA18" s="47" t="n">
        <v>104.166666666667</v>
      </c>
      <c r="GB18" s="47" t="n">
        <v>104.166666666667</v>
      </c>
      <c r="GC18" s="47" t="n">
        <v>104.166666666667</v>
      </c>
      <c r="GD18" s="47" t="n">
        <v>104.166666666667</v>
      </c>
      <c r="GE18" s="47" t="n">
        <v>104.166666666667</v>
      </c>
      <c r="GF18" s="47" t="n">
        <v>104.166666666667</v>
      </c>
      <c r="GG18" s="47" t="n">
        <v>104.166666666667</v>
      </c>
      <c r="GH18" s="47" t="n">
        <v>104.166666666667</v>
      </c>
      <c r="GI18" s="47" t="n">
        <v>104.166666666667</v>
      </c>
      <c r="GJ18" s="47" t="n">
        <v>104.166666666667</v>
      </c>
      <c r="GK18" s="47" t="n">
        <v>104.166666666667</v>
      </c>
      <c r="GL18" s="47" t="n">
        <v>104.166666666667</v>
      </c>
      <c r="GM18" s="47" t="n">
        <v>104.166666666667</v>
      </c>
      <c r="GN18" s="47" t="n">
        <v>104.166666666667</v>
      </c>
      <c r="GO18" s="47" t="n">
        <v>34.7233333333333</v>
      </c>
      <c r="GP18" s="47" t="n">
        <v>34.7233333333333</v>
      </c>
      <c r="GQ18" s="47" t="n">
        <v>34.7233333333333</v>
      </c>
      <c r="GR18" s="47" t="n">
        <v>34.7233333333333</v>
      </c>
      <c r="GS18" s="47" t="n">
        <v>34.7233333333333</v>
      </c>
      <c r="GT18" s="47" t="n">
        <v>34.7233333333333</v>
      </c>
      <c r="GU18" s="47" t="n">
        <v>34.7233333333333</v>
      </c>
      <c r="GV18" s="47" t="n">
        <v>34.7233333333333</v>
      </c>
      <c r="GW18" s="47" t="n">
        <v>451.393333333333</v>
      </c>
      <c r="GX18" s="47" t="n">
        <v>555.563333333333</v>
      </c>
      <c r="GY18" s="47" t="n">
        <v>555.563333333333</v>
      </c>
      <c r="GZ18" s="47" t="n">
        <v>555.563333333333</v>
      </c>
      <c r="HA18" s="47" t="n">
        <v>703.106666666667</v>
      </c>
      <c r="HB18" s="47" t="n">
        <v>703.106666666667</v>
      </c>
      <c r="HC18" s="47" t="n">
        <v>703.106666666667</v>
      </c>
      <c r="HD18" s="47" t="n">
        <v>703.106666666667</v>
      </c>
      <c r="HE18" s="47" t="n">
        <v>703.106666666667</v>
      </c>
      <c r="HF18" s="47" t="n">
        <v>703.106666666667</v>
      </c>
      <c r="HG18" s="47" t="n">
        <v>703.106666666667</v>
      </c>
      <c r="HH18" s="47" t="n">
        <v>703.106666666667</v>
      </c>
      <c r="HI18" s="48" t="n">
        <v>703.106666666667</v>
      </c>
      <c r="HJ18" s="47" t="n">
        <v>703.106666666667</v>
      </c>
      <c r="HK18" s="47" t="n">
        <v>703.106666666667</v>
      </c>
      <c r="HL18" s="47" t="n">
        <v>703.106666666667</v>
      </c>
      <c r="HM18" s="47" t="n">
        <v>703.106666666667</v>
      </c>
      <c r="HN18" s="47" t="n">
        <v>703.106666666667</v>
      </c>
      <c r="HO18" s="47" t="n">
        <v>703.106666666667</v>
      </c>
      <c r="HP18" s="47" t="n">
        <v>703.106666666667</v>
      </c>
      <c r="HQ18" s="47" t="n">
        <v>703.106666666667</v>
      </c>
      <c r="HS18" s="47" t="n">
        <v>0</v>
      </c>
      <c r="HT18" s="47" t="n">
        <v>0</v>
      </c>
      <c r="HU18" s="47" t="n">
        <v>0</v>
      </c>
      <c r="HV18" s="47" t="n">
        <v>0</v>
      </c>
      <c r="HW18" s="47" t="n">
        <v>0</v>
      </c>
      <c r="HX18" s="47" t="n">
        <v>0</v>
      </c>
      <c r="HY18" s="47" t="n">
        <v>0</v>
      </c>
      <c r="HZ18" s="47" t="n">
        <v>0</v>
      </c>
      <c r="IA18" s="47" t="n">
        <v>0</v>
      </c>
      <c r="IB18" s="47" t="n">
        <v>0</v>
      </c>
      <c r="IC18" s="47" t="n">
        <v>0</v>
      </c>
      <c r="ID18" s="47" t="n">
        <v>0</v>
      </c>
      <c r="IE18" s="47" t="n">
        <v>0</v>
      </c>
      <c r="IF18" s="47" t="n">
        <v>0</v>
      </c>
      <c r="IG18" s="47" t="n">
        <v>0</v>
      </c>
      <c r="IH18" s="47" t="n">
        <v>0</v>
      </c>
      <c r="II18" s="47" t="n">
        <v>0</v>
      </c>
      <c r="IJ18" s="47" t="n">
        <v>0</v>
      </c>
      <c r="IK18" s="47" t="n">
        <v>0</v>
      </c>
      <c r="IL18" s="47" t="n">
        <v>104.166666666667</v>
      </c>
      <c r="IM18" s="47" t="n">
        <v>104.166666666667</v>
      </c>
      <c r="IN18" s="47" t="n">
        <v>104.166666666667</v>
      </c>
      <c r="IO18" s="47" t="n">
        <v>104.166666666667</v>
      </c>
      <c r="IP18" s="47" t="n">
        <v>104.166666666667</v>
      </c>
      <c r="IQ18" s="47" t="n">
        <v>104.166666666667</v>
      </c>
      <c r="IR18" s="47" t="n">
        <v>104.166666666667</v>
      </c>
      <c r="IS18" s="47" t="n">
        <v>104.166666666667</v>
      </c>
      <c r="IT18" s="47" t="n">
        <v>104.166666666667</v>
      </c>
      <c r="IU18" s="47" t="n">
        <v>104.166666666667</v>
      </c>
      <c r="IV18" s="47" t="n">
        <v>104.166666666667</v>
      </c>
      <c r="IW18" s="47" t="n">
        <v>104.166666666667</v>
      </c>
      <c r="IX18" s="47" t="n">
        <v>104.166666666667</v>
      </c>
      <c r="IY18" s="47" t="n">
        <v>104.166666666667</v>
      </c>
      <c r="IZ18" s="47" t="n">
        <v>104.166666666667</v>
      </c>
      <c r="JA18" s="47" t="n">
        <v>104.166666666667</v>
      </c>
      <c r="JB18" s="47" t="n">
        <v>104.166666666667</v>
      </c>
      <c r="JC18" s="47" t="n">
        <v>104.166666666667</v>
      </c>
      <c r="JD18" s="47" t="n">
        <v>104.166666666667</v>
      </c>
      <c r="JE18" s="47" t="n">
        <v>104.166666666667</v>
      </c>
      <c r="JF18" s="47" t="n">
        <v>104.166666666667</v>
      </c>
      <c r="JG18" s="47" t="n">
        <v>104.166666666667</v>
      </c>
      <c r="JH18" s="47" t="n">
        <v>104.166666666667</v>
      </c>
      <c r="JI18" s="47" t="n">
        <v>104.166666666667</v>
      </c>
      <c r="JJ18" s="47" t="n">
        <v>34.7233333333333</v>
      </c>
      <c r="JK18" s="47" t="n">
        <v>34.7233333333333</v>
      </c>
      <c r="JL18" s="47" t="n">
        <v>34.7233333333333</v>
      </c>
      <c r="JM18" s="47" t="n">
        <v>34.7233333333333</v>
      </c>
      <c r="JN18" s="47" t="n">
        <v>34.7233333333333</v>
      </c>
      <c r="JO18" s="47" t="n">
        <v>34.7233333333333</v>
      </c>
      <c r="JP18" s="47" t="n">
        <v>34.7233333333333</v>
      </c>
      <c r="JQ18" s="47" t="n">
        <v>34.7233333333333</v>
      </c>
      <c r="JR18" s="47" t="n">
        <v>451.393333333333</v>
      </c>
      <c r="JS18" s="47" t="n">
        <v>555.563333333333</v>
      </c>
      <c r="JT18" s="47" t="n">
        <v>555.563333333333</v>
      </c>
      <c r="JU18" s="47" t="n">
        <v>555.563333333333</v>
      </c>
      <c r="JV18" s="47" t="n">
        <v>703.106666666667</v>
      </c>
      <c r="JW18" s="47" t="n">
        <v>703.106666666667</v>
      </c>
      <c r="JX18" s="47" t="n">
        <v>703.106666666667</v>
      </c>
      <c r="JY18" s="47" t="n">
        <v>703.106666666667</v>
      </c>
      <c r="JZ18" s="47" t="n">
        <v>703.106666666667</v>
      </c>
      <c r="KA18" s="47" t="n">
        <v>703.106666666667</v>
      </c>
      <c r="KB18" s="47" t="n">
        <v>703.106666666667</v>
      </c>
      <c r="KC18" s="47" t="n">
        <v>703.106666666667</v>
      </c>
      <c r="KD18" s="48" t="n">
        <v>703.106666666667</v>
      </c>
      <c r="KE18" s="47" t="n">
        <v>703.106666666667</v>
      </c>
      <c r="KF18" s="47" t="n">
        <v>703.106666666667</v>
      </c>
      <c r="KG18" s="47" t="n">
        <v>703.106666666667</v>
      </c>
      <c r="KH18" s="47" t="n">
        <v>703.106666666667</v>
      </c>
      <c r="KI18" s="47" t="n">
        <v>703.106666666667</v>
      </c>
      <c r="KJ18" s="47" t="n">
        <v>703.106666666667</v>
      </c>
      <c r="KK18" s="47" t="n">
        <v>703.106666666667</v>
      </c>
      <c r="KL18" s="47" t="n">
        <v>703.106666666667</v>
      </c>
    </row>
    <row r="19" customFormat="false" ht="15.75" hidden="false" customHeight="true" outlineLevel="0" collapsed="false">
      <c r="A19" s="35" t="s">
        <v>189</v>
      </c>
      <c r="B19" s="35" t="s">
        <v>190</v>
      </c>
      <c r="C19" s="35" t="s">
        <v>164</v>
      </c>
      <c r="D19" s="35" t="s">
        <v>191</v>
      </c>
      <c r="E19" s="35" t="s">
        <v>174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  <c r="AK19" s="44" t="n">
        <v>0</v>
      </c>
      <c r="AL19" s="44" t="n">
        <v>0</v>
      </c>
      <c r="AM19" s="44" t="n">
        <v>0</v>
      </c>
      <c r="AN19" s="44" t="n">
        <v>0</v>
      </c>
      <c r="AO19" s="44" t="n">
        <v>0</v>
      </c>
      <c r="AP19" s="44" t="n">
        <v>0</v>
      </c>
      <c r="AQ19" s="44" t="n">
        <v>0</v>
      </c>
      <c r="AR19" s="44" t="n">
        <v>0</v>
      </c>
      <c r="AS19" s="44" t="n">
        <v>0</v>
      </c>
      <c r="AT19" s="44" t="n">
        <v>0</v>
      </c>
      <c r="AU19" s="44" t="n">
        <v>0</v>
      </c>
      <c r="AV19" s="44" t="n">
        <v>0</v>
      </c>
      <c r="AW19" s="44" t="n">
        <v>0</v>
      </c>
      <c r="AX19" s="44" t="n">
        <v>0</v>
      </c>
      <c r="AY19" s="44" t="n">
        <v>0</v>
      </c>
      <c r="AZ19" s="44" t="n">
        <v>0</v>
      </c>
      <c r="BA19" s="44" t="n">
        <v>0</v>
      </c>
      <c r="BB19" s="44" t="n">
        <v>0</v>
      </c>
      <c r="BC19" s="44" t="n">
        <v>0</v>
      </c>
      <c r="BD19" s="44" t="n">
        <v>0</v>
      </c>
      <c r="BE19" s="44" t="n">
        <v>125</v>
      </c>
      <c r="BF19" s="44" t="n">
        <v>125</v>
      </c>
      <c r="BG19" s="44" t="n">
        <v>125</v>
      </c>
      <c r="BH19" s="44" t="n">
        <v>125</v>
      </c>
      <c r="BI19" s="44" t="n">
        <v>125</v>
      </c>
      <c r="BJ19" s="44" t="n">
        <v>125</v>
      </c>
      <c r="BK19" s="44" t="n">
        <v>125</v>
      </c>
      <c r="BL19" s="44" t="n">
        <v>125</v>
      </c>
      <c r="BM19" s="44" t="n">
        <v>125</v>
      </c>
      <c r="BN19" s="44" t="n">
        <v>125</v>
      </c>
      <c r="BO19" s="44" t="n">
        <v>125</v>
      </c>
      <c r="BP19" s="44" t="n">
        <v>125</v>
      </c>
      <c r="BQ19" s="44" t="n">
        <v>0</v>
      </c>
      <c r="BR19" s="45" t="n">
        <v>0</v>
      </c>
      <c r="BS19" s="46" t="n">
        <v>0</v>
      </c>
      <c r="BT19" s="46" t="n">
        <v>0</v>
      </c>
      <c r="BU19" s="46" t="n">
        <v>0</v>
      </c>
      <c r="BV19" s="46" t="n">
        <v>0</v>
      </c>
      <c r="BW19" s="46" t="n">
        <v>0</v>
      </c>
      <c r="BX19" s="46" t="n">
        <v>0</v>
      </c>
      <c r="BY19" s="46" t="n">
        <v>0</v>
      </c>
      <c r="BZ19" s="46" t="n">
        <v>0</v>
      </c>
      <c r="EX19" s="47" t="n">
        <v>0</v>
      </c>
      <c r="EY19" s="47" t="n">
        <v>0</v>
      </c>
      <c r="EZ19" s="47" t="n">
        <v>0</v>
      </c>
      <c r="FA19" s="47" t="n">
        <v>0</v>
      </c>
      <c r="FB19" s="47" t="n">
        <v>0</v>
      </c>
      <c r="FC19" s="47" t="n">
        <v>0</v>
      </c>
      <c r="FD19" s="47" t="n">
        <v>0</v>
      </c>
      <c r="FE19" s="47" t="n">
        <v>0</v>
      </c>
      <c r="FF19" s="47" t="n">
        <v>0</v>
      </c>
      <c r="FG19" s="47" t="n">
        <v>0</v>
      </c>
      <c r="FH19" s="47" t="n">
        <v>0</v>
      </c>
      <c r="FI19" s="47" t="n">
        <v>0</v>
      </c>
      <c r="FJ19" s="47" t="n">
        <v>0</v>
      </c>
      <c r="FK19" s="47" t="n">
        <v>0</v>
      </c>
      <c r="FL19" s="47" t="n">
        <v>0</v>
      </c>
      <c r="FM19" s="47" t="n">
        <v>0</v>
      </c>
      <c r="FN19" s="47" t="n">
        <v>0</v>
      </c>
      <c r="FO19" s="47" t="n">
        <v>0</v>
      </c>
      <c r="FP19" s="47" t="n">
        <v>0</v>
      </c>
      <c r="FQ19" s="47" t="n">
        <v>0</v>
      </c>
      <c r="FR19" s="47" t="n">
        <v>0</v>
      </c>
      <c r="FS19" s="47" t="n">
        <v>0</v>
      </c>
      <c r="FT19" s="47" t="n">
        <v>0</v>
      </c>
      <c r="FU19" s="47" t="n">
        <v>0</v>
      </c>
      <c r="FV19" s="47" t="n">
        <v>0</v>
      </c>
      <c r="FW19" s="47" t="n">
        <v>0</v>
      </c>
      <c r="FX19" s="47" t="n">
        <v>0</v>
      </c>
      <c r="FY19" s="47" t="n">
        <v>0</v>
      </c>
      <c r="FZ19" s="47" t="n">
        <v>0</v>
      </c>
      <c r="GA19" s="47" t="n">
        <v>0</v>
      </c>
      <c r="GB19" s="47" t="n">
        <v>0</v>
      </c>
      <c r="GC19" s="47" t="n">
        <v>0</v>
      </c>
      <c r="GD19" s="47" t="n">
        <v>0</v>
      </c>
      <c r="GE19" s="47" t="n">
        <v>0</v>
      </c>
      <c r="GF19" s="47" t="n">
        <v>0</v>
      </c>
      <c r="GG19" s="47" t="n">
        <v>0</v>
      </c>
      <c r="GH19" s="47" t="n">
        <v>0</v>
      </c>
      <c r="GI19" s="47" t="n">
        <v>0</v>
      </c>
      <c r="GJ19" s="47" t="n">
        <v>0</v>
      </c>
      <c r="GK19" s="47" t="n">
        <v>0</v>
      </c>
      <c r="GL19" s="47" t="n">
        <v>0</v>
      </c>
      <c r="GM19" s="47" t="n">
        <v>0</v>
      </c>
      <c r="GN19" s="47" t="n">
        <v>0</v>
      </c>
      <c r="GO19" s="47" t="n">
        <v>0</v>
      </c>
      <c r="GP19" s="47" t="n">
        <v>0</v>
      </c>
      <c r="GQ19" s="47" t="n">
        <v>0</v>
      </c>
      <c r="GR19" s="47" t="n">
        <v>0</v>
      </c>
      <c r="GS19" s="47" t="n">
        <v>0</v>
      </c>
      <c r="GT19" s="47" t="n">
        <v>0</v>
      </c>
      <c r="GU19" s="47" t="n">
        <v>0</v>
      </c>
      <c r="GV19" s="47" t="n">
        <v>125</v>
      </c>
      <c r="GW19" s="47" t="n">
        <v>125</v>
      </c>
      <c r="GX19" s="47" t="n">
        <v>125</v>
      </c>
      <c r="GY19" s="47" t="n">
        <v>125</v>
      </c>
      <c r="GZ19" s="47" t="n">
        <v>125</v>
      </c>
      <c r="HA19" s="47" t="n">
        <v>125</v>
      </c>
      <c r="HB19" s="47" t="n">
        <v>125</v>
      </c>
      <c r="HC19" s="47" t="n">
        <v>125</v>
      </c>
      <c r="HD19" s="47" t="n">
        <v>125</v>
      </c>
      <c r="HE19" s="47" t="n">
        <v>125</v>
      </c>
      <c r="HF19" s="47" t="n">
        <v>125</v>
      </c>
      <c r="HG19" s="47" t="n">
        <v>125</v>
      </c>
      <c r="HH19" s="47" t="n">
        <v>0</v>
      </c>
      <c r="HI19" s="48" t="n">
        <v>0</v>
      </c>
      <c r="HJ19" s="47" t="n">
        <v>0</v>
      </c>
      <c r="HK19" s="47" t="n">
        <v>0</v>
      </c>
      <c r="HL19" s="47" t="n">
        <v>0</v>
      </c>
      <c r="HM19" s="47" t="n">
        <v>0</v>
      </c>
      <c r="HN19" s="47" t="n">
        <v>0</v>
      </c>
      <c r="HO19" s="47" t="n">
        <v>0</v>
      </c>
      <c r="HP19" s="47" t="n">
        <v>0</v>
      </c>
      <c r="HQ19" s="47" t="n">
        <v>0</v>
      </c>
      <c r="HS19" s="47" t="n">
        <v>0</v>
      </c>
      <c r="HT19" s="47" t="n">
        <v>0</v>
      </c>
      <c r="HU19" s="47" t="n">
        <v>0</v>
      </c>
      <c r="HV19" s="47" t="n">
        <v>0</v>
      </c>
      <c r="HW19" s="47" t="n">
        <v>0</v>
      </c>
      <c r="HX19" s="47" t="n">
        <v>0</v>
      </c>
      <c r="HY19" s="47" t="n">
        <v>0</v>
      </c>
      <c r="HZ19" s="47" t="n">
        <v>0</v>
      </c>
      <c r="IA19" s="47" t="n">
        <v>0</v>
      </c>
      <c r="IB19" s="47" t="n">
        <v>0</v>
      </c>
      <c r="IC19" s="47" t="n">
        <v>0</v>
      </c>
      <c r="ID19" s="47" t="n">
        <v>0</v>
      </c>
      <c r="IE19" s="47" t="n">
        <v>0</v>
      </c>
      <c r="IF19" s="47" t="n">
        <v>0</v>
      </c>
      <c r="IG19" s="47" t="n">
        <v>0</v>
      </c>
      <c r="IH19" s="47" t="n">
        <v>0</v>
      </c>
      <c r="II19" s="47" t="n">
        <v>0</v>
      </c>
      <c r="IJ19" s="47" t="n">
        <v>0</v>
      </c>
      <c r="IK19" s="47" t="n">
        <v>0</v>
      </c>
      <c r="IL19" s="47" t="n">
        <v>0</v>
      </c>
      <c r="IM19" s="47" t="n">
        <v>0</v>
      </c>
      <c r="IN19" s="47" t="n">
        <v>0</v>
      </c>
      <c r="IO19" s="47" t="n">
        <v>0</v>
      </c>
      <c r="IP19" s="47" t="n">
        <v>0</v>
      </c>
      <c r="IQ19" s="47" t="n">
        <v>0</v>
      </c>
      <c r="IR19" s="47" t="n">
        <v>0</v>
      </c>
      <c r="IS19" s="47" t="n">
        <v>0</v>
      </c>
      <c r="IT19" s="47" t="n">
        <v>0</v>
      </c>
      <c r="IU19" s="47" t="n">
        <v>0</v>
      </c>
      <c r="IV19" s="47" t="n">
        <v>0</v>
      </c>
      <c r="IW19" s="47" t="n">
        <v>0</v>
      </c>
      <c r="IX19" s="47" t="n">
        <v>0</v>
      </c>
      <c r="IY19" s="47" t="n">
        <v>0</v>
      </c>
      <c r="IZ19" s="47" t="n">
        <v>0</v>
      </c>
      <c r="JA19" s="47" t="n">
        <v>0</v>
      </c>
      <c r="JB19" s="47" t="n">
        <v>0</v>
      </c>
      <c r="JC19" s="47" t="n">
        <v>0</v>
      </c>
      <c r="JD19" s="47" t="n">
        <v>0</v>
      </c>
      <c r="JE19" s="47" t="n">
        <v>0</v>
      </c>
      <c r="JF19" s="47" t="n">
        <v>0</v>
      </c>
      <c r="JG19" s="47" t="n">
        <v>0</v>
      </c>
      <c r="JH19" s="47" t="n">
        <v>0</v>
      </c>
      <c r="JI19" s="47" t="n">
        <v>0</v>
      </c>
      <c r="JJ19" s="47" t="n">
        <v>0</v>
      </c>
      <c r="JK19" s="47" t="n">
        <v>0</v>
      </c>
      <c r="JL19" s="47" t="n">
        <v>0</v>
      </c>
      <c r="JM19" s="47" t="n">
        <v>0</v>
      </c>
      <c r="JN19" s="47" t="n">
        <v>0</v>
      </c>
      <c r="JO19" s="47" t="n">
        <v>0</v>
      </c>
      <c r="JP19" s="47" t="n">
        <v>0</v>
      </c>
      <c r="JQ19" s="47" t="n">
        <v>125</v>
      </c>
      <c r="JR19" s="47" t="n">
        <v>125</v>
      </c>
      <c r="JS19" s="47" t="n">
        <v>125</v>
      </c>
      <c r="JT19" s="47" t="n">
        <v>125</v>
      </c>
      <c r="JU19" s="47" t="n">
        <v>125</v>
      </c>
      <c r="JV19" s="47" t="n">
        <v>125</v>
      </c>
      <c r="JW19" s="47" t="n">
        <v>125</v>
      </c>
      <c r="JX19" s="47" t="n">
        <v>125</v>
      </c>
      <c r="JY19" s="47" t="n">
        <v>125</v>
      </c>
      <c r="JZ19" s="47" t="n">
        <v>125</v>
      </c>
      <c r="KA19" s="47" t="n">
        <v>125</v>
      </c>
      <c r="KB19" s="47" t="n">
        <v>125</v>
      </c>
      <c r="KC19" s="47" t="n">
        <v>0</v>
      </c>
      <c r="KD19" s="48" t="n">
        <v>0</v>
      </c>
      <c r="KE19" s="47" t="n">
        <v>0</v>
      </c>
      <c r="KF19" s="47" t="n">
        <v>0</v>
      </c>
      <c r="KG19" s="47" t="n">
        <v>0</v>
      </c>
      <c r="KH19" s="47" t="n">
        <v>0</v>
      </c>
      <c r="KI19" s="47" t="n">
        <v>0</v>
      </c>
      <c r="KJ19" s="47" t="n">
        <v>0</v>
      </c>
      <c r="KK19" s="47" t="n">
        <v>0</v>
      </c>
      <c r="KL19" s="47" t="n">
        <v>0</v>
      </c>
    </row>
    <row r="20" customFormat="false" ht="15.75" hidden="false" customHeight="true" outlineLevel="0" collapsed="false">
      <c r="A20" s="35" t="s">
        <v>192</v>
      </c>
      <c r="B20" s="35" t="s">
        <v>193</v>
      </c>
      <c r="C20" s="35" t="s">
        <v>164</v>
      </c>
      <c r="D20" s="35" t="s">
        <v>191</v>
      </c>
      <c r="E20" s="35" t="s">
        <v>174</v>
      </c>
      <c r="G20" s="44" t="n">
        <v>3600.04833333333</v>
      </c>
      <c r="H20" s="44" t="n">
        <v>3600.04833333333</v>
      </c>
      <c r="I20" s="44" t="n">
        <v>3600.04833333333</v>
      </c>
      <c r="J20" s="44" t="n">
        <v>3600.04833333333</v>
      </c>
      <c r="K20" s="44" t="n">
        <v>3600.04833333333</v>
      </c>
      <c r="L20" s="44" t="n">
        <v>3600.04833333333</v>
      </c>
      <c r="M20" s="44" t="n">
        <v>3600.04833333333</v>
      </c>
      <c r="N20" s="44" t="n">
        <v>3600.04833333333</v>
      </c>
      <c r="O20" s="44" t="n">
        <v>3600.04833333333</v>
      </c>
      <c r="P20" s="44" t="n">
        <v>3600.04833333333</v>
      </c>
      <c r="Q20" s="44" t="n">
        <v>3600.04833333333</v>
      </c>
      <c r="R20" s="44" t="n">
        <v>487.083333333333</v>
      </c>
      <c r="S20" s="44" t="n">
        <v>487.083333333333</v>
      </c>
      <c r="T20" s="44" t="n">
        <v>487.083333333333</v>
      </c>
      <c r="U20" s="44" t="n">
        <v>487.083333333333</v>
      </c>
      <c r="V20" s="44" t="n">
        <v>487.083333333333</v>
      </c>
      <c r="W20" s="44" t="n">
        <v>487.083333333333</v>
      </c>
      <c r="X20" s="44" t="n">
        <v>487.083333333333</v>
      </c>
      <c r="Y20" s="44" t="n">
        <v>487.083333333333</v>
      </c>
      <c r="Z20" s="44" t="n">
        <v>487.083333333333</v>
      </c>
      <c r="AA20" s="44" t="n">
        <v>487.083333333333</v>
      </c>
      <c r="AB20" s="44" t="n">
        <v>487.083333333333</v>
      </c>
      <c r="AC20" s="44" t="n">
        <v>487.083333333333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44" t="n">
        <v>0</v>
      </c>
      <c r="AK20" s="44" t="n">
        <v>0</v>
      </c>
      <c r="AL20" s="44" t="n">
        <v>0</v>
      </c>
      <c r="AM20" s="44" t="n">
        <v>0</v>
      </c>
      <c r="AN20" s="44" t="n">
        <v>0</v>
      </c>
      <c r="AO20" s="44" t="n">
        <v>0</v>
      </c>
      <c r="AP20" s="44" t="n">
        <v>0</v>
      </c>
      <c r="BS20" s="46" t="n">
        <v>0</v>
      </c>
      <c r="BT20" s="46" t="n">
        <v>0</v>
      </c>
      <c r="BU20" s="46" t="n">
        <v>0</v>
      </c>
      <c r="BV20" s="46" t="n">
        <v>0</v>
      </c>
      <c r="BW20" s="46" t="n">
        <v>0</v>
      </c>
      <c r="BX20" s="46" t="n">
        <v>0</v>
      </c>
      <c r="BY20" s="46" t="n">
        <v>0</v>
      </c>
      <c r="BZ20" s="46" t="n">
        <v>0</v>
      </c>
      <c r="EX20" s="47" t="n">
        <v>3600.04833333333</v>
      </c>
      <c r="EY20" s="47" t="n">
        <v>3600.04833333333</v>
      </c>
      <c r="EZ20" s="47" t="n">
        <v>3600.04833333333</v>
      </c>
      <c r="FA20" s="47" t="n">
        <v>3600.04833333333</v>
      </c>
      <c r="FB20" s="47" t="n">
        <v>3600.04833333333</v>
      </c>
      <c r="FC20" s="47" t="n">
        <v>3600.04833333333</v>
      </c>
      <c r="FD20" s="47" t="n">
        <v>3600.04833333333</v>
      </c>
      <c r="FE20" s="47" t="n">
        <v>3600.04833333333</v>
      </c>
      <c r="FF20" s="47" t="n">
        <v>3600.04833333333</v>
      </c>
      <c r="FG20" s="47" t="n">
        <v>3600.04833333333</v>
      </c>
      <c r="FH20" s="47" t="n">
        <v>3600.04833333333</v>
      </c>
      <c r="FI20" s="47" t="n">
        <v>487.083333333333</v>
      </c>
      <c r="FJ20" s="47" t="n">
        <v>487.083333333333</v>
      </c>
      <c r="FK20" s="47" t="n">
        <v>487.083333333333</v>
      </c>
      <c r="FL20" s="47" t="n">
        <v>487.083333333333</v>
      </c>
      <c r="FM20" s="47" t="n">
        <v>487.083333333333</v>
      </c>
      <c r="FN20" s="47" t="n">
        <v>487.083333333333</v>
      </c>
      <c r="FO20" s="47" t="n">
        <v>487.083333333333</v>
      </c>
      <c r="FP20" s="47" t="n">
        <v>487.083333333333</v>
      </c>
      <c r="FQ20" s="47" t="n">
        <v>487.083333333333</v>
      </c>
      <c r="FR20" s="47" t="n">
        <v>487.083333333333</v>
      </c>
      <c r="FS20" s="47" t="n">
        <v>487.083333333333</v>
      </c>
      <c r="FT20" s="47" t="n">
        <v>487.083333333333</v>
      </c>
      <c r="FU20" s="47" t="n">
        <v>0</v>
      </c>
      <c r="FV20" s="47" t="n">
        <v>0</v>
      </c>
      <c r="FW20" s="47" t="n">
        <v>0</v>
      </c>
      <c r="FX20" s="47" t="n">
        <v>0</v>
      </c>
      <c r="FY20" s="47" t="n">
        <v>0</v>
      </c>
      <c r="FZ20" s="47" t="n">
        <v>0</v>
      </c>
      <c r="GA20" s="47" t="n">
        <v>0</v>
      </c>
      <c r="GB20" s="47" t="n">
        <v>0</v>
      </c>
      <c r="GC20" s="47" t="n">
        <v>0</v>
      </c>
      <c r="GD20" s="47" t="n">
        <v>0</v>
      </c>
      <c r="GE20" s="47" t="n">
        <v>0</v>
      </c>
      <c r="GF20" s="47" t="n">
        <v>0</v>
      </c>
      <c r="GG20" s="47" t="n">
        <v>0</v>
      </c>
      <c r="GH20" s="47" t="n">
        <v>0</v>
      </c>
      <c r="GI20" s="47" t="n">
        <v>0</v>
      </c>
      <c r="GJ20" s="47" t="n">
        <v>0</v>
      </c>
      <c r="GK20" s="47" t="n">
        <v>0</v>
      </c>
      <c r="GL20" s="47" t="n">
        <v>0</v>
      </c>
      <c r="GM20" s="47" t="n">
        <v>0</v>
      </c>
      <c r="GN20" s="47" t="n">
        <v>0</v>
      </c>
      <c r="GO20" s="47" t="n">
        <v>0</v>
      </c>
      <c r="GP20" s="47" t="n">
        <v>0</v>
      </c>
      <c r="GQ20" s="47" t="n">
        <v>0</v>
      </c>
      <c r="GR20" s="47" t="n">
        <v>0</v>
      </c>
      <c r="GS20" s="47" t="n">
        <v>0</v>
      </c>
      <c r="GT20" s="47" t="n">
        <v>0</v>
      </c>
      <c r="GU20" s="47" t="n">
        <v>0</v>
      </c>
      <c r="GV20" s="47" t="n">
        <v>0</v>
      </c>
      <c r="GW20" s="47" t="n">
        <v>0</v>
      </c>
      <c r="GX20" s="47" t="n">
        <v>0</v>
      </c>
      <c r="GY20" s="47" t="n">
        <v>0</v>
      </c>
      <c r="GZ20" s="47" t="n">
        <v>0</v>
      </c>
      <c r="HA20" s="47" t="n">
        <v>0</v>
      </c>
      <c r="HB20" s="47" t="n">
        <v>0</v>
      </c>
      <c r="HC20" s="47" t="n">
        <v>0</v>
      </c>
      <c r="HD20" s="47" t="n">
        <v>0</v>
      </c>
      <c r="HE20" s="47" t="n">
        <v>0</v>
      </c>
      <c r="HF20" s="47" t="n">
        <v>0</v>
      </c>
      <c r="HG20" s="47" t="n">
        <v>0</v>
      </c>
      <c r="HH20" s="47" t="n">
        <v>0</v>
      </c>
      <c r="HI20" s="48" t="n">
        <v>0</v>
      </c>
      <c r="HJ20" s="47" t="n">
        <v>0</v>
      </c>
      <c r="HK20" s="47" t="n">
        <v>0</v>
      </c>
      <c r="HL20" s="47" t="n">
        <v>0</v>
      </c>
      <c r="HM20" s="47" t="n">
        <v>0</v>
      </c>
      <c r="HN20" s="47" t="n">
        <v>0</v>
      </c>
      <c r="HO20" s="47" t="n">
        <v>0</v>
      </c>
      <c r="HP20" s="47" t="n">
        <v>0</v>
      </c>
      <c r="HQ20" s="47" t="n">
        <v>0</v>
      </c>
      <c r="HS20" s="47" t="n">
        <v>3600.04833333333</v>
      </c>
      <c r="HT20" s="47" t="n">
        <v>3600.04833333333</v>
      </c>
      <c r="HU20" s="47" t="n">
        <v>3600.04833333333</v>
      </c>
      <c r="HV20" s="47" t="n">
        <v>3600.04833333333</v>
      </c>
      <c r="HW20" s="47" t="n">
        <v>3600.04833333333</v>
      </c>
      <c r="HX20" s="47" t="n">
        <v>3600.04833333333</v>
      </c>
      <c r="HY20" s="47" t="n">
        <v>3600.04833333333</v>
      </c>
      <c r="HZ20" s="47" t="n">
        <v>3600.04833333333</v>
      </c>
      <c r="IA20" s="47" t="n">
        <v>3600.04833333333</v>
      </c>
      <c r="IB20" s="47" t="n">
        <v>3600.04833333333</v>
      </c>
      <c r="IC20" s="47" t="n">
        <v>3600.04833333333</v>
      </c>
      <c r="ID20" s="47" t="n">
        <v>487.083333333333</v>
      </c>
      <c r="IE20" s="47" t="n">
        <v>487.083333333333</v>
      </c>
      <c r="IF20" s="47" t="n">
        <v>487.083333333333</v>
      </c>
      <c r="IG20" s="47" t="n">
        <v>487.083333333333</v>
      </c>
      <c r="IH20" s="47" t="n">
        <v>487.083333333333</v>
      </c>
      <c r="II20" s="47" t="n">
        <v>487.083333333333</v>
      </c>
      <c r="IJ20" s="47" t="n">
        <v>487.083333333333</v>
      </c>
      <c r="IK20" s="47" t="n">
        <v>487.083333333333</v>
      </c>
      <c r="IL20" s="47" t="n">
        <v>487.083333333333</v>
      </c>
      <c r="IM20" s="47" t="n">
        <v>487.083333333333</v>
      </c>
      <c r="IN20" s="47" t="n">
        <v>487.083333333333</v>
      </c>
      <c r="IO20" s="47" t="n">
        <v>487.083333333333</v>
      </c>
      <c r="IP20" s="47" t="n">
        <v>0</v>
      </c>
      <c r="IQ20" s="47" t="n">
        <v>0</v>
      </c>
      <c r="IR20" s="47" t="n">
        <v>0</v>
      </c>
      <c r="IS20" s="47" t="n">
        <v>0</v>
      </c>
      <c r="IT20" s="47" t="n">
        <v>0</v>
      </c>
      <c r="IU20" s="47" t="n">
        <v>0</v>
      </c>
      <c r="IV20" s="47" t="n">
        <v>0</v>
      </c>
      <c r="IW20" s="47" t="n">
        <v>0</v>
      </c>
      <c r="IX20" s="47" t="n">
        <v>0</v>
      </c>
      <c r="IY20" s="47" t="n">
        <v>0</v>
      </c>
      <c r="IZ20" s="47" t="n">
        <v>0</v>
      </c>
      <c r="JA20" s="47" t="n">
        <v>0</v>
      </c>
      <c r="JB20" s="47" t="n">
        <v>0</v>
      </c>
      <c r="JC20" s="47" t="n">
        <v>0</v>
      </c>
      <c r="JD20" s="47" t="n">
        <v>0</v>
      </c>
      <c r="JE20" s="47" t="n">
        <v>0</v>
      </c>
      <c r="JF20" s="47" t="n">
        <v>0</v>
      </c>
      <c r="JG20" s="47" t="n">
        <v>0</v>
      </c>
      <c r="JH20" s="47" t="n">
        <v>0</v>
      </c>
      <c r="JI20" s="47" t="n">
        <v>0</v>
      </c>
      <c r="JJ20" s="47" t="n">
        <v>0</v>
      </c>
      <c r="JK20" s="47" t="n">
        <v>0</v>
      </c>
      <c r="JL20" s="47" t="n">
        <v>0</v>
      </c>
      <c r="JM20" s="47" t="n">
        <v>0</v>
      </c>
      <c r="JN20" s="47" t="n">
        <v>0</v>
      </c>
      <c r="JO20" s="47" t="n">
        <v>0</v>
      </c>
      <c r="JP20" s="47" t="n">
        <v>0</v>
      </c>
      <c r="JQ20" s="47" t="n">
        <v>0</v>
      </c>
      <c r="JR20" s="47" t="n">
        <v>0</v>
      </c>
      <c r="JS20" s="47" t="n">
        <v>0</v>
      </c>
      <c r="JT20" s="47" t="n">
        <v>0</v>
      </c>
      <c r="JU20" s="47" t="n">
        <v>0</v>
      </c>
      <c r="JV20" s="47" t="n">
        <v>0</v>
      </c>
      <c r="JW20" s="47" t="n">
        <v>0</v>
      </c>
      <c r="JX20" s="47" t="n">
        <v>0</v>
      </c>
      <c r="JY20" s="47" t="n">
        <v>0</v>
      </c>
      <c r="JZ20" s="47" t="n">
        <v>0</v>
      </c>
      <c r="KA20" s="47" t="n">
        <v>0</v>
      </c>
      <c r="KB20" s="47" t="n">
        <v>0</v>
      </c>
      <c r="KC20" s="47" t="n">
        <v>0</v>
      </c>
      <c r="KD20" s="48" t="n">
        <v>0</v>
      </c>
      <c r="KE20" s="47" t="n">
        <v>0</v>
      </c>
      <c r="KF20" s="47" t="n">
        <v>0</v>
      </c>
      <c r="KG20" s="47" t="n">
        <v>0</v>
      </c>
      <c r="KH20" s="47" t="n">
        <v>0</v>
      </c>
      <c r="KI20" s="47" t="n">
        <v>0</v>
      </c>
      <c r="KJ20" s="47" t="n">
        <v>0</v>
      </c>
      <c r="KK20" s="47" t="n">
        <v>0</v>
      </c>
      <c r="KL20" s="47" t="n">
        <v>0</v>
      </c>
    </row>
    <row r="21" customFormat="false" ht="15.75" hidden="false" customHeight="true" outlineLevel="0" collapsed="false">
      <c r="A21" s="35" t="s">
        <v>194</v>
      </c>
      <c r="B21" s="35" t="s">
        <v>172</v>
      </c>
      <c r="C21" s="35" t="s">
        <v>164</v>
      </c>
      <c r="D21" s="35" t="s">
        <v>173</v>
      </c>
      <c r="E21" s="35" t="s">
        <v>174</v>
      </c>
      <c r="G21" s="44" t="n">
        <v>0</v>
      </c>
      <c r="H21" s="44" t="n">
        <v>0</v>
      </c>
      <c r="I21" s="44" t="n">
        <v>0</v>
      </c>
      <c r="J21" s="44" t="n">
        <v>682</v>
      </c>
      <c r="K21" s="44" t="n">
        <v>682</v>
      </c>
      <c r="L21" s="44" t="n">
        <v>682</v>
      </c>
      <c r="M21" s="44" t="n">
        <v>682</v>
      </c>
      <c r="N21" s="44" t="n">
        <v>8362.75</v>
      </c>
      <c r="O21" s="44" t="n">
        <v>8362.75</v>
      </c>
      <c r="P21" s="44" t="n">
        <v>8362.75</v>
      </c>
      <c r="Q21" s="44" t="n">
        <v>8362.75</v>
      </c>
      <c r="R21" s="44" t="n">
        <v>8362.75</v>
      </c>
      <c r="S21" s="44" t="n">
        <v>8362.75</v>
      </c>
      <c r="T21" s="44" t="n">
        <v>8362.75</v>
      </c>
      <c r="U21" s="44" t="n">
        <v>8362.75</v>
      </c>
      <c r="V21" s="44" t="n">
        <v>0</v>
      </c>
      <c r="W21" s="44" t="n">
        <v>0</v>
      </c>
      <c r="X21" s="44" t="n">
        <v>0</v>
      </c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44" t="n">
        <v>0</v>
      </c>
      <c r="AK21" s="44" t="n">
        <v>0</v>
      </c>
      <c r="AL21" s="44" t="n">
        <v>0</v>
      </c>
      <c r="AM21" s="44" t="n">
        <v>0</v>
      </c>
      <c r="AN21" s="44" t="n">
        <v>0</v>
      </c>
      <c r="AO21" s="44" t="n">
        <v>0</v>
      </c>
      <c r="AP21" s="44" t="n">
        <v>0</v>
      </c>
      <c r="BS21" s="46" t="n">
        <v>0</v>
      </c>
      <c r="BT21" s="46" t="n">
        <v>0</v>
      </c>
      <c r="BU21" s="46" t="n">
        <v>0</v>
      </c>
      <c r="BV21" s="46" t="n">
        <v>0</v>
      </c>
      <c r="BW21" s="46" t="n">
        <v>0</v>
      </c>
      <c r="BX21" s="46" t="n">
        <v>0</v>
      </c>
      <c r="BY21" s="46" t="n">
        <v>0</v>
      </c>
      <c r="BZ21" s="46" t="n">
        <v>0</v>
      </c>
      <c r="EX21" s="47" t="n">
        <v>0</v>
      </c>
      <c r="EY21" s="47" t="n">
        <v>0</v>
      </c>
      <c r="EZ21" s="47" t="n">
        <v>0</v>
      </c>
      <c r="FA21" s="47" t="n">
        <v>682</v>
      </c>
      <c r="FB21" s="47" t="n">
        <v>682</v>
      </c>
      <c r="FC21" s="47" t="n">
        <v>682</v>
      </c>
      <c r="FD21" s="47" t="n">
        <v>682</v>
      </c>
      <c r="FE21" s="47" t="n">
        <v>8362.75</v>
      </c>
      <c r="FF21" s="47" t="n">
        <v>8362.75</v>
      </c>
      <c r="FG21" s="47" t="n">
        <v>8362.75</v>
      </c>
      <c r="FH21" s="47" t="n">
        <v>8362.75</v>
      </c>
      <c r="FI21" s="47" t="n">
        <v>8362.75</v>
      </c>
      <c r="FJ21" s="47" t="n">
        <v>8362.75</v>
      </c>
      <c r="FK21" s="47" t="n">
        <v>8362.75</v>
      </c>
      <c r="FL21" s="47" t="n">
        <v>8362.75</v>
      </c>
      <c r="FM21" s="47" t="n">
        <v>0</v>
      </c>
      <c r="FN21" s="47" t="n">
        <v>0</v>
      </c>
      <c r="FO21" s="47" t="n">
        <v>0</v>
      </c>
      <c r="FP21" s="47" t="n">
        <v>0</v>
      </c>
      <c r="FQ21" s="47" t="n">
        <v>0</v>
      </c>
      <c r="FR21" s="47" t="n">
        <v>0</v>
      </c>
      <c r="FS21" s="47" t="n">
        <v>0</v>
      </c>
      <c r="FT21" s="47" t="n">
        <v>0</v>
      </c>
      <c r="FU21" s="47" t="n">
        <v>0</v>
      </c>
      <c r="FV21" s="47" t="n">
        <v>0</v>
      </c>
      <c r="FW21" s="47" t="n">
        <v>0</v>
      </c>
      <c r="FX21" s="47" t="n">
        <v>0</v>
      </c>
      <c r="FY21" s="47" t="n">
        <v>0</v>
      </c>
      <c r="FZ21" s="47" t="n">
        <v>0</v>
      </c>
      <c r="GA21" s="47" t="n">
        <v>0</v>
      </c>
      <c r="GB21" s="47" t="n">
        <v>0</v>
      </c>
      <c r="GC21" s="47" t="n">
        <v>0</v>
      </c>
      <c r="GD21" s="47" t="n">
        <v>0</v>
      </c>
      <c r="GE21" s="47" t="n">
        <v>0</v>
      </c>
      <c r="GF21" s="47" t="n">
        <v>0</v>
      </c>
      <c r="GG21" s="47" t="n">
        <v>0</v>
      </c>
      <c r="GH21" s="47" t="n">
        <v>0</v>
      </c>
      <c r="GI21" s="47" t="n">
        <v>0</v>
      </c>
      <c r="GJ21" s="47" t="n">
        <v>0</v>
      </c>
      <c r="GK21" s="47" t="n">
        <v>0</v>
      </c>
      <c r="GL21" s="47" t="n">
        <v>0</v>
      </c>
      <c r="GM21" s="47" t="n">
        <v>0</v>
      </c>
      <c r="GN21" s="47" t="n">
        <v>0</v>
      </c>
      <c r="GO21" s="47" t="n">
        <v>0</v>
      </c>
      <c r="GP21" s="47" t="n">
        <v>0</v>
      </c>
      <c r="GQ21" s="47" t="n">
        <v>0</v>
      </c>
      <c r="GR21" s="47" t="n">
        <v>0</v>
      </c>
      <c r="GS21" s="47" t="n">
        <v>0</v>
      </c>
      <c r="GT21" s="47" t="n">
        <v>0</v>
      </c>
      <c r="GU21" s="47" t="n">
        <v>0</v>
      </c>
      <c r="GV21" s="47" t="n">
        <v>0</v>
      </c>
      <c r="GW21" s="47" t="n">
        <v>0</v>
      </c>
      <c r="GX21" s="47" t="n">
        <v>0</v>
      </c>
      <c r="GY21" s="47" t="n">
        <v>0</v>
      </c>
      <c r="GZ21" s="47" t="n">
        <v>0</v>
      </c>
      <c r="HA21" s="47" t="n">
        <v>0</v>
      </c>
      <c r="HB21" s="47" t="n">
        <v>0</v>
      </c>
      <c r="HC21" s="47" t="n">
        <v>0</v>
      </c>
      <c r="HD21" s="47" t="n">
        <v>0</v>
      </c>
      <c r="HE21" s="47" t="n">
        <v>0</v>
      </c>
      <c r="HF21" s="47" t="n">
        <v>0</v>
      </c>
      <c r="HG21" s="47" t="n">
        <v>0</v>
      </c>
      <c r="HH21" s="47" t="n">
        <v>0</v>
      </c>
      <c r="HI21" s="48" t="n">
        <v>0</v>
      </c>
      <c r="HJ21" s="47" t="n">
        <v>0</v>
      </c>
      <c r="HK21" s="47" t="n">
        <v>0</v>
      </c>
      <c r="HL21" s="47" t="n">
        <v>0</v>
      </c>
      <c r="HM21" s="47" t="n">
        <v>0</v>
      </c>
      <c r="HN21" s="47" t="n">
        <v>0</v>
      </c>
      <c r="HO21" s="47" t="n">
        <v>0</v>
      </c>
      <c r="HP21" s="47" t="n">
        <v>0</v>
      </c>
      <c r="HQ21" s="47" t="n">
        <v>0</v>
      </c>
      <c r="HS21" s="47" t="n">
        <v>0</v>
      </c>
      <c r="HT21" s="47" t="n">
        <v>0</v>
      </c>
      <c r="HU21" s="47" t="n">
        <v>0</v>
      </c>
      <c r="HV21" s="47" t="n">
        <v>682</v>
      </c>
      <c r="HW21" s="47" t="n">
        <v>682</v>
      </c>
      <c r="HX21" s="47" t="n">
        <v>682</v>
      </c>
      <c r="HY21" s="47" t="n">
        <v>682</v>
      </c>
      <c r="HZ21" s="47" t="n">
        <v>8362.75</v>
      </c>
      <c r="IA21" s="47" t="n">
        <v>8362.75</v>
      </c>
      <c r="IB21" s="47" t="n">
        <v>8362.75</v>
      </c>
      <c r="IC21" s="47" t="n">
        <v>8362.75</v>
      </c>
      <c r="ID21" s="47" t="n">
        <v>8362.75</v>
      </c>
      <c r="IE21" s="47" t="n">
        <v>8362.75</v>
      </c>
      <c r="IF21" s="47" t="n">
        <v>8362.75</v>
      </c>
      <c r="IG21" s="47" t="n">
        <v>8362.75</v>
      </c>
      <c r="IH21" s="47" t="n">
        <v>0</v>
      </c>
      <c r="II21" s="47" t="n">
        <v>0</v>
      </c>
      <c r="IJ21" s="47" t="n">
        <v>0</v>
      </c>
      <c r="IK21" s="47" t="n">
        <v>0</v>
      </c>
      <c r="IL21" s="47" t="n">
        <v>0</v>
      </c>
      <c r="IM21" s="47" t="n">
        <v>0</v>
      </c>
      <c r="IN21" s="47" t="n">
        <v>0</v>
      </c>
      <c r="IO21" s="47" t="n">
        <v>0</v>
      </c>
      <c r="IP21" s="47" t="n">
        <v>0</v>
      </c>
      <c r="IQ21" s="47" t="n">
        <v>0</v>
      </c>
      <c r="IR21" s="47" t="n">
        <v>0</v>
      </c>
      <c r="IS21" s="47" t="n">
        <v>0</v>
      </c>
      <c r="IT21" s="47" t="n">
        <v>0</v>
      </c>
      <c r="IU21" s="47" t="n">
        <v>0</v>
      </c>
      <c r="IV21" s="47" t="n">
        <v>0</v>
      </c>
      <c r="IW21" s="47" t="n">
        <v>0</v>
      </c>
      <c r="IX21" s="47" t="n">
        <v>0</v>
      </c>
      <c r="IY21" s="47" t="n">
        <v>0</v>
      </c>
      <c r="IZ21" s="47" t="n">
        <v>0</v>
      </c>
      <c r="JA21" s="47" t="n">
        <v>0</v>
      </c>
      <c r="JB21" s="47" t="n">
        <v>0</v>
      </c>
      <c r="JC21" s="47" t="n">
        <v>0</v>
      </c>
      <c r="JD21" s="47" t="n">
        <v>0</v>
      </c>
      <c r="JE21" s="47" t="n">
        <v>0</v>
      </c>
      <c r="JF21" s="47" t="n">
        <v>0</v>
      </c>
      <c r="JG21" s="47" t="n">
        <v>0</v>
      </c>
      <c r="JH21" s="47" t="n">
        <v>0</v>
      </c>
      <c r="JI21" s="47" t="n">
        <v>0</v>
      </c>
      <c r="JJ21" s="47" t="n">
        <v>0</v>
      </c>
      <c r="JK21" s="47" t="n">
        <v>0</v>
      </c>
      <c r="JL21" s="47" t="n">
        <v>0</v>
      </c>
      <c r="JM21" s="47" t="n">
        <v>0</v>
      </c>
      <c r="JN21" s="47" t="n">
        <v>0</v>
      </c>
      <c r="JO21" s="47" t="n">
        <v>0</v>
      </c>
      <c r="JP21" s="47" t="n">
        <v>0</v>
      </c>
      <c r="JQ21" s="47" t="n">
        <v>0</v>
      </c>
      <c r="JR21" s="47" t="n">
        <v>0</v>
      </c>
      <c r="JS21" s="47" t="n">
        <v>0</v>
      </c>
      <c r="JT21" s="47" t="n">
        <v>0</v>
      </c>
      <c r="JU21" s="47" t="n">
        <v>0</v>
      </c>
      <c r="JV21" s="47" t="n">
        <v>0</v>
      </c>
      <c r="JW21" s="47" t="n">
        <v>0</v>
      </c>
      <c r="JX21" s="47" t="n">
        <v>0</v>
      </c>
      <c r="JY21" s="47" t="n">
        <v>0</v>
      </c>
      <c r="JZ21" s="47" t="n">
        <v>0</v>
      </c>
      <c r="KA21" s="47" t="n">
        <v>0</v>
      </c>
      <c r="KB21" s="47" t="n">
        <v>0</v>
      </c>
      <c r="KC21" s="47" t="n">
        <v>0</v>
      </c>
      <c r="KD21" s="48" t="n">
        <v>0</v>
      </c>
      <c r="KE21" s="47" t="n">
        <v>0</v>
      </c>
      <c r="KF21" s="47" t="n">
        <v>0</v>
      </c>
      <c r="KG21" s="47" t="n">
        <v>0</v>
      </c>
      <c r="KH21" s="47" t="n">
        <v>0</v>
      </c>
      <c r="KI21" s="47" t="n">
        <v>0</v>
      </c>
      <c r="KJ21" s="47" t="n">
        <v>0</v>
      </c>
      <c r="KK21" s="47" t="n">
        <v>0</v>
      </c>
      <c r="KL21" s="47" t="n">
        <v>0</v>
      </c>
    </row>
    <row r="22" customFormat="false" ht="15.75" hidden="false" customHeight="true" outlineLevel="0" collapsed="false">
      <c r="A22" s="35" t="s">
        <v>195</v>
      </c>
      <c r="B22" s="35" t="s">
        <v>196</v>
      </c>
      <c r="C22" s="35" t="s">
        <v>164</v>
      </c>
      <c r="D22" s="35" t="s">
        <v>197</v>
      </c>
      <c r="E22" s="35" t="s">
        <v>174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0</v>
      </c>
      <c r="Q22" s="44" t="n">
        <v>0</v>
      </c>
      <c r="R22" s="44" t="n">
        <v>0</v>
      </c>
      <c r="S22" s="44" t="n">
        <v>0</v>
      </c>
      <c r="T22" s="44" t="n">
        <v>0</v>
      </c>
      <c r="U22" s="44" t="n">
        <v>0</v>
      </c>
      <c r="V22" s="44" t="n">
        <v>0</v>
      </c>
      <c r="W22" s="44" t="n">
        <v>0</v>
      </c>
      <c r="X22" s="44" t="n">
        <v>0</v>
      </c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44" t="n">
        <v>0</v>
      </c>
      <c r="AK22" s="44" t="n">
        <v>0</v>
      </c>
      <c r="AL22" s="44" t="n">
        <v>0</v>
      </c>
      <c r="AM22" s="44" t="n">
        <v>0</v>
      </c>
      <c r="AN22" s="44" t="n">
        <v>0</v>
      </c>
      <c r="AO22" s="44" t="n">
        <v>0</v>
      </c>
      <c r="AP22" s="44" t="n">
        <v>0</v>
      </c>
      <c r="AQ22" s="44" t="n">
        <v>3750</v>
      </c>
      <c r="AR22" s="44" t="n">
        <v>3750</v>
      </c>
      <c r="AS22" s="44" t="n">
        <v>3750</v>
      </c>
      <c r="AT22" s="44" t="n">
        <v>3750</v>
      </c>
      <c r="AU22" s="44" t="n">
        <v>3750</v>
      </c>
      <c r="AV22" s="44" t="n">
        <v>3750</v>
      </c>
      <c r="AW22" s="44" t="n">
        <v>3750</v>
      </c>
      <c r="AX22" s="44" t="n">
        <v>3750</v>
      </c>
      <c r="AY22" s="44" t="n">
        <v>3750</v>
      </c>
      <c r="AZ22" s="44" t="n">
        <v>3750</v>
      </c>
      <c r="BA22" s="44" t="n">
        <v>3750</v>
      </c>
      <c r="BB22" s="44" t="n">
        <v>3750</v>
      </c>
      <c r="BC22" s="44" t="n">
        <v>3750</v>
      </c>
      <c r="BD22" s="44" t="n">
        <v>3750</v>
      </c>
      <c r="BE22" s="44" t="n">
        <v>3750</v>
      </c>
      <c r="BF22" s="44" t="n">
        <v>3750</v>
      </c>
      <c r="BG22" s="44" t="n">
        <v>3750</v>
      </c>
      <c r="BH22" s="44" t="n">
        <v>3750</v>
      </c>
      <c r="BI22" s="44" t="n">
        <v>3750</v>
      </c>
      <c r="BJ22" s="44" t="n">
        <v>3750</v>
      </c>
      <c r="BK22" s="44" t="n">
        <v>3750</v>
      </c>
      <c r="BL22" s="44" t="n">
        <v>3750</v>
      </c>
      <c r="BM22" s="44" t="n">
        <v>3750</v>
      </c>
      <c r="BN22" s="44" t="n">
        <v>3750</v>
      </c>
      <c r="BO22" s="44" t="n">
        <v>3750</v>
      </c>
      <c r="BP22" s="44" t="n">
        <v>3750</v>
      </c>
      <c r="BQ22" s="44" t="n">
        <v>3750</v>
      </c>
      <c r="BR22" s="45" t="n">
        <v>3750</v>
      </c>
      <c r="BS22" s="46" t="n">
        <v>3750</v>
      </c>
      <c r="BT22" s="46" t="n">
        <v>3750</v>
      </c>
      <c r="BU22" s="46" t="n">
        <v>3750</v>
      </c>
      <c r="BV22" s="46" t="n">
        <v>3750</v>
      </c>
      <c r="BW22" s="46" t="n">
        <v>3750</v>
      </c>
      <c r="BX22" s="46" t="n">
        <v>3750</v>
      </c>
      <c r="BY22" s="46" t="n">
        <v>3750</v>
      </c>
      <c r="BZ22" s="46" t="n">
        <v>3750</v>
      </c>
      <c r="EX22" s="47" t="n">
        <v>0</v>
      </c>
      <c r="EY22" s="47" t="n">
        <v>0</v>
      </c>
      <c r="EZ22" s="47" t="n">
        <v>0</v>
      </c>
      <c r="FA22" s="47" t="n">
        <v>0</v>
      </c>
      <c r="FB22" s="47" t="n">
        <v>0</v>
      </c>
      <c r="FC22" s="47" t="n">
        <v>0</v>
      </c>
      <c r="FD22" s="47" t="n">
        <v>0</v>
      </c>
      <c r="FE22" s="47" t="n">
        <v>0</v>
      </c>
      <c r="FF22" s="47" t="n">
        <v>0</v>
      </c>
      <c r="FG22" s="47" t="n">
        <v>0</v>
      </c>
      <c r="FH22" s="47" t="n">
        <v>0</v>
      </c>
      <c r="FI22" s="47" t="n">
        <v>0</v>
      </c>
      <c r="FJ22" s="47" t="n">
        <v>0</v>
      </c>
      <c r="FK22" s="47" t="n">
        <v>0</v>
      </c>
      <c r="FL22" s="47" t="n">
        <v>0</v>
      </c>
      <c r="FM22" s="47" t="n">
        <v>0</v>
      </c>
      <c r="FN22" s="47" t="n">
        <v>0</v>
      </c>
      <c r="FO22" s="47" t="n">
        <v>0</v>
      </c>
      <c r="FP22" s="47" t="n">
        <v>0</v>
      </c>
      <c r="FQ22" s="47" t="n">
        <v>0</v>
      </c>
      <c r="FR22" s="47" t="n">
        <v>0</v>
      </c>
      <c r="FS22" s="47" t="n">
        <v>0</v>
      </c>
      <c r="FT22" s="47" t="n">
        <v>0</v>
      </c>
      <c r="FU22" s="47" t="n">
        <v>0</v>
      </c>
      <c r="FV22" s="47" t="n">
        <v>0</v>
      </c>
      <c r="FW22" s="47" t="n">
        <v>0</v>
      </c>
      <c r="FX22" s="47" t="n">
        <v>0</v>
      </c>
      <c r="FY22" s="47" t="n">
        <v>0</v>
      </c>
      <c r="FZ22" s="47" t="n">
        <v>0</v>
      </c>
      <c r="GA22" s="47" t="n">
        <v>0</v>
      </c>
      <c r="GB22" s="47" t="n">
        <v>0</v>
      </c>
      <c r="GC22" s="47" t="n">
        <v>0</v>
      </c>
      <c r="GD22" s="47" t="n">
        <v>0</v>
      </c>
      <c r="GE22" s="47" t="n">
        <v>0</v>
      </c>
      <c r="GF22" s="47" t="n">
        <v>0</v>
      </c>
      <c r="GG22" s="47" t="n">
        <v>0</v>
      </c>
      <c r="GH22" s="47" t="n">
        <v>3750</v>
      </c>
      <c r="GI22" s="47" t="n">
        <v>3750</v>
      </c>
      <c r="GJ22" s="47" t="n">
        <v>3750</v>
      </c>
      <c r="GK22" s="47" t="n">
        <v>3750</v>
      </c>
      <c r="GL22" s="47" t="n">
        <v>3750</v>
      </c>
      <c r="GM22" s="47" t="n">
        <v>3750</v>
      </c>
      <c r="GN22" s="47" t="n">
        <v>3750</v>
      </c>
      <c r="GO22" s="47" t="n">
        <v>3750</v>
      </c>
      <c r="GP22" s="47" t="n">
        <v>3750</v>
      </c>
      <c r="GQ22" s="47" t="n">
        <v>3750</v>
      </c>
      <c r="GR22" s="47" t="n">
        <v>3750</v>
      </c>
      <c r="GS22" s="47" t="n">
        <v>3750</v>
      </c>
      <c r="GT22" s="47" t="n">
        <v>3750</v>
      </c>
      <c r="GU22" s="47" t="n">
        <v>3750</v>
      </c>
      <c r="GV22" s="47" t="n">
        <v>3750</v>
      </c>
      <c r="GW22" s="47" t="n">
        <v>3750</v>
      </c>
      <c r="GX22" s="47" t="n">
        <v>3750</v>
      </c>
      <c r="GY22" s="47" t="n">
        <v>3750</v>
      </c>
      <c r="GZ22" s="47" t="n">
        <v>3750</v>
      </c>
      <c r="HA22" s="47" t="n">
        <v>3750</v>
      </c>
      <c r="HB22" s="47" t="n">
        <v>3750</v>
      </c>
      <c r="HC22" s="47" t="n">
        <v>3750</v>
      </c>
      <c r="HD22" s="47" t="n">
        <v>3750</v>
      </c>
      <c r="HE22" s="47" t="n">
        <v>3750</v>
      </c>
      <c r="HF22" s="47" t="n">
        <v>3750</v>
      </c>
      <c r="HG22" s="47" t="n">
        <v>3750</v>
      </c>
      <c r="HH22" s="47" t="n">
        <v>3750</v>
      </c>
      <c r="HI22" s="48" t="n">
        <v>3750</v>
      </c>
      <c r="HJ22" s="47" t="n">
        <v>3750</v>
      </c>
      <c r="HK22" s="47" t="n">
        <v>3750</v>
      </c>
      <c r="HL22" s="47" t="n">
        <v>3750</v>
      </c>
      <c r="HM22" s="47" t="n">
        <v>3750</v>
      </c>
      <c r="HN22" s="47" t="n">
        <v>3750</v>
      </c>
      <c r="HO22" s="47" t="n">
        <v>3750</v>
      </c>
      <c r="HP22" s="47" t="n">
        <v>3750</v>
      </c>
      <c r="HQ22" s="47" t="n">
        <v>3750</v>
      </c>
      <c r="HS22" s="47" t="n">
        <v>0</v>
      </c>
      <c r="HT22" s="47" t="n">
        <v>0</v>
      </c>
      <c r="HU22" s="47" t="n">
        <v>0</v>
      </c>
      <c r="HV22" s="47" t="n">
        <v>0</v>
      </c>
      <c r="HW22" s="47" t="n">
        <v>0</v>
      </c>
      <c r="HX22" s="47" t="n">
        <v>0</v>
      </c>
      <c r="HY22" s="47" t="n">
        <v>0</v>
      </c>
      <c r="HZ22" s="47" t="n">
        <v>0</v>
      </c>
      <c r="IA22" s="47" t="n">
        <v>0</v>
      </c>
      <c r="IB22" s="47" t="n">
        <v>0</v>
      </c>
      <c r="IC22" s="47" t="n">
        <v>0</v>
      </c>
      <c r="ID22" s="47" t="n">
        <v>0</v>
      </c>
      <c r="IE22" s="47" t="n">
        <v>0</v>
      </c>
      <c r="IF22" s="47" t="n">
        <v>0</v>
      </c>
      <c r="IG22" s="47" t="n">
        <v>0</v>
      </c>
      <c r="IH22" s="47" t="n">
        <v>0</v>
      </c>
      <c r="II22" s="47" t="n">
        <v>0</v>
      </c>
      <c r="IJ22" s="47" t="n">
        <v>0</v>
      </c>
      <c r="IK22" s="47" t="n">
        <v>0</v>
      </c>
      <c r="IL22" s="47" t="n">
        <v>0</v>
      </c>
      <c r="IM22" s="47" t="n">
        <v>0</v>
      </c>
      <c r="IN22" s="47" t="n">
        <v>0</v>
      </c>
      <c r="IO22" s="47" t="n">
        <v>0</v>
      </c>
      <c r="IP22" s="47" t="n">
        <v>0</v>
      </c>
      <c r="IQ22" s="47" t="n">
        <v>0</v>
      </c>
      <c r="IR22" s="47" t="n">
        <v>0</v>
      </c>
      <c r="IS22" s="47" t="n">
        <v>0</v>
      </c>
      <c r="IT22" s="47" t="n">
        <v>0</v>
      </c>
      <c r="IU22" s="47" t="n">
        <v>0</v>
      </c>
      <c r="IV22" s="47" t="n">
        <v>0</v>
      </c>
      <c r="IW22" s="47" t="n">
        <v>0</v>
      </c>
      <c r="IX22" s="47" t="n">
        <v>0</v>
      </c>
      <c r="IY22" s="47" t="n">
        <v>0</v>
      </c>
      <c r="IZ22" s="47" t="n">
        <v>0</v>
      </c>
      <c r="JA22" s="47" t="n">
        <v>0</v>
      </c>
      <c r="JB22" s="47" t="n">
        <v>0</v>
      </c>
      <c r="JC22" s="47" t="n">
        <v>3750</v>
      </c>
      <c r="JD22" s="47" t="n">
        <v>3750</v>
      </c>
      <c r="JE22" s="47" t="n">
        <v>3750</v>
      </c>
      <c r="JF22" s="47" t="n">
        <v>3750</v>
      </c>
      <c r="JG22" s="47" t="n">
        <v>3750</v>
      </c>
      <c r="JH22" s="47" t="n">
        <v>3750</v>
      </c>
      <c r="JI22" s="47" t="n">
        <v>3750</v>
      </c>
      <c r="JJ22" s="47" t="n">
        <v>3750</v>
      </c>
      <c r="JK22" s="47" t="n">
        <v>3750</v>
      </c>
      <c r="JL22" s="47" t="n">
        <v>3750</v>
      </c>
      <c r="JM22" s="47" t="n">
        <v>3750</v>
      </c>
      <c r="JN22" s="47" t="n">
        <v>3750</v>
      </c>
      <c r="JO22" s="47" t="n">
        <v>3750</v>
      </c>
      <c r="JP22" s="47" t="n">
        <v>3750</v>
      </c>
      <c r="JQ22" s="47" t="n">
        <v>3750</v>
      </c>
      <c r="JR22" s="47" t="n">
        <v>3750</v>
      </c>
      <c r="JS22" s="47" t="n">
        <v>3750</v>
      </c>
      <c r="JT22" s="47" t="n">
        <v>3750</v>
      </c>
      <c r="JU22" s="47" t="n">
        <v>3750</v>
      </c>
      <c r="JV22" s="47" t="n">
        <v>3750</v>
      </c>
      <c r="JW22" s="47" t="n">
        <v>3750</v>
      </c>
      <c r="JX22" s="47" t="n">
        <v>3750</v>
      </c>
      <c r="JY22" s="47" t="n">
        <v>3750</v>
      </c>
      <c r="JZ22" s="47" t="n">
        <v>3750</v>
      </c>
      <c r="KA22" s="47" t="n">
        <v>3750</v>
      </c>
      <c r="KB22" s="47" t="n">
        <v>3750</v>
      </c>
      <c r="KC22" s="47" t="n">
        <v>3750</v>
      </c>
      <c r="KD22" s="48" t="n">
        <v>3750</v>
      </c>
      <c r="KE22" s="47" t="n">
        <v>3750</v>
      </c>
      <c r="KF22" s="47" t="n">
        <v>3750</v>
      </c>
      <c r="KG22" s="47" t="n">
        <v>3750</v>
      </c>
      <c r="KH22" s="47" t="n">
        <v>3750</v>
      </c>
      <c r="KI22" s="47" t="n">
        <v>3750</v>
      </c>
      <c r="KJ22" s="47" t="n">
        <v>3750</v>
      </c>
      <c r="KK22" s="47" t="n">
        <v>3750</v>
      </c>
      <c r="KL22" s="47" t="n">
        <v>3750</v>
      </c>
    </row>
    <row r="23" customFormat="false" ht="15.75" hidden="false" customHeight="true" outlineLevel="0" collapsed="false">
      <c r="A23" s="35" t="s">
        <v>198</v>
      </c>
      <c r="B23" s="35" t="s">
        <v>199</v>
      </c>
      <c r="C23" s="35" t="s">
        <v>200</v>
      </c>
      <c r="D23" s="35" t="s">
        <v>201</v>
      </c>
      <c r="E23" s="35" t="s">
        <v>174</v>
      </c>
      <c r="G23" s="44" t="n">
        <v>0</v>
      </c>
      <c r="H23" s="44" t="n">
        <v>0</v>
      </c>
      <c r="I23" s="44" t="n">
        <v>0</v>
      </c>
      <c r="J23" s="44" t="n">
        <v>0</v>
      </c>
      <c r="K23" s="44" t="n">
        <v>0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0</v>
      </c>
      <c r="Q23" s="44" t="n">
        <v>0</v>
      </c>
      <c r="R23" s="44" t="n">
        <v>0</v>
      </c>
      <c r="S23" s="44" t="n">
        <v>0</v>
      </c>
      <c r="T23" s="44" t="n">
        <v>0</v>
      </c>
      <c r="U23" s="44" t="n">
        <v>0</v>
      </c>
      <c r="V23" s="44" t="n">
        <v>0</v>
      </c>
      <c r="W23" s="44" t="n">
        <v>0</v>
      </c>
      <c r="X23" s="44" t="n">
        <v>0</v>
      </c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44" t="n">
        <v>0</v>
      </c>
      <c r="AK23" s="44" t="n">
        <v>0</v>
      </c>
      <c r="AL23" s="44" t="n">
        <v>0</v>
      </c>
      <c r="AM23" s="44" t="n">
        <v>0</v>
      </c>
      <c r="AN23" s="44" t="n">
        <v>0</v>
      </c>
      <c r="AO23" s="44" t="n">
        <v>0</v>
      </c>
      <c r="AP23" s="44" t="n">
        <v>0</v>
      </c>
      <c r="AQ23" s="44" t="n">
        <v>0</v>
      </c>
      <c r="AR23" s="44" t="n">
        <v>0</v>
      </c>
      <c r="AS23" s="44" t="n">
        <v>0</v>
      </c>
      <c r="AT23" s="44" t="n">
        <v>0</v>
      </c>
      <c r="AU23" s="44" t="n">
        <v>0</v>
      </c>
      <c r="AV23" s="44" t="n">
        <v>2250</v>
      </c>
      <c r="AW23" s="44" t="n">
        <v>2250</v>
      </c>
      <c r="AX23" s="44" t="n">
        <v>2250</v>
      </c>
      <c r="AY23" s="44" t="n">
        <v>2250</v>
      </c>
      <c r="AZ23" s="44" t="n">
        <v>2250</v>
      </c>
      <c r="BA23" s="44" t="n">
        <v>2250</v>
      </c>
      <c r="BB23" s="44" t="n">
        <v>2250</v>
      </c>
      <c r="BC23" s="44" t="n">
        <v>2250</v>
      </c>
      <c r="BD23" s="44" t="n">
        <v>2250</v>
      </c>
      <c r="BE23" s="44" t="n">
        <v>2250</v>
      </c>
      <c r="BF23" s="44" t="n">
        <v>2250</v>
      </c>
      <c r="BG23" s="44" t="n">
        <v>2250</v>
      </c>
      <c r="BH23" s="44" t="n">
        <v>2250</v>
      </c>
      <c r="BI23" s="44" t="n">
        <v>2437.5</v>
      </c>
      <c r="BJ23" s="44" t="n">
        <v>3385.44</v>
      </c>
      <c r="BK23" s="44" t="n">
        <v>3385.44</v>
      </c>
      <c r="BL23" s="44" t="n">
        <v>3385.44</v>
      </c>
      <c r="BM23" s="44" t="n">
        <v>3385.44</v>
      </c>
      <c r="BN23" s="44" t="n">
        <v>3385.44</v>
      </c>
      <c r="BO23" s="44" t="n">
        <v>3385.44</v>
      </c>
      <c r="BP23" s="44" t="n">
        <v>3385.44</v>
      </c>
      <c r="BQ23" s="44" t="n">
        <v>3791.7</v>
      </c>
      <c r="BR23" s="45" t="n">
        <v>3791.7</v>
      </c>
      <c r="BS23" s="46" t="n">
        <v>3791.7</v>
      </c>
      <c r="BT23" s="46" t="n">
        <v>3791.7</v>
      </c>
      <c r="BU23" s="46" t="n">
        <v>3791.7</v>
      </c>
      <c r="BV23" s="46" t="n">
        <v>3791.7</v>
      </c>
      <c r="BW23" s="46" t="n">
        <v>3791.7</v>
      </c>
      <c r="BX23" s="46" t="n">
        <v>3791.7</v>
      </c>
      <c r="BY23" s="46" t="n">
        <v>3791.7</v>
      </c>
      <c r="BZ23" s="46" t="n">
        <v>3791.7</v>
      </c>
      <c r="EX23" s="47" t="n">
        <v>0</v>
      </c>
      <c r="EY23" s="47" t="n">
        <v>0</v>
      </c>
      <c r="EZ23" s="47" t="n">
        <v>0</v>
      </c>
      <c r="FA23" s="47" t="n">
        <v>0</v>
      </c>
      <c r="FB23" s="47" t="n">
        <v>0</v>
      </c>
      <c r="FC23" s="47" t="n">
        <v>0</v>
      </c>
      <c r="FD23" s="47" t="n">
        <v>0</v>
      </c>
      <c r="FE23" s="47" t="n">
        <v>0</v>
      </c>
      <c r="FF23" s="47" t="n">
        <v>0</v>
      </c>
      <c r="FG23" s="47" t="n">
        <v>0</v>
      </c>
      <c r="FH23" s="47" t="n">
        <v>0</v>
      </c>
      <c r="FI23" s="47" t="n">
        <v>0</v>
      </c>
      <c r="FJ23" s="47" t="n">
        <v>0</v>
      </c>
      <c r="FK23" s="47" t="n">
        <v>0</v>
      </c>
      <c r="FL23" s="47" t="n">
        <v>0</v>
      </c>
      <c r="FM23" s="47" t="n">
        <v>0</v>
      </c>
      <c r="FN23" s="47" t="n">
        <v>0</v>
      </c>
      <c r="FO23" s="47" t="n">
        <v>0</v>
      </c>
      <c r="FP23" s="47" t="n">
        <v>0</v>
      </c>
      <c r="FQ23" s="47" t="n">
        <v>0</v>
      </c>
      <c r="FR23" s="47" t="n">
        <v>0</v>
      </c>
      <c r="FS23" s="47" t="n">
        <v>0</v>
      </c>
      <c r="FT23" s="47" t="n">
        <v>0</v>
      </c>
      <c r="FU23" s="47" t="n">
        <v>0</v>
      </c>
      <c r="FV23" s="47" t="n">
        <v>0</v>
      </c>
      <c r="FW23" s="47" t="n">
        <v>0</v>
      </c>
      <c r="FX23" s="47" t="n">
        <v>0</v>
      </c>
      <c r="FY23" s="47" t="n">
        <v>0</v>
      </c>
      <c r="FZ23" s="47" t="n">
        <v>0</v>
      </c>
      <c r="GA23" s="47" t="n">
        <v>0</v>
      </c>
      <c r="GB23" s="47" t="n">
        <v>0</v>
      </c>
      <c r="GC23" s="47" t="n">
        <v>0</v>
      </c>
      <c r="GD23" s="47" t="n">
        <v>0</v>
      </c>
      <c r="GE23" s="47" t="n">
        <v>0</v>
      </c>
      <c r="GF23" s="47" t="n">
        <v>0</v>
      </c>
      <c r="GG23" s="47" t="n">
        <v>0</v>
      </c>
      <c r="GH23" s="47" t="n">
        <v>0</v>
      </c>
      <c r="GI23" s="47" t="n">
        <v>0</v>
      </c>
      <c r="GJ23" s="47" t="n">
        <v>0</v>
      </c>
      <c r="GK23" s="47" t="n">
        <v>0</v>
      </c>
      <c r="GL23" s="47" t="n">
        <v>0</v>
      </c>
      <c r="GM23" s="47" t="n">
        <v>2250</v>
      </c>
      <c r="GN23" s="47" t="n">
        <v>2250</v>
      </c>
      <c r="GO23" s="47" t="n">
        <v>2250</v>
      </c>
      <c r="GP23" s="47" t="n">
        <v>2250</v>
      </c>
      <c r="GQ23" s="47" t="n">
        <v>2250</v>
      </c>
      <c r="GR23" s="47" t="n">
        <v>2250</v>
      </c>
      <c r="GS23" s="47" t="n">
        <v>2250</v>
      </c>
      <c r="GT23" s="47" t="n">
        <v>2250</v>
      </c>
      <c r="GU23" s="47" t="n">
        <v>2250</v>
      </c>
      <c r="GV23" s="47" t="n">
        <v>2250</v>
      </c>
      <c r="GW23" s="47" t="n">
        <v>2250</v>
      </c>
      <c r="GX23" s="47" t="n">
        <v>2250</v>
      </c>
      <c r="GY23" s="47" t="n">
        <v>2250</v>
      </c>
      <c r="GZ23" s="47" t="n">
        <v>2437.5</v>
      </c>
      <c r="HA23" s="47" t="n">
        <v>3385.44</v>
      </c>
      <c r="HB23" s="47" t="n">
        <v>3385.44</v>
      </c>
      <c r="HC23" s="47" t="n">
        <v>3385.44</v>
      </c>
      <c r="HD23" s="47" t="n">
        <v>3385.44</v>
      </c>
      <c r="HE23" s="47" t="n">
        <v>3385.44</v>
      </c>
      <c r="HF23" s="47" t="n">
        <v>3385.44</v>
      </c>
      <c r="HG23" s="47" t="n">
        <v>3385.44</v>
      </c>
      <c r="HH23" s="47" t="n">
        <v>3791.7</v>
      </c>
      <c r="HI23" s="48" t="n">
        <v>3791.7</v>
      </c>
      <c r="HJ23" s="47" t="n">
        <v>3791.7</v>
      </c>
      <c r="HK23" s="47" t="n">
        <v>3791.7</v>
      </c>
      <c r="HL23" s="47" t="n">
        <v>3791.7</v>
      </c>
      <c r="HM23" s="47" t="n">
        <v>3791.7</v>
      </c>
      <c r="HN23" s="47" t="n">
        <v>3791.7</v>
      </c>
      <c r="HO23" s="47" t="n">
        <v>3791.7</v>
      </c>
      <c r="HP23" s="47" t="n">
        <v>3791.7</v>
      </c>
      <c r="HQ23" s="47" t="n">
        <v>3791.7</v>
      </c>
      <c r="HS23" s="47" t="n">
        <v>0</v>
      </c>
      <c r="HT23" s="47" t="n">
        <v>0</v>
      </c>
      <c r="HU23" s="47" t="n">
        <v>0</v>
      </c>
      <c r="HV23" s="47" t="n">
        <v>0</v>
      </c>
      <c r="HW23" s="47" t="n">
        <v>0</v>
      </c>
      <c r="HX23" s="47" t="n">
        <v>0</v>
      </c>
      <c r="HY23" s="47" t="n">
        <v>0</v>
      </c>
      <c r="HZ23" s="47" t="n">
        <v>0</v>
      </c>
      <c r="IA23" s="47" t="n">
        <v>0</v>
      </c>
      <c r="IB23" s="47" t="n">
        <v>0</v>
      </c>
      <c r="IC23" s="47" t="n">
        <v>0</v>
      </c>
      <c r="ID23" s="47" t="n">
        <v>0</v>
      </c>
      <c r="IE23" s="47" t="n">
        <v>0</v>
      </c>
      <c r="IF23" s="47" t="n">
        <v>0</v>
      </c>
      <c r="IG23" s="47" t="n">
        <v>0</v>
      </c>
      <c r="IH23" s="47" t="n">
        <v>0</v>
      </c>
      <c r="II23" s="47" t="n">
        <v>0</v>
      </c>
      <c r="IJ23" s="47" t="n">
        <v>0</v>
      </c>
      <c r="IK23" s="47" t="n">
        <v>0</v>
      </c>
      <c r="IL23" s="47" t="n">
        <v>0</v>
      </c>
      <c r="IM23" s="47" t="n">
        <v>0</v>
      </c>
      <c r="IN23" s="47" t="n">
        <v>0</v>
      </c>
      <c r="IO23" s="47" t="n">
        <v>0</v>
      </c>
      <c r="IP23" s="47" t="n">
        <v>0</v>
      </c>
      <c r="IQ23" s="47" t="n">
        <v>0</v>
      </c>
      <c r="IR23" s="47" t="n">
        <v>0</v>
      </c>
      <c r="IS23" s="47" t="n">
        <v>0</v>
      </c>
      <c r="IT23" s="47" t="n">
        <v>0</v>
      </c>
      <c r="IU23" s="47" t="n">
        <v>0</v>
      </c>
      <c r="IV23" s="47" t="n">
        <v>0</v>
      </c>
      <c r="IW23" s="47" t="n">
        <v>0</v>
      </c>
      <c r="IX23" s="47" t="n">
        <v>0</v>
      </c>
      <c r="IY23" s="47" t="n">
        <v>0</v>
      </c>
      <c r="IZ23" s="47" t="n">
        <v>0</v>
      </c>
      <c r="JA23" s="47" t="n">
        <v>0</v>
      </c>
      <c r="JB23" s="47" t="n">
        <v>0</v>
      </c>
      <c r="JC23" s="47" t="n">
        <v>0</v>
      </c>
      <c r="JD23" s="47" t="n">
        <v>0</v>
      </c>
      <c r="JE23" s="47" t="n">
        <v>0</v>
      </c>
      <c r="JF23" s="47" t="n">
        <v>0</v>
      </c>
      <c r="JG23" s="47" t="n">
        <v>0</v>
      </c>
      <c r="JH23" s="47" t="n">
        <v>2250</v>
      </c>
      <c r="JI23" s="47" t="n">
        <v>2250</v>
      </c>
      <c r="JJ23" s="47" t="n">
        <v>2250</v>
      </c>
      <c r="JK23" s="47" t="n">
        <v>2250</v>
      </c>
      <c r="JL23" s="47" t="n">
        <v>2250</v>
      </c>
      <c r="JM23" s="47" t="n">
        <v>2250</v>
      </c>
      <c r="JN23" s="47" t="n">
        <v>2250</v>
      </c>
      <c r="JO23" s="47" t="n">
        <v>2250</v>
      </c>
      <c r="JP23" s="47" t="n">
        <v>2250</v>
      </c>
      <c r="JQ23" s="47" t="n">
        <v>2250</v>
      </c>
      <c r="JR23" s="47" t="n">
        <v>2250</v>
      </c>
      <c r="JS23" s="47" t="n">
        <v>2250</v>
      </c>
      <c r="JT23" s="47" t="n">
        <v>2250</v>
      </c>
      <c r="JU23" s="47" t="n">
        <v>2437.5</v>
      </c>
      <c r="JV23" s="47" t="n">
        <v>3385.44</v>
      </c>
      <c r="JW23" s="47" t="n">
        <v>3385.44</v>
      </c>
      <c r="JX23" s="47" t="n">
        <v>3385.44</v>
      </c>
      <c r="JY23" s="47" t="n">
        <v>3385.44</v>
      </c>
      <c r="JZ23" s="47" t="n">
        <v>3385.44</v>
      </c>
      <c r="KA23" s="47" t="n">
        <v>3385.44</v>
      </c>
      <c r="KB23" s="47" t="n">
        <v>3385.44</v>
      </c>
      <c r="KC23" s="47" t="n">
        <v>3791.7</v>
      </c>
      <c r="KD23" s="48" t="n">
        <v>3791.7</v>
      </c>
      <c r="KE23" s="47" t="n">
        <v>3791.7</v>
      </c>
      <c r="KF23" s="47" t="n">
        <v>3791.7</v>
      </c>
      <c r="KG23" s="47" t="n">
        <v>3791.7</v>
      </c>
      <c r="KH23" s="47" t="n">
        <v>3791.7</v>
      </c>
      <c r="KI23" s="47" t="n">
        <v>3791.7</v>
      </c>
      <c r="KJ23" s="47" t="n">
        <v>3791.7</v>
      </c>
      <c r="KK23" s="47" t="n">
        <v>3791.7</v>
      </c>
      <c r="KL23" s="47" t="n">
        <v>3791.7</v>
      </c>
    </row>
    <row r="24" customFormat="false" ht="15.75" hidden="false" customHeight="true" outlineLevel="0" collapsed="false">
      <c r="A24" s="35" t="s">
        <v>202</v>
      </c>
      <c r="B24" s="35" t="s">
        <v>203</v>
      </c>
      <c r="C24" s="35" t="s">
        <v>164</v>
      </c>
      <c r="D24" s="35" t="s">
        <v>204</v>
      </c>
      <c r="E24" s="35" t="s">
        <v>169</v>
      </c>
      <c r="G24" s="44" t="n">
        <v>333.333333333333</v>
      </c>
      <c r="H24" s="44" t="n">
        <v>333.333333333333</v>
      </c>
      <c r="I24" s="44" t="n">
        <v>333.333333333333</v>
      </c>
      <c r="J24" s="44" t="n">
        <v>333.333333333333</v>
      </c>
      <c r="K24" s="44" t="n">
        <v>333.333333333333</v>
      </c>
      <c r="L24" s="44" t="n">
        <v>333.333333333333</v>
      </c>
      <c r="M24" s="44" t="n">
        <v>333.333333333333</v>
      </c>
      <c r="N24" s="44" t="n">
        <v>333.333333333333</v>
      </c>
      <c r="O24" s="44" t="n">
        <v>333.333333333333</v>
      </c>
      <c r="P24" s="44" t="n">
        <v>333.333333333333</v>
      </c>
      <c r="Q24" s="44" t="n">
        <v>333.333333333333</v>
      </c>
      <c r="R24" s="44" t="n">
        <v>333.333333333333</v>
      </c>
      <c r="S24" s="44" t="n">
        <v>333.333333333333</v>
      </c>
      <c r="T24" s="44" t="n">
        <v>333.333333333333</v>
      </c>
      <c r="U24" s="44" t="n">
        <v>333.333333333333</v>
      </c>
      <c r="V24" s="44" t="n">
        <v>333.333333333333</v>
      </c>
      <c r="W24" s="44" t="n">
        <v>333.333333333333</v>
      </c>
      <c r="X24" s="44" t="n">
        <v>333.333333333333</v>
      </c>
      <c r="Y24" s="44" t="n">
        <v>333.333333333333</v>
      </c>
      <c r="Z24" s="44" t="n">
        <v>333.333333333333</v>
      </c>
      <c r="AA24" s="44" t="n">
        <v>333.333333333333</v>
      </c>
      <c r="AB24" s="44" t="n">
        <v>333.333333333333</v>
      </c>
      <c r="AC24" s="44" t="n">
        <v>416.666666666667</v>
      </c>
      <c r="AD24" s="44" t="n">
        <v>416.666666666667</v>
      </c>
      <c r="AE24" s="44" t="n">
        <v>416.666666666667</v>
      </c>
      <c r="AF24" s="44" t="n">
        <v>416.666666666667</v>
      </c>
      <c r="AG24" s="44" t="n">
        <v>416.666666666667</v>
      </c>
      <c r="AH24" s="44" t="n">
        <v>416.666666666667</v>
      </c>
      <c r="AI24" s="44" t="n">
        <v>416.666666666667</v>
      </c>
      <c r="AJ24" s="44" t="n">
        <v>416.666666666667</v>
      </c>
      <c r="AK24" s="44" t="n">
        <v>416.666666666667</v>
      </c>
      <c r="AL24" s="44" t="n">
        <v>416.666666666667</v>
      </c>
      <c r="AM24" s="44" t="n">
        <v>416.666666666667</v>
      </c>
      <c r="AN24" s="44" t="n">
        <v>416.666666666667</v>
      </c>
      <c r="AO24" s="44" t="n">
        <v>416.666666666667</v>
      </c>
      <c r="AP24" s="44" t="n">
        <v>416.666666666667</v>
      </c>
      <c r="AQ24" s="44" t="n">
        <v>416.666666666667</v>
      </c>
      <c r="AR24" s="44" t="n">
        <v>416.666666666667</v>
      </c>
      <c r="AS24" s="44" t="n">
        <v>416.666666666667</v>
      </c>
      <c r="AT24" s="44" t="n">
        <v>416.666666666667</v>
      </c>
      <c r="AU24" s="44" t="n">
        <v>416.666666666667</v>
      </c>
      <c r="AV24" s="44" t="n">
        <v>416.666666666667</v>
      </c>
      <c r="AW24" s="44" t="n">
        <v>416.666666666667</v>
      </c>
      <c r="AX24" s="44" t="n">
        <v>416.666666666667</v>
      </c>
      <c r="AY24" s="44" t="n">
        <v>416.666666666667</v>
      </c>
      <c r="AZ24" s="44" t="n">
        <v>833.333333333333</v>
      </c>
      <c r="BA24" s="44" t="n">
        <v>416.666666666667</v>
      </c>
      <c r="BB24" s="44" t="n">
        <v>416.666666666667</v>
      </c>
      <c r="BC24" s="44" t="n">
        <v>416.666666666667</v>
      </c>
      <c r="BD24" s="44" t="n">
        <v>416.666666666667</v>
      </c>
      <c r="BE24" s="44" t="n">
        <v>416.666666666667</v>
      </c>
      <c r="BF24" s="44" t="n">
        <v>416.666666666667</v>
      </c>
      <c r="BG24" s="44" t="n">
        <v>416.666666666667</v>
      </c>
      <c r="BH24" s="44" t="n">
        <v>416.666666666667</v>
      </c>
      <c r="BI24" s="44" t="n">
        <v>416.666666666667</v>
      </c>
      <c r="BJ24" s="44" t="n">
        <v>416.666666666667</v>
      </c>
      <c r="BK24" s="44" t="n">
        <v>416.666666666667</v>
      </c>
      <c r="BL24" s="44" t="n">
        <v>437.5</v>
      </c>
      <c r="BM24" s="44" t="n">
        <v>437.5</v>
      </c>
      <c r="BN24" s="44" t="n">
        <v>437.5</v>
      </c>
      <c r="BO24" s="44" t="n">
        <v>437.5</v>
      </c>
      <c r="BP24" s="44" t="n">
        <v>437.5</v>
      </c>
      <c r="BQ24" s="44" t="n">
        <v>437.5</v>
      </c>
      <c r="BR24" s="45" t="n">
        <v>437.5</v>
      </c>
      <c r="BS24" s="46" t="n">
        <v>437.5</v>
      </c>
      <c r="BT24" s="46" t="n">
        <v>437.5</v>
      </c>
      <c r="BU24" s="46" t="n">
        <v>437.5</v>
      </c>
      <c r="BV24" s="46" t="n">
        <v>437.5</v>
      </c>
      <c r="BW24" s="46" t="n">
        <v>437.5</v>
      </c>
      <c r="BX24" s="46" t="n">
        <v>437.5</v>
      </c>
      <c r="BY24" s="46" t="n">
        <v>437.5</v>
      </c>
      <c r="BZ24" s="46" t="n">
        <v>437.5</v>
      </c>
      <c r="EX24" s="47" t="n">
        <v>333.333333333333</v>
      </c>
      <c r="EY24" s="47" t="n">
        <v>333.333333333333</v>
      </c>
      <c r="EZ24" s="47" t="n">
        <v>333.333333333333</v>
      </c>
      <c r="FA24" s="47" t="n">
        <v>333.333333333333</v>
      </c>
      <c r="FB24" s="47" t="n">
        <v>333.333333333333</v>
      </c>
      <c r="FC24" s="47" t="n">
        <v>333.333333333333</v>
      </c>
      <c r="FD24" s="47" t="n">
        <v>333.333333333333</v>
      </c>
      <c r="FE24" s="47" t="n">
        <v>333.333333333333</v>
      </c>
      <c r="FF24" s="47" t="n">
        <v>333.333333333333</v>
      </c>
      <c r="FG24" s="47" t="n">
        <v>333.333333333333</v>
      </c>
      <c r="FH24" s="47" t="n">
        <v>333.333333333333</v>
      </c>
      <c r="FI24" s="47" t="n">
        <v>333.333333333333</v>
      </c>
      <c r="FJ24" s="47" t="n">
        <v>333.333333333333</v>
      </c>
      <c r="FK24" s="47" t="n">
        <v>333.333333333333</v>
      </c>
      <c r="FL24" s="47" t="n">
        <v>333.333333333333</v>
      </c>
      <c r="FM24" s="47" t="n">
        <v>333.333333333333</v>
      </c>
      <c r="FN24" s="47" t="n">
        <v>333.333333333333</v>
      </c>
      <c r="FO24" s="47" t="n">
        <v>333.333333333333</v>
      </c>
      <c r="FP24" s="47" t="n">
        <v>333.333333333333</v>
      </c>
      <c r="FQ24" s="47" t="n">
        <v>333.333333333333</v>
      </c>
      <c r="FR24" s="47" t="n">
        <v>333.333333333333</v>
      </c>
      <c r="FS24" s="47" t="n">
        <v>333.333333333333</v>
      </c>
      <c r="FT24" s="47" t="n">
        <v>416.666666666667</v>
      </c>
      <c r="FU24" s="47" t="n">
        <v>416.666666666667</v>
      </c>
      <c r="FV24" s="47" t="n">
        <v>416.666666666667</v>
      </c>
      <c r="FW24" s="47" t="n">
        <v>416.666666666667</v>
      </c>
      <c r="FX24" s="47" t="n">
        <v>416.666666666667</v>
      </c>
      <c r="FY24" s="47" t="n">
        <v>416.666666666667</v>
      </c>
      <c r="FZ24" s="47" t="n">
        <v>416.666666666667</v>
      </c>
      <c r="GA24" s="47" t="n">
        <v>416.666666666667</v>
      </c>
      <c r="GB24" s="47" t="n">
        <v>416.666666666667</v>
      </c>
      <c r="GC24" s="47" t="n">
        <v>416.666666666667</v>
      </c>
      <c r="GD24" s="47" t="n">
        <v>416.666666666667</v>
      </c>
      <c r="GE24" s="47" t="n">
        <v>416.666666666667</v>
      </c>
      <c r="GF24" s="47" t="n">
        <v>416.666666666667</v>
      </c>
      <c r="GG24" s="47" t="n">
        <v>416.666666666667</v>
      </c>
      <c r="GH24" s="47" t="n">
        <v>416.666666666667</v>
      </c>
      <c r="GI24" s="47" t="n">
        <v>416.666666666667</v>
      </c>
      <c r="GJ24" s="47" t="n">
        <v>416.666666666667</v>
      </c>
      <c r="GK24" s="47" t="n">
        <v>416.666666666667</v>
      </c>
      <c r="GL24" s="47" t="n">
        <v>416.666666666667</v>
      </c>
      <c r="GM24" s="47" t="n">
        <v>416.666666666667</v>
      </c>
      <c r="GN24" s="47" t="n">
        <v>416.666666666667</v>
      </c>
      <c r="GO24" s="47" t="n">
        <v>416.666666666667</v>
      </c>
      <c r="GP24" s="47" t="n">
        <v>416.666666666667</v>
      </c>
      <c r="GQ24" s="47" t="n">
        <v>833.333333333333</v>
      </c>
      <c r="GR24" s="47" t="n">
        <v>416.666666666667</v>
      </c>
      <c r="GS24" s="47" t="n">
        <v>416.666666666667</v>
      </c>
      <c r="GT24" s="47" t="n">
        <v>416.666666666667</v>
      </c>
      <c r="GU24" s="47" t="n">
        <v>416.666666666667</v>
      </c>
      <c r="GV24" s="47" t="n">
        <v>416.666666666667</v>
      </c>
      <c r="GW24" s="47" t="n">
        <v>416.666666666667</v>
      </c>
      <c r="GX24" s="47" t="n">
        <v>416.666666666667</v>
      </c>
      <c r="GY24" s="47" t="n">
        <v>416.666666666667</v>
      </c>
      <c r="GZ24" s="47" t="n">
        <v>416.666666666667</v>
      </c>
      <c r="HA24" s="47" t="n">
        <v>416.666666666667</v>
      </c>
      <c r="HB24" s="47" t="n">
        <v>416.666666666667</v>
      </c>
      <c r="HC24" s="47" t="n">
        <v>437.5</v>
      </c>
      <c r="HD24" s="47" t="n">
        <v>437.5</v>
      </c>
      <c r="HE24" s="47" t="n">
        <v>437.5</v>
      </c>
      <c r="HF24" s="47" t="n">
        <v>437.5</v>
      </c>
      <c r="HG24" s="47" t="n">
        <v>437.5</v>
      </c>
      <c r="HH24" s="47" t="n">
        <v>437.5</v>
      </c>
      <c r="HI24" s="48" t="n">
        <v>437.5</v>
      </c>
      <c r="HJ24" s="47" t="n">
        <v>437.5</v>
      </c>
      <c r="HK24" s="47" t="n">
        <v>437.5</v>
      </c>
      <c r="HL24" s="47" t="n">
        <v>437.5</v>
      </c>
      <c r="HM24" s="47" t="n">
        <v>437.5</v>
      </c>
      <c r="HN24" s="47" t="n">
        <v>437.5</v>
      </c>
      <c r="HO24" s="47" t="n">
        <v>437.5</v>
      </c>
      <c r="HP24" s="47" t="n">
        <v>437.5</v>
      </c>
      <c r="HQ24" s="47" t="n">
        <v>437.5</v>
      </c>
      <c r="HS24" s="47" t="n">
        <v>333.333333333333</v>
      </c>
      <c r="HT24" s="47" t="n">
        <v>333.333333333333</v>
      </c>
      <c r="HU24" s="47" t="n">
        <v>333.333333333333</v>
      </c>
      <c r="HV24" s="47" t="n">
        <v>333.333333333333</v>
      </c>
      <c r="HW24" s="47" t="n">
        <v>333.333333333333</v>
      </c>
      <c r="HX24" s="47" t="n">
        <v>333.333333333333</v>
      </c>
      <c r="HY24" s="47" t="n">
        <v>333.333333333333</v>
      </c>
      <c r="HZ24" s="47" t="n">
        <v>333.333333333333</v>
      </c>
      <c r="IA24" s="47" t="n">
        <v>333.333333333333</v>
      </c>
      <c r="IB24" s="47" t="n">
        <v>333.333333333333</v>
      </c>
      <c r="IC24" s="47" t="n">
        <v>333.333333333333</v>
      </c>
      <c r="ID24" s="47" t="n">
        <v>333.333333333333</v>
      </c>
      <c r="IE24" s="47" t="n">
        <v>333.333333333333</v>
      </c>
      <c r="IF24" s="47" t="n">
        <v>333.333333333333</v>
      </c>
      <c r="IG24" s="47" t="n">
        <v>333.333333333333</v>
      </c>
      <c r="IH24" s="47" t="n">
        <v>333.333333333333</v>
      </c>
      <c r="II24" s="47" t="n">
        <v>333.333333333333</v>
      </c>
      <c r="IJ24" s="47" t="n">
        <v>333.333333333333</v>
      </c>
      <c r="IK24" s="47" t="n">
        <v>333.333333333333</v>
      </c>
      <c r="IL24" s="47" t="n">
        <v>333.333333333333</v>
      </c>
      <c r="IM24" s="47" t="n">
        <v>333.333333333333</v>
      </c>
      <c r="IN24" s="47" t="n">
        <v>333.333333333333</v>
      </c>
      <c r="IO24" s="47" t="n">
        <v>416.666666666667</v>
      </c>
      <c r="IP24" s="47" t="n">
        <v>416.666666666667</v>
      </c>
      <c r="IQ24" s="47" t="n">
        <v>416.666666666667</v>
      </c>
      <c r="IR24" s="47" t="n">
        <v>416.666666666667</v>
      </c>
      <c r="IS24" s="47" t="n">
        <v>416.666666666667</v>
      </c>
      <c r="IT24" s="47" t="n">
        <v>416.666666666667</v>
      </c>
      <c r="IU24" s="47" t="n">
        <v>416.666666666667</v>
      </c>
      <c r="IV24" s="47" t="n">
        <v>416.666666666667</v>
      </c>
      <c r="IW24" s="47" t="n">
        <v>416.666666666667</v>
      </c>
      <c r="IX24" s="47" t="n">
        <v>416.666666666667</v>
      </c>
      <c r="IY24" s="47" t="n">
        <v>416.666666666667</v>
      </c>
      <c r="IZ24" s="47" t="n">
        <v>416.666666666667</v>
      </c>
      <c r="JA24" s="47" t="n">
        <v>416.666666666667</v>
      </c>
      <c r="JB24" s="47" t="n">
        <v>416.666666666667</v>
      </c>
      <c r="JC24" s="47" t="n">
        <v>416.666666666667</v>
      </c>
      <c r="JD24" s="47" t="n">
        <v>416.666666666667</v>
      </c>
      <c r="JE24" s="47" t="n">
        <v>416.666666666667</v>
      </c>
      <c r="JF24" s="47" t="n">
        <v>416.666666666667</v>
      </c>
      <c r="JG24" s="47" t="n">
        <v>416.666666666667</v>
      </c>
      <c r="JH24" s="47" t="n">
        <v>416.666666666667</v>
      </c>
      <c r="JI24" s="47" t="n">
        <v>416.666666666667</v>
      </c>
      <c r="JJ24" s="47" t="n">
        <v>416.666666666667</v>
      </c>
      <c r="JK24" s="47" t="n">
        <v>416.666666666667</v>
      </c>
      <c r="JL24" s="47" t="n">
        <v>833.333333333333</v>
      </c>
      <c r="JM24" s="47" t="n">
        <v>416.666666666667</v>
      </c>
      <c r="JN24" s="47" t="n">
        <v>416.666666666667</v>
      </c>
      <c r="JO24" s="47" t="n">
        <v>416.666666666667</v>
      </c>
      <c r="JP24" s="47" t="n">
        <v>416.666666666667</v>
      </c>
      <c r="JQ24" s="47" t="n">
        <v>416.666666666667</v>
      </c>
      <c r="JR24" s="47" t="n">
        <v>416.666666666667</v>
      </c>
      <c r="JS24" s="47" t="n">
        <v>416.666666666667</v>
      </c>
      <c r="JT24" s="47" t="n">
        <v>416.666666666667</v>
      </c>
      <c r="JU24" s="47" t="n">
        <v>416.666666666667</v>
      </c>
      <c r="JV24" s="47" t="n">
        <v>416.666666666667</v>
      </c>
      <c r="JW24" s="47" t="n">
        <v>416.666666666667</v>
      </c>
      <c r="JX24" s="47" t="n">
        <v>437.5</v>
      </c>
      <c r="JY24" s="47" t="n">
        <v>437.5</v>
      </c>
      <c r="JZ24" s="47" t="n">
        <v>437.5</v>
      </c>
      <c r="KA24" s="47" t="n">
        <v>437.5</v>
      </c>
      <c r="KB24" s="47" t="n">
        <v>437.5</v>
      </c>
      <c r="KC24" s="47" t="n">
        <v>437.5</v>
      </c>
      <c r="KD24" s="48" t="n">
        <v>437.5</v>
      </c>
      <c r="KE24" s="47" t="n">
        <v>437.5</v>
      </c>
      <c r="KF24" s="47" t="n">
        <v>437.5</v>
      </c>
      <c r="KG24" s="47" t="n">
        <v>437.5</v>
      </c>
      <c r="KH24" s="47" t="n">
        <v>437.5</v>
      </c>
      <c r="KI24" s="47" t="n">
        <v>437.5</v>
      </c>
      <c r="KJ24" s="47" t="n">
        <v>437.5</v>
      </c>
      <c r="KK24" s="47" t="n">
        <v>437.5</v>
      </c>
      <c r="KL24" s="47" t="n">
        <v>437.5</v>
      </c>
    </row>
    <row r="25" customFormat="false" ht="16.5" hidden="false" customHeight="true" outlineLevel="0" collapsed="false">
      <c r="A25" s="35" t="s">
        <v>205</v>
      </c>
      <c r="B25" s="35" t="s">
        <v>206</v>
      </c>
      <c r="C25" s="35" t="s">
        <v>200</v>
      </c>
      <c r="D25" s="35" t="s">
        <v>187</v>
      </c>
      <c r="E25" s="35" t="s">
        <v>174</v>
      </c>
      <c r="S25" s="44" t="n">
        <v>0</v>
      </c>
      <c r="T25" s="44" t="n">
        <v>0</v>
      </c>
      <c r="U25" s="44" t="n">
        <v>0</v>
      </c>
      <c r="V25" s="44" t="n">
        <v>0</v>
      </c>
      <c r="W25" s="44" t="n">
        <v>0</v>
      </c>
      <c r="X25" s="44" t="n">
        <v>0</v>
      </c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44" t="n">
        <v>0</v>
      </c>
      <c r="AJ25" s="44" t="n">
        <v>0</v>
      </c>
      <c r="AK25" s="44" t="n">
        <v>0</v>
      </c>
      <c r="AL25" s="44" t="n">
        <v>0</v>
      </c>
      <c r="AM25" s="44" t="n">
        <v>0</v>
      </c>
      <c r="AN25" s="44" t="n">
        <v>0</v>
      </c>
      <c r="AO25" s="44" t="n">
        <v>0</v>
      </c>
      <c r="AP25" s="44" t="n">
        <v>0</v>
      </c>
      <c r="AQ25" s="44" t="n">
        <v>0</v>
      </c>
      <c r="AR25" s="44" t="n">
        <v>0</v>
      </c>
      <c r="AS25" s="44" t="n">
        <v>0</v>
      </c>
      <c r="AT25" s="44" t="n">
        <v>0</v>
      </c>
      <c r="AU25" s="44" t="n">
        <v>0</v>
      </c>
      <c r="AV25" s="44" t="n">
        <v>0</v>
      </c>
      <c r="AW25" s="44" t="n">
        <v>0</v>
      </c>
      <c r="AX25" s="44" t="n">
        <v>0</v>
      </c>
      <c r="AY25" s="44" t="n">
        <v>0</v>
      </c>
      <c r="AZ25" s="44" t="n">
        <v>0</v>
      </c>
      <c r="BA25" s="44" t="n">
        <v>0</v>
      </c>
      <c r="BB25" s="44" t="n">
        <v>0</v>
      </c>
      <c r="BC25" s="44" t="n">
        <v>0</v>
      </c>
      <c r="BD25" s="44" t="n">
        <v>0</v>
      </c>
      <c r="BE25" s="44" t="n">
        <v>0</v>
      </c>
      <c r="BF25" s="44" t="n">
        <v>4455</v>
      </c>
      <c r="BG25" s="44" t="n">
        <v>4455</v>
      </c>
      <c r="BH25" s="44" t="n">
        <v>4455</v>
      </c>
      <c r="BI25" s="44" t="n">
        <v>4455</v>
      </c>
      <c r="BJ25" s="44" t="n">
        <v>4455</v>
      </c>
      <c r="BK25" s="44" t="n">
        <v>4455</v>
      </c>
      <c r="BL25" s="44" t="n">
        <v>4455</v>
      </c>
      <c r="BM25" s="44" t="n">
        <v>4455</v>
      </c>
      <c r="BN25" s="44" t="n">
        <v>4455</v>
      </c>
      <c r="BO25" s="44" t="n">
        <v>4455</v>
      </c>
      <c r="BP25" s="44" t="n">
        <v>4455</v>
      </c>
      <c r="BQ25" s="44" t="n">
        <v>4455</v>
      </c>
      <c r="BR25" s="45" t="n">
        <v>4455</v>
      </c>
      <c r="BS25" s="46" t="n">
        <v>0</v>
      </c>
      <c r="BT25" s="46" t="n">
        <v>0</v>
      </c>
      <c r="BU25" s="46" t="n">
        <v>0</v>
      </c>
      <c r="BV25" s="46" t="n">
        <v>0</v>
      </c>
      <c r="BW25" s="46" t="n">
        <v>0</v>
      </c>
      <c r="BX25" s="46" t="n">
        <v>0</v>
      </c>
      <c r="BY25" s="46" t="n">
        <v>0</v>
      </c>
      <c r="BZ25" s="46" t="n">
        <v>0</v>
      </c>
      <c r="CB25" s="49" t="s">
        <v>170</v>
      </c>
      <c r="CC25" s="50" t="n">
        <v>0</v>
      </c>
      <c r="CD25" s="50" t="n">
        <v>0</v>
      </c>
      <c r="CE25" s="50" t="n">
        <v>0</v>
      </c>
      <c r="CF25" s="50" t="n">
        <v>0</v>
      </c>
      <c r="CG25" s="50" t="n">
        <v>0</v>
      </c>
      <c r="CH25" s="50" t="n">
        <v>0</v>
      </c>
      <c r="CI25" s="50" t="n">
        <v>0</v>
      </c>
      <c r="CJ25" s="50" t="n">
        <v>0</v>
      </c>
      <c r="CK25" s="50" t="n">
        <v>0</v>
      </c>
      <c r="CL25" s="50" t="n">
        <v>0</v>
      </c>
      <c r="CM25" s="50" t="n">
        <v>0</v>
      </c>
      <c r="CN25" s="50" t="n">
        <v>0</v>
      </c>
      <c r="CO25" s="50" t="n">
        <v>0</v>
      </c>
      <c r="CP25" s="50" t="n">
        <v>0</v>
      </c>
      <c r="CQ25" s="50" t="n">
        <v>0</v>
      </c>
      <c r="CR25" s="50" t="n">
        <v>0</v>
      </c>
      <c r="CS25" s="50" t="n">
        <v>0</v>
      </c>
      <c r="CT25" s="50" t="n">
        <v>0</v>
      </c>
      <c r="CU25" s="50" t="n">
        <v>0</v>
      </c>
      <c r="CV25" s="50" t="n">
        <v>0</v>
      </c>
      <c r="CW25" s="50" t="n">
        <v>0</v>
      </c>
      <c r="CX25" s="50" t="n">
        <v>0</v>
      </c>
      <c r="CY25" s="50" t="n">
        <v>0</v>
      </c>
      <c r="CZ25" s="50" t="n">
        <v>0</v>
      </c>
      <c r="DA25" s="50" t="n">
        <v>0</v>
      </c>
      <c r="DB25" s="50" t="n">
        <v>0</v>
      </c>
      <c r="DC25" s="50" t="n">
        <v>0</v>
      </c>
      <c r="DD25" s="50" t="n">
        <v>0</v>
      </c>
      <c r="DE25" s="50" t="n">
        <v>0</v>
      </c>
      <c r="DF25" s="50" t="n">
        <v>0</v>
      </c>
      <c r="DG25" s="50" t="n">
        <v>0</v>
      </c>
      <c r="DH25" s="50" t="n">
        <v>0</v>
      </c>
      <c r="DI25" s="50" t="n">
        <v>0</v>
      </c>
      <c r="DJ25" s="50" t="n">
        <v>0</v>
      </c>
      <c r="DK25" s="50" t="n">
        <v>0</v>
      </c>
      <c r="DL25" s="50" t="n">
        <v>0</v>
      </c>
      <c r="DM25" s="50" t="n">
        <v>0</v>
      </c>
      <c r="DN25" s="50" t="n">
        <v>0</v>
      </c>
      <c r="DO25" s="50" t="n">
        <v>0</v>
      </c>
      <c r="DP25" s="50" t="n">
        <v>0</v>
      </c>
      <c r="DQ25" s="50" t="n">
        <v>0</v>
      </c>
      <c r="DR25" s="50" t="n">
        <v>0</v>
      </c>
      <c r="DS25" s="50" t="n">
        <v>0</v>
      </c>
      <c r="DT25" s="50" t="n">
        <v>0</v>
      </c>
      <c r="DU25" s="50" t="n">
        <v>0</v>
      </c>
      <c r="DV25" s="50" t="n">
        <v>0</v>
      </c>
      <c r="DW25" s="50" t="n">
        <v>0</v>
      </c>
      <c r="DX25" s="50" t="n">
        <v>0</v>
      </c>
      <c r="DY25" s="50" t="n">
        <v>0</v>
      </c>
      <c r="DZ25" s="50" t="n">
        <v>0</v>
      </c>
      <c r="EA25" s="50" t="n">
        <v>0</v>
      </c>
      <c r="EB25" s="50" t="n">
        <v>-4455</v>
      </c>
      <c r="EC25" s="50" t="n">
        <v>-4455</v>
      </c>
      <c r="ED25" s="50" t="n">
        <v>-4455</v>
      </c>
      <c r="EE25" s="50" t="n">
        <v>-4455</v>
      </c>
      <c r="EF25" s="50" t="n">
        <v>-4455</v>
      </c>
      <c r="EG25" s="50" t="n">
        <v>-4455</v>
      </c>
      <c r="EH25" s="50" t="n">
        <v>-4455</v>
      </c>
      <c r="EI25" s="50" t="n">
        <v>-4455</v>
      </c>
      <c r="EJ25" s="50" t="n">
        <v>-4455</v>
      </c>
      <c r="EK25" s="50" t="n">
        <v>-4455</v>
      </c>
      <c r="EL25" s="50" t="n">
        <v>-4455</v>
      </c>
      <c r="EM25" s="50" t="n">
        <v>-4455</v>
      </c>
      <c r="EN25" s="51" t="n">
        <v>-4455</v>
      </c>
      <c r="EO25" s="50" t="n">
        <v>0</v>
      </c>
      <c r="EP25" s="50" t="n">
        <v>0</v>
      </c>
      <c r="EQ25" s="50" t="n">
        <v>0</v>
      </c>
      <c r="ER25" s="50" t="n">
        <v>0</v>
      </c>
      <c r="ES25" s="50" t="n">
        <v>0</v>
      </c>
      <c r="ET25" s="50" t="n">
        <v>0</v>
      </c>
      <c r="EU25" s="50" t="n">
        <v>0</v>
      </c>
      <c r="EV25" s="50" t="n">
        <v>0</v>
      </c>
      <c r="EX25" s="47" t="n">
        <v>0</v>
      </c>
      <c r="EY25" s="47" t="n">
        <v>0</v>
      </c>
      <c r="EZ25" s="47" t="n">
        <v>0</v>
      </c>
      <c r="FA25" s="47" t="n">
        <v>0</v>
      </c>
      <c r="FB25" s="47" t="n">
        <v>0</v>
      </c>
      <c r="FC25" s="47" t="n">
        <v>0</v>
      </c>
      <c r="FD25" s="47" t="n">
        <v>0</v>
      </c>
      <c r="FE25" s="47" t="n">
        <v>0</v>
      </c>
      <c r="FF25" s="47" t="n">
        <v>0</v>
      </c>
      <c r="FG25" s="47" t="n">
        <v>0</v>
      </c>
      <c r="FH25" s="47" t="n">
        <v>0</v>
      </c>
      <c r="FI25" s="47" t="n">
        <v>0</v>
      </c>
      <c r="FJ25" s="47" t="n">
        <v>0</v>
      </c>
      <c r="FK25" s="47" t="n">
        <v>0</v>
      </c>
      <c r="FL25" s="47" t="n">
        <v>0</v>
      </c>
      <c r="FM25" s="47" t="n">
        <v>0</v>
      </c>
      <c r="FN25" s="47" t="n">
        <v>0</v>
      </c>
      <c r="FO25" s="47" t="n">
        <v>0</v>
      </c>
      <c r="FP25" s="47" t="n">
        <v>0</v>
      </c>
      <c r="FQ25" s="47" t="n">
        <v>0</v>
      </c>
      <c r="FR25" s="47" t="n">
        <v>0</v>
      </c>
      <c r="FS25" s="47" t="n">
        <v>0</v>
      </c>
      <c r="FT25" s="47" t="n">
        <v>0</v>
      </c>
      <c r="FU25" s="47" t="n">
        <v>0</v>
      </c>
      <c r="FV25" s="47" t="n">
        <v>0</v>
      </c>
      <c r="FW25" s="47" t="n">
        <v>0</v>
      </c>
      <c r="FX25" s="47" t="n">
        <v>0</v>
      </c>
      <c r="FY25" s="47" t="n">
        <v>0</v>
      </c>
      <c r="FZ25" s="47" t="n">
        <v>0</v>
      </c>
      <c r="GA25" s="47" t="n">
        <v>0</v>
      </c>
      <c r="GB25" s="47" t="n">
        <v>0</v>
      </c>
      <c r="GC25" s="47" t="n">
        <v>0</v>
      </c>
      <c r="GD25" s="47" t="n">
        <v>0</v>
      </c>
      <c r="GE25" s="47" t="n">
        <v>0</v>
      </c>
      <c r="GF25" s="47" t="n">
        <v>0</v>
      </c>
      <c r="GG25" s="47" t="n">
        <v>0</v>
      </c>
      <c r="GH25" s="47" t="n">
        <v>0</v>
      </c>
      <c r="GI25" s="47" t="n">
        <v>0</v>
      </c>
      <c r="GJ25" s="47" t="n">
        <v>0</v>
      </c>
      <c r="GK25" s="47" t="n">
        <v>0</v>
      </c>
      <c r="GL25" s="47" t="n">
        <v>0</v>
      </c>
      <c r="GM25" s="47" t="n">
        <v>0</v>
      </c>
      <c r="GN25" s="47" t="n">
        <v>0</v>
      </c>
      <c r="GO25" s="47" t="n">
        <v>0</v>
      </c>
      <c r="GP25" s="47" t="n">
        <v>0</v>
      </c>
      <c r="GQ25" s="47" t="n">
        <v>0</v>
      </c>
      <c r="GR25" s="47" t="n">
        <v>0</v>
      </c>
      <c r="GS25" s="47" t="n">
        <v>0</v>
      </c>
      <c r="GT25" s="47" t="n">
        <v>0</v>
      </c>
      <c r="GU25" s="47" t="n">
        <v>0</v>
      </c>
      <c r="GV25" s="47" t="n">
        <v>0</v>
      </c>
      <c r="GW25" s="47" t="n">
        <v>0</v>
      </c>
      <c r="GX25" s="47" t="n">
        <v>0</v>
      </c>
      <c r="GY25" s="47" t="n">
        <v>0</v>
      </c>
      <c r="GZ25" s="47" t="n">
        <v>0</v>
      </c>
      <c r="HA25" s="47" t="n">
        <v>0</v>
      </c>
      <c r="HB25" s="47" t="n">
        <v>0</v>
      </c>
      <c r="HC25" s="47" t="n">
        <v>0</v>
      </c>
      <c r="HD25" s="47" t="n">
        <v>0</v>
      </c>
      <c r="HE25" s="47" t="n">
        <v>0</v>
      </c>
      <c r="HF25" s="47" t="n">
        <v>0</v>
      </c>
      <c r="HG25" s="47" t="n">
        <v>0</v>
      </c>
      <c r="HH25" s="47" t="n">
        <v>0</v>
      </c>
      <c r="HI25" s="48" t="n">
        <v>0</v>
      </c>
      <c r="HJ25" s="47" t="n">
        <v>0</v>
      </c>
      <c r="HK25" s="47" t="n">
        <v>0</v>
      </c>
      <c r="HL25" s="47" t="n">
        <v>0</v>
      </c>
      <c r="HM25" s="47" t="n">
        <v>0</v>
      </c>
      <c r="HN25" s="47" t="n">
        <v>0</v>
      </c>
      <c r="HO25" s="47" t="n">
        <v>0</v>
      </c>
      <c r="HP25" s="47" t="n">
        <v>0</v>
      </c>
      <c r="HQ25" s="47" t="n">
        <v>0</v>
      </c>
      <c r="HS25" s="47" t="n">
        <v>0</v>
      </c>
      <c r="HT25" s="47" t="n">
        <v>0</v>
      </c>
      <c r="HU25" s="47" t="n">
        <v>0</v>
      </c>
      <c r="HV25" s="47" t="n">
        <v>0</v>
      </c>
      <c r="HW25" s="47" t="n">
        <v>0</v>
      </c>
      <c r="HX25" s="47" t="n">
        <v>0</v>
      </c>
      <c r="HY25" s="47" t="n">
        <v>0</v>
      </c>
      <c r="HZ25" s="47" t="n">
        <v>0</v>
      </c>
      <c r="IA25" s="47" t="n">
        <v>0</v>
      </c>
      <c r="IB25" s="47" t="n">
        <v>0</v>
      </c>
      <c r="IC25" s="47" t="n">
        <v>0</v>
      </c>
      <c r="ID25" s="47" t="n">
        <v>0</v>
      </c>
      <c r="IE25" s="47" t="n">
        <v>0</v>
      </c>
      <c r="IF25" s="47" t="n">
        <v>0</v>
      </c>
      <c r="IG25" s="47" t="n">
        <v>0</v>
      </c>
      <c r="IH25" s="47" t="n">
        <v>0</v>
      </c>
      <c r="II25" s="47" t="n">
        <v>0</v>
      </c>
      <c r="IJ25" s="47" t="n">
        <v>0</v>
      </c>
      <c r="IK25" s="47" t="n">
        <v>0</v>
      </c>
      <c r="IL25" s="47" t="n">
        <v>0</v>
      </c>
      <c r="IM25" s="47" t="n">
        <v>0</v>
      </c>
      <c r="IN25" s="47" t="n">
        <v>0</v>
      </c>
      <c r="IO25" s="47" t="n">
        <v>0</v>
      </c>
      <c r="IP25" s="47" t="n">
        <v>0</v>
      </c>
      <c r="IQ25" s="47" t="n">
        <v>0</v>
      </c>
      <c r="IR25" s="47" t="n">
        <v>0</v>
      </c>
      <c r="IS25" s="47" t="n">
        <v>0</v>
      </c>
      <c r="IT25" s="47" t="n">
        <v>0</v>
      </c>
      <c r="IU25" s="47" t="n">
        <v>0</v>
      </c>
      <c r="IV25" s="47" t="n">
        <v>0</v>
      </c>
      <c r="IW25" s="47" t="n">
        <v>0</v>
      </c>
      <c r="IX25" s="47" t="n">
        <v>0</v>
      </c>
      <c r="IY25" s="47" t="n">
        <v>0</v>
      </c>
      <c r="IZ25" s="47" t="n">
        <v>0</v>
      </c>
      <c r="JA25" s="47" t="n">
        <v>0</v>
      </c>
      <c r="JB25" s="47" t="n">
        <v>0</v>
      </c>
      <c r="JC25" s="47" t="n">
        <v>0</v>
      </c>
      <c r="JD25" s="47" t="n">
        <v>0</v>
      </c>
      <c r="JE25" s="47" t="n">
        <v>0</v>
      </c>
      <c r="JF25" s="47" t="n">
        <v>0</v>
      </c>
      <c r="JG25" s="47" t="n">
        <v>0</v>
      </c>
      <c r="JH25" s="47" t="n">
        <v>0</v>
      </c>
      <c r="JI25" s="47" t="n">
        <v>0</v>
      </c>
      <c r="JJ25" s="47" t="n">
        <v>0</v>
      </c>
      <c r="JK25" s="47" t="n">
        <v>0</v>
      </c>
      <c r="JL25" s="47" t="n">
        <v>0</v>
      </c>
      <c r="JM25" s="47" t="n">
        <v>0</v>
      </c>
      <c r="JN25" s="47" t="n">
        <v>0</v>
      </c>
      <c r="JO25" s="47" t="n">
        <v>0</v>
      </c>
      <c r="JP25" s="47" t="n">
        <v>0</v>
      </c>
      <c r="JQ25" s="47" t="n">
        <v>0</v>
      </c>
      <c r="JR25" s="47" t="n">
        <v>0</v>
      </c>
      <c r="JS25" s="47" t="n">
        <v>0</v>
      </c>
      <c r="JT25" s="47" t="n">
        <v>0</v>
      </c>
      <c r="JU25" s="47" t="n">
        <v>0</v>
      </c>
      <c r="JV25" s="47" t="n">
        <v>0</v>
      </c>
      <c r="JW25" s="47" t="n">
        <v>0</v>
      </c>
      <c r="JX25" s="47" t="n">
        <v>0</v>
      </c>
      <c r="JY25" s="47" t="n">
        <v>0</v>
      </c>
      <c r="JZ25" s="47" t="n">
        <v>0</v>
      </c>
      <c r="KA25" s="47" t="n">
        <v>0</v>
      </c>
      <c r="KB25" s="47" t="n">
        <v>0</v>
      </c>
      <c r="KC25" s="47" t="n">
        <v>0</v>
      </c>
      <c r="KD25" s="48" t="n">
        <v>0</v>
      </c>
      <c r="KE25" s="47" t="n">
        <v>0</v>
      </c>
      <c r="KF25" s="47" t="n">
        <v>0</v>
      </c>
      <c r="KG25" s="47" t="n">
        <v>0</v>
      </c>
      <c r="KH25" s="47" t="n">
        <v>0</v>
      </c>
      <c r="KI25" s="47" t="n">
        <v>0</v>
      </c>
      <c r="KJ25" s="47" t="n">
        <v>0</v>
      </c>
      <c r="KK25" s="47" t="n">
        <v>0</v>
      </c>
      <c r="KL25" s="47" t="n">
        <v>0</v>
      </c>
    </row>
    <row r="26" customFormat="false" ht="16.5" hidden="false" customHeight="true" outlineLevel="0" collapsed="false">
      <c r="A26" s="35" t="s">
        <v>207</v>
      </c>
      <c r="B26" s="35" t="s">
        <v>208</v>
      </c>
      <c r="C26" s="35" t="s">
        <v>200</v>
      </c>
      <c r="D26" s="35" t="s">
        <v>209</v>
      </c>
      <c r="E26" s="35" t="s">
        <v>174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0</v>
      </c>
      <c r="Q26" s="44" t="n">
        <v>0</v>
      </c>
      <c r="R26" s="44" t="n">
        <v>0</v>
      </c>
      <c r="S26" s="44" t="n">
        <v>0</v>
      </c>
      <c r="T26" s="44" t="n">
        <v>0</v>
      </c>
      <c r="U26" s="44" t="n">
        <v>0</v>
      </c>
      <c r="V26" s="44" t="n">
        <v>0</v>
      </c>
      <c r="W26" s="44" t="n">
        <v>0</v>
      </c>
      <c r="X26" s="44" t="n">
        <v>0</v>
      </c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7925</v>
      </c>
      <c r="AE26" s="44" t="n">
        <v>7925</v>
      </c>
      <c r="AF26" s="44" t="n">
        <v>7925</v>
      </c>
      <c r="AG26" s="44" t="n">
        <v>7925</v>
      </c>
      <c r="AH26" s="44" t="n">
        <v>7925</v>
      </c>
      <c r="AI26" s="44" t="n">
        <v>7925</v>
      </c>
      <c r="AJ26" s="44" t="n">
        <v>7925</v>
      </c>
      <c r="AK26" s="44" t="n">
        <v>7925</v>
      </c>
      <c r="AL26" s="44" t="n">
        <v>7925</v>
      </c>
      <c r="AM26" s="44" t="n">
        <v>7925</v>
      </c>
      <c r="AN26" s="44" t="n">
        <v>7925</v>
      </c>
      <c r="AO26" s="44" t="n">
        <v>7925</v>
      </c>
      <c r="AP26" s="44" t="n">
        <v>0</v>
      </c>
      <c r="AQ26" s="44" t="n">
        <v>0</v>
      </c>
      <c r="AR26" s="44" t="n">
        <v>0</v>
      </c>
      <c r="AS26" s="44" t="n">
        <v>0</v>
      </c>
      <c r="AT26" s="44" t="n">
        <v>0</v>
      </c>
      <c r="AU26" s="44" t="n">
        <v>0</v>
      </c>
      <c r="AV26" s="44" t="n">
        <v>0</v>
      </c>
      <c r="AW26" s="44" t="n">
        <v>0</v>
      </c>
      <c r="AX26" s="44" t="n">
        <v>0</v>
      </c>
      <c r="AY26" s="44" t="n">
        <v>0</v>
      </c>
      <c r="AZ26" s="44" t="n">
        <v>0</v>
      </c>
      <c r="BA26" s="44" t="n">
        <v>0</v>
      </c>
      <c r="BB26" s="44" t="n">
        <v>0</v>
      </c>
      <c r="BC26" s="44" t="n">
        <v>0</v>
      </c>
      <c r="BD26" s="44" t="n">
        <v>0</v>
      </c>
      <c r="BE26" s="44" t="n">
        <v>0</v>
      </c>
      <c r="BF26" s="44" t="n">
        <v>0</v>
      </c>
      <c r="BG26" s="44" t="n">
        <v>0</v>
      </c>
      <c r="BH26" s="44" t="n">
        <v>0</v>
      </c>
      <c r="BI26" s="44" t="n">
        <v>0</v>
      </c>
      <c r="BJ26" s="44" t="n">
        <v>0</v>
      </c>
      <c r="BK26" s="44" t="n">
        <v>0</v>
      </c>
      <c r="BL26" s="44" t="n">
        <v>0</v>
      </c>
      <c r="BM26" s="44" t="n">
        <v>0</v>
      </c>
      <c r="BN26" s="44" t="n">
        <v>0</v>
      </c>
      <c r="BO26" s="44" t="n">
        <v>0</v>
      </c>
      <c r="BP26" s="44" t="n">
        <v>0</v>
      </c>
      <c r="BQ26" s="44" t="n">
        <v>0</v>
      </c>
      <c r="BR26" s="45" t="n">
        <v>0</v>
      </c>
      <c r="BS26" s="46" t="n">
        <v>0</v>
      </c>
      <c r="BT26" s="46" t="n">
        <v>0</v>
      </c>
      <c r="BU26" s="46" t="n">
        <v>0</v>
      </c>
      <c r="BV26" s="46" t="n">
        <v>0</v>
      </c>
      <c r="BW26" s="46" t="n">
        <v>0</v>
      </c>
      <c r="BX26" s="46" t="n">
        <v>0</v>
      </c>
      <c r="BY26" s="46" t="n">
        <v>0</v>
      </c>
      <c r="BZ26" s="46" t="n">
        <v>0</v>
      </c>
      <c r="CB26" s="49" t="s">
        <v>210</v>
      </c>
      <c r="CC26" s="50" t="n">
        <v>0</v>
      </c>
      <c r="CD26" s="50" t="n">
        <v>0</v>
      </c>
      <c r="CE26" s="50" t="n">
        <v>0</v>
      </c>
      <c r="CF26" s="50" t="n">
        <v>0</v>
      </c>
      <c r="CG26" s="50" t="n">
        <v>0</v>
      </c>
      <c r="CH26" s="50" t="n">
        <v>0</v>
      </c>
      <c r="CI26" s="50" t="n">
        <v>0</v>
      </c>
      <c r="CJ26" s="50" t="n">
        <v>0</v>
      </c>
      <c r="CK26" s="50" t="n">
        <v>0</v>
      </c>
      <c r="CL26" s="50" t="n">
        <v>0</v>
      </c>
      <c r="CM26" s="50" t="n">
        <v>0</v>
      </c>
      <c r="CN26" s="50" t="n">
        <v>0</v>
      </c>
      <c r="CO26" s="50" t="n">
        <v>0</v>
      </c>
      <c r="CP26" s="50" t="n">
        <v>0</v>
      </c>
      <c r="CQ26" s="50" t="n">
        <v>0</v>
      </c>
      <c r="CR26" s="50" t="n">
        <v>0</v>
      </c>
      <c r="CS26" s="50" t="n">
        <v>0</v>
      </c>
      <c r="CT26" s="50" t="n">
        <v>0</v>
      </c>
      <c r="CU26" s="50" t="n">
        <v>0</v>
      </c>
      <c r="CV26" s="50" t="n">
        <v>0</v>
      </c>
      <c r="CW26" s="50" t="n">
        <v>0</v>
      </c>
      <c r="CX26" s="50" t="n">
        <v>0</v>
      </c>
      <c r="CY26" s="50" t="n">
        <v>0</v>
      </c>
      <c r="CZ26" s="50" t="n">
        <v>-7925</v>
      </c>
      <c r="DA26" s="50" t="n">
        <v>-7925</v>
      </c>
      <c r="DB26" s="50" t="n">
        <v>-7925</v>
      </c>
      <c r="DC26" s="50" t="n">
        <v>-7925</v>
      </c>
      <c r="DD26" s="50" t="n">
        <v>-7925</v>
      </c>
      <c r="DE26" s="50" t="n">
        <v>-7925</v>
      </c>
      <c r="DF26" s="50" t="n">
        <v>-7925</v>
      </c>
      <c r="DG26" s="50" t="n">
        <v>-7925</v>
      </c>
      <c r="DH26" s="50" t="n">
        <v>-7925</v>
      </c>
      <c r="DI26" s="50" t="n">
        <v>-7925</v>
      </c>
      <c r="DJ26" s="50" t="n">
        <v>-7925</v>
      </c>
      <c r="DK26" s="50" t="n">
        <v>-7925</v>
      </c>
      <c r="DL26" s="50" t="n">
        <v>0</v>
      </c>
      <c r="DM26" s="50" t="n">
        <v>0</v>
      </c>
      <c r="DN26" s="50" t="n">
        <v>0</v>
      </c>
      <c r="DO26" s="50" t="n">
        <v>0</v>
      </c>
      <c r="DP26" s="50" t="n">
        <v>0</v>
      </c>
      <c r="DQ26" s="50" t="n">
        <v>0</v>
      </c>
      <c r="DR26" s="50" t="n">
        <v>0</v>
      </c>
      <c r="DS26" s="50" t="n">
        <v>0</v>
      </c>
      <c r="DT26" s="50" t="n">
        <v>0</v>
      </c>
      <c r="DU26" s="50" t="n">
        <v>0</v>
      </c>
      <c r="DV26" s="50" t="n">
        <v>0</v>
      </c>
      <c r="DW26" s="50" t="n">
        <v>0</v>
      </c>
      <c r="DX26" s="50" t="n">
        <v>0</v>
      </c>
      <c r="DY26" s="50" t="n">
        <v>0</v>
      </c>
      <c r="DZ26" s="50" t="n">
        <v>0</v>
      </c>
      <c r="EA26" s="50" t="n">
        <v>0</v>
      </c>
      <c r="EB26" s="50" t="n">
        <v>0</v>
      </c>
      <c r="EC26" s="50" t="n">
        <v>0</v>
      </c>
      <c r="ED26" s="50" t="n">
        <v>0</v>
      </c>
      <c r="EE26" s="50" t="n">
        <v>0</v>
      </c>
      <c r="EF26" s="50" t="n">
        <v>0</v>
      </c>
      <c r="EG26" s="50" t="n">
        <v>0</v>
      </c>
      <c r="EH26" s="50" t="n">
        <v>0</v>
      </c>
      <c r="EI26" s="50" t="n">
        <v>0</v>
      </c>
      <c r="EJ26" s="50" t="n">
        <v>0</v>
      </c>
      <c r="EK26" s="50" t="n">
        <v>0</v>
      </c>
      <c r="EL26" s="50" t="n">
        <v>0</v>
      </c>
      <c r="EM26" s="50" t="n">
        <v>0</v>
      </c>
      <c r="EN26" s="51" t="n">
        <v>0</v>
      </c>
      <c r="EO26" s="50" t="n">
        <v>0</v>
      </c>
      <c r="EP26" s="50" t="n">
        <v>0</v>
      </c>
      <c r="EQ26" s="50" t="n">
        <v>0</v>
      </c>
      <c r="ER26" s="50" t="n">
        <v>0</v>
      </c>
      <c r="ES26" s="50" t="n">
        <v>0</v>
      </c>
      <c r="ET26" s="50" t="n">
        <v>0</v>
      </c>
      <c r="EU26" s="50" t="n">
        <v>0</v>
      </c>
      <c r="EV26" s="50" t="n">
        <v>0</v>
      </c>
      <c r="EX26" s="47" t="n">
        <v>0</v>
      </c>
      <c r="EY26" s="47" t="n">
        <v>0</v>
      </c>
      <c r="EZ26" s="47" t="n">
        <v>0</v>
      </c>
      <c r="FA26" s="47" t="n">
        <v>0</v>
      </c>
      <c r="FB26" s="47" t="n">
        <v>0</v>
      </c>
      <c r="FC26" s="47" t="n">
        <v>0</v>
      </c>
      <c r="FD26" s="47" t="n">
        <v>0</v>
      </c>
      <c r="FE26" s="47" t="n">
        <v>0</v>
      </c>
      <c r="FF26" s="47" t="n">
        <v>0</v>
      </c>
      <c r="FG26" s="47" t="n">
        <v>0</v>
      </c>
      <c r="FH26" s="47" t="n">
        <v>0</v>
      </c>
      <c r="FI26" s="47" t="n">
        <v>0</v>
      </c>
      <c r="FJ26" s="47" t="n">
        <v>0</v>
      </c>
      <c r="FK26" s="47" t="n">
        <v>0</v>
      </c>
      <c r="FL26" s="47" t="n">
        <v>0</v>
      </c>
      <c r="FM26" s="47" t="n">
        <v>0</v>
      </c>
      <c r="FN26" s="47" t="n">
        <v>0</v>
      </c>
      <c r="FO26" s="47" t="n">
        <v>0</v>
      </c>
      <c r="FP26" s="47" t="n">
        <v>0</v>
      </c>
      <c r="FQ26" s="47" t="n">
        <v>0</v>
      </c>
      <c r="FR26" s="47" t="n">
        <v>0</v>
      </c>
      <c r="FS26" s="47" t="n">
        <v>0</v>
      </c>
      <c r="FT26" s="47" t="n">
        <v>0</v>
      </c>
      <c r="FU26" s="47" t="n">
        <v>0</v>
      </c>
      <c r="FV26" s="47" t="n">
        <v>0</v>
      </c>
      <c r="FW26" s="47" t="n">
        <v>0</v>
      </c>
      <c r="FX26" s="47" t="n">
        <v>0</v>
      </c>
      <c r="FY26" s="47" t="n">
        <v>0</v>
      </c>
      <c r="FZ26" s="47" t="n">
        <v>0</v>
      </c>
      <c r="GA26" s="47" t="n">
        <v>0</v>
      </c>
      <c r="GB26" s="47" t="n">
        <v>0</v>
      </c>
      <c r="GC26" s="47" t="n">
        <v>0</v>
      </c>
      <c r="GD26" s="47" t="n">
        <v>0</v>
      </c>
      <c r="GE26" s="47" t="n">
        <v>0</v>
      </c>
      <c r="GF26" s="47" t="n">
        <v>0</v>
      </c>
      <c r="GG26" s="47" t="n">
        <v>0</v>
      </c>
      <c r="GH26" s="47" t="n">
        <v>0</v>
      </c>
      <c r="GI26" s="47" t="n">
        <v>0</v>
      </c>
      <c r="GJ26" s="47" t="n">
        <v>0</v>
      </c>
      <c r="GK26" s="47" t="n">
        <v>0</v>
      </c>
      <c r="GL26" s="47" t="n">
        <v>0</v>
      </c>
      <c r="GM26" s="47" t="n">
        <v>0</v>
      </c>
      <c r="GN26" s="47" t="n">
        <v>0</v>
      </c>
      <c r="GO26" s="47" t="n">
        <v>0</v>
      </c>
      <c r="GP26" s="47" t="n">
        <v>0</v>
      </c>
      <c r="GQ26" s="47" t="n">
        <v>0</v>
      </c>
      <c r="GR26" s="47" t="n">
        <v>0</v>
      </c>
      <c r="GS26" s="47" t="n">
        <v>0</v>
      </c>
      <c r="GT26" s="47" t="n">
        <v>0</v>
      </c>
      <c r="GU26" s="47" t="n">
        <v>0</v>
      </c>
      <c r="GV26" s="47" t="n">
        <v>0</v>
      </c>
      <c r="GW26" s="47" t="n">
        <v>0</v>
      </c>
      <c r="GX26" s="47" t="n">
        <v>0</v>
      </c>
      <c r="GY26" s="47" t="n">
        <v>0</v>
      </c>
      <c r="GZ26" s="47" t="n">
        <v>0</v>
      </c>
      <c r="HA26" s="47" t="n">
        <v>0</v>
      </c>
      <c r="HB26" s="47" t="n">
        <v>0</v>
      </c>
      <c r="HC26" s="47" t="n">
        <v>0</v>
      </c>
      <c r="HD26" s="47" t="n">
        <v>0</v>
      </c>
      <c r="HE26" s="47" t="n">
        <v>0</v>
      </c>
      <c r="HF26" s="47" t="n">
        <v>0</v>
      </c>
      <c r="HG26" s="47" t="n">
        <v>0</v>
      </c>
      <c r="HH26" s="47" t="n">
        <v>0</v>
      </c>
      <c r="HI26" s="48" t="n">
        <v>0</v>
      </c>
      <c r="HJ26" s="47" t="n">
        <v>0</v>
      </c>
      <c r="HK26" s="47" t="n">
        <v>0</v>
      </c>
      <c r="HL26" s="47" t="n">
        <v>0</v>
      </c>
      <c r="HM26" s="47" t="n">
        <v>0</v>
      </c>
      <c r="HN26" s="47" t="n">
        <v>0</v>
      </c>
      <c r="HO26" s="47" t="n">
        <v>0</v>
      </c>
      <c r="HP26" s="47" t="n">
        <v>0</v>
      </c>
      <c r="HQ26" s="47" t="n">
        <v>0</v>
      </c>
      <c r="HS26" s="47" t="n">
        <v>0</v>
      </c>
      <c r="HT26" s="47" t="n">
        <v>0</v>
      </c>
      <c r="HU26" s="47" t="n">
        <v>0</v>
      </c>
      <c r="HV26" s="47" t="n">
        <v>0</v>
      </c>
      <c r="HW26" s="47" t="n">
        <v>0</v>
      </c>
      <c r="HX26" s="47" t="n">
        <v>0</v>
      </c>
      <c r="HY26" s="47" t="n">
        <v>0</v>
      </c>
      <c r="HZ26" s="47" t="n">
        <v>0</v>
      </c>
      <c r="IA26" s="47" t="n">
        <v>0</v>
      </c>
      <c r="IB26" s="47" t="n">
        <v>0</v>
      </c>
      <c r="IC26" s="47" t="n">
        <v>0</v>
      </c>
      <c r="ID26" s="47" t="n">
        <v>0</v>
      </c>
      <c r="IE26" s="47" t="n">
        <v>0</v>
      </c>
      <c r="IF26" s="47" t="n">
        <v>0</v>
      </c>
      <c r="IG26" s="47" t="n">
        <v>0</v>
      </c>
      <c r="IH26" s="47" t="n">
        <v>0</v>
      </c>
      <c r="II26" s="47" t="n">
        <v>0</v>
      </c>
      <c r="IJ26" s="47" t="n">
        <v>0</v>
      </c>
      <c r="IK26" s="47" t="n">
        <v>0</v>
      </c>
      <c r="IL26" s="47" t="n">
        <v>0</v>
      </c>
      <c r="IM26" s="47" t="n">
        <v>0</v>
      </c>
      <c r="IN26" s="47" t="n">
        <v>0</v>
      </c>
      <c r="IO26" s="47" t="n">
        <v>0</v>
      </c>
      <c r="IP26" s="47" t="n">
        <v>0</v>
      </c>
      <c r="IQ26" s="47" t="n">
        <v>0</v>
      </c>
      <c r="IR26" s="47" t="n">
        <v>0</v>
      </c>
      <c r="IS26" s="47" t="n">
        <v>0</v>
      </c>
      <c r="IT26" s="47" t="n">
        <v>0</v>
      </c>
      <c r="IU26" s="47" t="n">
        <v>0</v>
      </c>
      <c r="IV26" s="47" t="n">
        <v>0</v>
      </c>
      <c r="IW26" s="47" t="n">
        <v>0</v>
      </c>
      <c r="IX26" s="47" t="n">
        <v>0</v>
      </c>
      <c r="IY26" s="47" t="n">
        <v>0</v>
      </c>
      <c r="IZ26" s="47" t="n">
        <v>0</v>
      </c>
      <c r="JA26" s="47" t="n">
        <v>0</v>
      </c>
      <c r="JB26" s="47" t="n">
        <v>0</v>
      </c>
      <c r="JC26" s="47" t="n">
        <v>0</v>
      </c>
      <c r="JD26" s="47" t="n">
        <v>0</v>
      </c>
      <c r="JE26" s="47" t="n">
        <v>0</v>
      </c>
      <c r="JF26" s="47" t="n">
        <v>0</v>
      </c>
      <c r="JG26" s="47" t="n">
        <v>0</v>
      </c>
      <c r="JH26" s="47" t="n">
        <v>0</v>
      </c>
      <c r="JI26" s="47" t="n">
        <v>0</v>
      </c>
      <c r="JJ26" s="47" t="n">
        <v>0</v>
      </c>
      <c r="JK26" s="47" t="n">
        <v>0</v>
      </c>
      <c r="JL26" s="47" t="n">
        <v>0</v>
      </c>
      <c r="JM26" s="47" t="n">
        <v>0</v>
      </c>
      <c r="JN26" s="47" t="n">
        <v>0</v>
      </c>
      <c r="JO26" s="47" t="n">
        <v>0</v>
      </c>
      <c r="JP26" s="47" t="n">
        <v>0</v>
      </c>
      <c r="JQ26" s="47" t="n">
        <v>0</v>
      </c>
      <c r="JR26" s="47" t="n">
        <v>0</v>
      </c>
      <c r="JS26" s="47" t="n">
        <v>0</v>
      </c>
      <c r="JT26" s="47" t="n">
        <v>0</v>
      </c>
      <c r="JU26" s="47" t="n">
        <v>0</v>
      </c>
      <c r="JV26" s="47" t="n">
        <v>0</v>
      </c>
      <c r="JW26" s="47" t="n">
        <v>0</v>
      </c>
      <c r="JX26" s="47" t="n">
        <v>0</v>
      </c>
      <c r="JY26" s="47" t="n">
        <v>0</v>
      </c>
      <c r="JZ26" s="47" t="n">
        <v>0</v>
      </c>
      <c r="KA26" s="47" t="n">
        <v>0</v>
      </c>
      <c r="KB26" s="47" t="n">
        <v>0</v>
      </c>
      <c r="KC26" s="47" t="n">
        <v>0</v>
      </c>
      <c r="KD26" s="48" t="n">
        <v>0</v>
      </c>
      <c r="KE26" s="47" t="n">
        <v>0</v>
      </c>
      <c r="KF26" s="47" t="n">
        <v>0</v>
      </c>
      <c r="KG26" s="47" t="n">
        <v>0</v>
      </c>
      <c r="KH26" s="47" t="n">
        <v>0</v>
      </c>
      <c r="KI26" s="47" t="n">
        <v>0</v>
      </c>
      <c r="KJ26" s="47" t="n">
        <v>0</v>
      </c>
      <c r="KK26" s="47" t="n">
        <v>0</v>
      </c>
      <c r="KL26" s="47" t="n">
        <v>0</v>
      </c>
    </row>
    <row r="27" customFormat="false" ht="15.75" hidden="false" customHeight="true" outlineLevel="0" collapsed="false">
      <c r="A27" s="35" t="s">
        <v>211</v>
      </c>
      <c r="B27" s="35" t="s">
        <v>208</v>
      </c>
      <c r="C27" s="35" t="s">
        <v>200</v>
      </c>
      <c r="D27" s="35" t="s">
        <v>209</v>
      </c>
      <c r="E27" s="35" t="s">
        <v>174</v>
      </c>
      <c r="AP27" s="44" t="n">
        <v>3271.4</v>
      </c>
      <c r="AQ27" s="44" t="n">
        <v>3271.4</v>
      </c>
      <c r="AR27" s="44" t="n">
        <v>3271.4</v>
      </c>
      <c r="AS27" s="44" t="n">
        <v>3271.4</v>
      </c>
      <c r="AT27" s="44" t="n">
        <v>3271.4</v>
      </c>
      <c r="AU27" s="44" t="n">
        <v>3271.4</v>
      </c>
      <c r="AV27" s="44" t="n">
        <v>3271.4</v>
      </c>
      <c r="AW27" s="44" t="n">
        <v>3271.4</v>
      </c>
      <c r="AX27" s="44" t="n">
        <v>3271.4</v>
      </c>
      <c r="AY27" s="44" t="n">
        <v>3271.4</v>
      </c>
      <c r="AZ27" s="44" t="n">
        <v>3271.4</v>
      </c>
      <c r="BA27" s="44" t="n">
        <v>3271.4</v>
      </c>
      <c r="BS27" s="46" t="n">
        <v>0</v>
      </c>
      <c r="BT27" s="46" t="n">
        <v>0</v>
      </c>
      <c r="BU27" s="46" t="n">
        <v>0</v>
      </c>
      <c r="BV27" s="46" t="n">
        <v>0</v>
      </c>
      <c r="BW27" s="46" t="n">
        <v>0</v>
      </c>
      <c r="BX27" s="46" t="n">
        <v>0</v>
      </c>
      <c r="BY27" s="46" t="n">
        <v>0</v>
      </c>
      <c r="BZ27" s="46" t="n">
        <v>0</v>
      </c>
      <c r="CB27" s="49" t="s">
        <v>212</v>
      </c>
      <c r="CC27" s="50" t="n">
        <v>0</v>
      </c>
      <c r="CD27" s="50" t="n">
        <v>0</v>
      </c>
      <c r="CE27" s="50" t="n">
        <v>0</v>
      </c>
      <c r="CF27" s="50" t="n">
        <v>0</v>
      </c>
      <c r="CG27" s="50" t="n">
        <v>0</v>
      </c>
      <c r="CH27" s="50" t="n">
        <v>0</v>
      </c>
      <c r="CI27" s="50" t="n">
        <v>0</v>
      </c>
      <c r="CJ27" s="50" t="n">
        <v>0</v>
      </c>
      <c r="CK27" s="50" t="n">
        <v>0</v>
      </c>
      <c r="CL27" s="50" t="n">
        <v>0</v>
      </c>
      <c r="CM27" s="50" t="n">
        <v>0</v>
      </c>
      <c r="CN27" s="50" t="n">
        <v>0</v>
      </c>
      <c r="CO27" s="50" t="n">
        <v>0</v>
      </c>
      <c r="CP27" s="50" t="n">
        <v>0</v>
      </c>
      <c r="CQ27" s="50" t="n">
        <v>0</v>
      </c>
      <c r="CR27" s="50" t="n">
        <v>0</v>
      </c>
      <c r="CS27" s="50" t="n">
        <v>0</v>
      </c>
      <c r="CT27" s="50" t="n">
        <v>0</v>
      </c>
      <c r="CU27" s="50" t="n">
        <v>0</v>
      </c>
      <c r="CV27" s="50" t="n">
        <v>0</v>
      </c>
      <c r="CW27" s="50" t="n">
        <v>0</v>
      </c>
      <c r="CX27" s="50" t="n">
        <v>0</v>
      </c>
      <c r="CY27" s="50" t="n">
        <v>0</v>
      </c>
      <c r="CZ27" s="50" t="n">
        <v>0</v>
      </c>
      <c r="DA27" s="50" t="n">
        <v>0</v>
      </c>
      <c r="DB27" s="50" t="n">
        <v>0</v>
      </c>
      <c r="DC27" s="50" t="n">
        <v>0</v>
      </c>
      <c r="DD27" s="50" t="n">
        <v>0</v>
      </c>
      <c r="DE27" s="50" t="n">
        <v>0</v>
      </c>
      <c r="DF27" s="50" t="n">
        <v>0</v>
      </c>
      <c r="DG27" s="50" t="n">
        <v>0</v>
      </c>
      <c r="DH27" s="50" t="n">
        <v>0</v>
      </c>
      <c r="DI27" s="50" t="n">
        <v>0</v>
      </c>
      <c r="DJ27" s="50" t="n">
        <v>0</v>
      </c>
      <c r="DK27" s="50" t="n">
        <v>0</v>
      </c>
      <c r="DL27" s="50" t="n">
        <v>-3271.4</v>
      </c>
      <c r="DM27" s="50" t="n">
        <v>-3271.4</v>
      </c>
      <c r="DN27" s="50" t="n">
        <v>-3271.4</v>
      </c>
      <c r="DO27" s="50" t="n">
        <v>-3271.4</v>
      </c>
      <c r="DP27" s="50" t="n">
        <v>-3271.4</v>
      </c>
      <c r="DQ27" s="50" t="n">
        <v>-3271.4</v>
      </c>
      <c r="DR27" s="50" t="n">
        <v>-3271.4</v>
      </c>
      <c r="DS27" s="50" t="n">
        <v>-3271.4</v>
      </c>
      <c r="DT27" s="50" t="n">
        <v>-3271.4</v>
      </c>
      <c r="DU27" s="50" t="n">
        <v>-3271.4</v>
      </c>
      <c r="DV27" s="50" t="n">
        <v>-3271.4</v>
      </c>
      <c r="DW27" s="50" t="n">
        <v>-3271.4</v>
      </c>
      <c r="DX27" s="50" t="n">
        <v>0</v>
      </c>
      <c r="DY27" s="50" t="n">
        <v>0</v>
      </c>
      <c r="DZ27" s="50" t="n">
        <v>0</v>
      </c>
      <c r="EA27" s="50" t="n">
        <v>0</v>
      </c>
      <c r="EB27" s="50" t="n">
        <v>0</v>
      </c>
      <c r="EC27" s="50" t="n">
        <v>0</v>
      </c>
      <c r="ED27" s="50" t="n">
        <v>0</v>
      </c>
      <c r="EE27" s="50" t="n">
        <v>0</v>
      </c>
      <c r="EF27" s="50" t="n">
        <v>0</v>
      </c>
      <c r="EG27" s="50" t="n">
        <v>0</v>
      </c>
      <c r="EH27" s="50" t="n">
        <v>0</v>
      </c>
      <c r="EI27" s="50" t="n">
        <v>0</v>
      </c>
      <c r="EJ27" s="50" t="n">
        <v>0</v>
      </c>
      <c r="EK27" s="50" t="n">
        <v>0</v>
      </c>
      <c r="EL27" s="50" t="n">
        <v>0</v>
      </c>
      <c r="EM27" s="50" t="n">
        <v>0</v>
      </c>
      <c r="EN27" s="51" t="n">
        <v>0</v>
      </c>
      <c r="EO27" s="50" t="n">
        <v>0</v>
      </c>
      <c r="EP27" s="50" t="n">
        <v>0</v>
      </c>
      <c r="EQ27" s="50" t="n">
        <v>0</v>
      </c>
      <c r="ER27" s="50" t="n">
        <v>0</v>
      </c>
      <c r="ES27" s="50" t="n">
        <v>0</v>
      </c>
      <c r="ET27" s="50" t="n">
        <v>0</v>
      </c>
      <c r="EU27" s="50" t="n">
        <v>0</v>
      </c>
      <c r="EV27" s="50" t="n">
        <v>0</v>
      </c>
      <c r="EX27" s="47" t="n">
        <v>0</v>
      </c>
      <c r="EY27" s="47" t="n">
        <v>0</v>
      </c>
      <c r="EZ27" s="47" t="n">
        <v>0</v>
      </c>
      <c r="FA27" s="47" t="n">
        <v>0</v>
      </c>
      <c r="FB27" s="47" t="n">
        <v>0</v>
      </c>
      <c r="FC27" s="47" t="n">
        <v>0</v>
      </c>
      <c r="FD27" s="47" t="n">
        <v>0</v>
      </c>
      <c r="FE27" s="47" t="n">
        <v>0</v>
      </c>
      <c r="FF27" s="47" t="n">
        <v>0</v>
      </c>
      <c r="FG27" s="47" t="n">
        <v>0</v>
      </c>
      <c r="FH27" s="47" t="n">
        <v>0</v>
      </c>
      <c r="FI27" s="47" t="n">
        <v>0</v>
      </c>
      <c r="FJ27" s="47" t="n">
        <v>0</v>
      </c>
      <c r="FK27" s="47" t="n">
        <v>0</v>
      </c>
      <c r="FL27" s="47" t="n">
        <v>0</v>
      </c>
      <c r="FM27" s="47" t="n">
        <v>0</v>
      </c>
      <c r="FN27" s="47" t="n">
        <v>0</v>
      </c>
      <c r="FO27" s="47" t="n">
        <v>0</v>
      </c>
      <c r="FP27" s="47" t="n">
        <v>0</v>
      </c>
      <c r="FQ27" s="47" t="n">
        <v>0</v>
      </c>
      <c r="FR27" s="47" t="n">
        <v>0</v>
      </c>
      <c r="FS27" s="47" t="n">
        <v>0</v>
      </c>
      <c r="FT27" s="47" t="n">
        <v>0</v>
      </c>
      <c r="FU27" s="47" t="n">
        <v>0</v>
      </c>
      <c r="FV27" s="47" t="n">
        <v>0</v>
      </c>
      <c r="FW27" s="47" t="n">
        <v>0</v>
      </c>
      <c r="FX27" s="47" t="n">
        <v>0</v>
      </c>
      <c r="FY27" s="47" t="n">
        <v>0</v>
      </c>
      <c r="FZ27" s="47" t="n">
        <v>0</v>
      </c>
      <c r="GA27" s="47" t="n">
        <v>0</v>
      </c>
      <c r="GB27" s="47" t="n">
        <v>0</v>
      </c>
      <c r="GC27" s="47" t="n">
        <v>0</v>
      </c>
      <c r="GD27" s="47" t="n">
        <v>0</v>
      </c>
      <c r="GE27" s="47" t="n">
        <v>0</v>
      </c>
      <c r="GF27" s="47" t="n">
        <v>0</v>
      </c>
      <c r="GG27" s="47" t="n">
        <v>0</v>
      </c>
      <c r="GH27" s="47" t="n">
        <v>0</v>
      </c>
      <c r="GI27" s="47" t="n">
        <v>0</v>
      </c>
      <c r="GJ27" s="47" t="n">
        <v>0</v>
      </c>
      <c r="GK27" s="47" t="n">
        <v>0</v>
      </c>
      <c r="GL27" s="47" t="n">
        <v>0</v>
      </c>
      <c r="GM27" s="47" t="n">
        <v>0</v>
      </c>
      <c r="GN27" s="47" t="n">
        <v>0</v>
      </c>
      <c r="GO27" s="47" t="n">
        <v>0</v>
      </c>
      <c r="GP27" s="47" t="n">
        <v>0</v>
      </c>
      <c r="GQ27" s="47" t="n">
        <v>0</v>
      </c>
      <c r="GR27" s="47" t="n">
        <v>0</v>
      </c>
      <c r="GS27" s="47" t="n">
        <v>0</v>
      </c>
      <c r="GT27" s="47" t="n">
        <v>0</v>
      </c>
      <c r="GU27" s="47" t="n">
        <v>0</v>
      </c>
      <c r="GV27" s="47" t="n">
        <v>0</v>
      </c>
      <c r="GW27" s="47" t="n">
        <v>0</v>
      </c>
      <c r="GX27" s="47" t="n">
        <v>0</v>
      </c>
      <c r="GY27" s="47" t="n">
        <v>0</v>
      </c>
      <c r="GZ27" s="47" t="n">
        <v>0</v>
      </c>
      <c r="HA27" s="47" t="n">
        <v>0</v>
      </c>
      <c r="HB27" s="47" t="n">
        <v>0</v>
      </c>
      <c r="HC27" s="47" t="n">
        <v>0</v>
      </c>
      <c r="HD27" s="47" t="n">
        <v>0</v>
      </c>
      <c r="HE27" s="47" t="n">
        <v>0</v>
      </c>
      <c r="HF27" s="47" t="n">
        <v>0</v>
      </c>
      <c r="HG27" s="47" t="n">
        <v>0</v>
      </c>
      <c r="HH27" s="47" t="n">
        <v>0</v>
      </c>
      <c r="HI27" s="48" t="n">
        <v>0</v>
      </c>
      <c r="HJ27" s="47" t="n">
        <v>0</v>
      </c>
      <c r="HK27" s="47" t="n">
        <v>0</v>
      </c>
      <c r="HL27" s="47" t="n">
        <v>0</v>
      </c>
      <c r="HM27" s="47" t="n">
        <v>0</v>
      </c>
      <c r="HN27" s="47" t="n">
        <v>0</v>
      </c>
      <c r="HO27" s="47" t="n">
        <v>0</v>
      </c>
      <c r="HP27" s="47" t="n">
        <v>0</v>
      </c>
      <c r="HQ27" s="47" t="n">
        <v>0</v>
      </c>
    </row>
    <row r="28" customFormat="false" ht="15.75" hidden="false" customHeight="true" outlineLevel="0" collapsed="false">
      <c r="A28" s="35" t="s">
        <v>213</v>
      </c>
      <c r="B28" s="35" t="s">
        <v>214</v>
      </c>
      <c r="C28" s="35" t="s">
        <v>200</v>
      </c>
      <c r="D28" s="35" t="s">
        <v>215</v>
      </c>
      <c r="E28" s="35" t="s">
        <v>174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0</v>
      </c>
      <c r="Q28" s="44" t="n">
        <v>0</v>
      </c>
      <c r="R28" s="44" t="n">
        <v>0</v>
      </c>
      <c r="S28" s="44" t="n">
        <v>0</v>
      </c>
      <c r="T28" s="44" t="n">
        <v>0</v>
      </c>
      <c r="U28" s="44" t="n">
        <v>0</v>
      </c>
      <c r="V28" s="44" t="n">
        <v>0</v>
      </c>
      <c r="W28" s="44" t="n">
        <v>0</v>
      </c>
      <c r="X28" s="44" t="n">
        <v>0</v>
      </c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105670.833333333</v>
      </c>
      <c r="AF28" s="44" t="n">
        <v>105670.833333333</v>
      </c>
      <c r="AG28" s="44" t="n">
        <v>105670.833333333</v>
      </c>
      <c r="AH28" s="44" t="n">
        <v>105670.833333333</v>
      </c>
      <c r="AI28" s="44" t="n">
        <v>105670.833333333</v>
      </c>
      <c r="AJ28" s="44" t="n">
        <v>105670.833333333</v>
      </c>
      <c r="AK28" s="44" t="n">
        <v>105670.833333333</v>
      </c>
      <c r="AL28" s="44" t="n">
        <v>105670.833333333</v>
      </c>
      <c r="AM28" s="44" t="n">
        <v>105670.833333333</v>
      </c>
      <c r="AN28" s="44" t="n">
        <v>105670.833333333</v>
      </c>
      <c r="AO28" s="44" t="n">
        <v>105670.833333333</v>
      </c>
      <c r="AP28" s="44" t="n">
        <v>105670.833333333</v>
      </c>
      <c r="AQ28" s="44" t="n">
        <v>16321.9591666667</v>
      </c>
      <c r="AR28" s="44" t="n">
        <v>16321.9591666667</v>
      </c>
      <c r="AS28" s="44" t="n">
        <v>16321.9591666667</v>
      </c>
      <c r="AT28" s="44" t="n">
        <v>16321.9591666667</v>
      </c>
      <c r="AU28" s="44" t="n">
        <v>16321.9591666667</v>
      </c>
      <c r="AV28" s="44" t="n">
        <v>16321.9591666667</v>
      </c>
      <c r="AW28" s="44" t="n">
        <v>16321.9591666667</v>
      </c>
      <c r="AX28" s="44" t="n">
        <v>16321.9591666667</v>
      </c>
      <c r="AY28" s="44" t="n">
        <v>16321.9591666667</v>
      </c>
      <c r="AZ28" s="44" t="n">
        <v>16321.9591666667</v>
      </c>
      <c r="BA28" s="44" t="n">
        <v>16321.9591666667</v>
      </c>
      <c r="BB28" s="44" t="n">
        <v>16321.9591666667</v>
      </c>
      <c r="BC28" s="44" t="n">
        <v>30029.1666666667</v>
      </c>
      <c r="BD28" s="44" t="n">
        <v>30029.1666666667</v>
      </c>
      <c r="BE28" s="44" t="n">
        <v>30029.1666666667</v>
      </c>
      <c r="BF28" s="44" t="n">
        <v>30029.1666666667</v>
      </c>
      <c r="BG28" s="44" t="n">
        <v>49716.6666666667</v>
      </c>
      <c r="BH28" s="44" t="n">
        <v>49716.6666666667</v>
      </c>
      <c r="BI28" s="44" t="n">
        <v>49716.6666666667</v>
      </c>
      <c r="BJ28" s="44" t="n">
        <v>49716.6666666667</v>
      </c>
      <c r="BK28" s="44" t="n">
        <v>49716.6666666667</v>
      </c>
      <c r="BL28" s="44" t="n">
        <v>49716.6666666667</v>
      </c>
      <c r="BM28" s="44" t="n">
        <v>49716.6666666667</v>
      </c>
      <c r="BN28" s="44" t="n">
        <v>49716.6666666667</v>
      </c>
      <c r="BO28" s="44" t="n">
        <v>127200</v>
      </c>
      <c r="BP28" s="44" t="n">
        <v>127200</v>
      </c>
      <c r="BQ28" s="44" t="n">
        <v>127200</v>
      </c>
      <c r="BR28" s="45" t="n">
        <v>127200</v>
      </c>
      <c r="BS28" s="46" t="n">
        <v>127200</v>
      </c>
      <c r="BT28" s="46" t="n">
        <v>127200</v>
      </c>
      <c r="BU28" s="46" t="n">
        <v>127200</v>
      </c>
      <c r="BV28" s="46" t="n">
        <v>127200</v>
      </c>
      <c r="BW28" s="46" t="n">
        <v>127200</v>
      </c>
      <c r="BX28" s="46" t="n">
        <v>127200</v>
      </c>
      <c r="BY28" s="46" t="n">
        <v>127200</v>
      </c>
      <c r="BZ28" s="46" t="n">
        <v>127200</v>
      </c>
      <c r="CB28" s="49" t="s">
        <v>170</v>
      </c>
      <c r="CC28" s="50" t="n">
        <v>0</v>
      </c>
      <c r="CD28" s="50" t="n">
        <v>0</v>
      </c>
      <c r="CE28" s="50" t="n">
        <v>0</v>
      </c>
      <c r="CF28" s="50" t="n">
        <v>0</v>
      </c>
      <c r="CG28" s="50" t="n">
        <v>0</v>
      </c>
      <c r="CH28" s="50" t="n">
        <v>0</v>
      </c>
      <c r="CI28" s="50" t="n">
        <v>0</v>
      </c>
      <c r="CJ28" s="50" t="n">
        <v>0</v>
      </c>
      <c r="CK28" s="50" t="n">
        <v>0</v>
      </c>
      <c r="CL28" s="50" t="n">
        <v>0</v>
      </c>
      <c r="CM28" s="50" t="n">
        <v>0</v>
      </c>
      <c r="CN28" s="50" t="n">
        <v>0</v>
      </c>
      <c r="CO28" s="50" t="n">
        <v>0</v>
      </c>
      <c r="CP28" s="50" t="n">
        <v>0</v>
      </c>
      <c r="CQ28" s="50" t="n">
        <v>0</v>
      </c>
      <c r="CR28" s="50" t="n">
        <v>0</v>
      </c>
      <c r="CS28" s="50" t="n">
        <v>0</v>
      </c>
      <c r="CT28" s="50" t="n">
        <v>0</v>
      </c>
      <c r="CU28" s="50" t="n">
        <v>0</v>
      </c>
      <c r="CV28" s="50" t="n">
        <v>0</v>
      </c>
      <c r="CW28" s="50" t="n">
        <v>0</v>
      </c>
      <c r="CX28" s="50" t="n">
        <v>0</v>
      </c>
      <c r="CY28" s="50" t="n">
        <v>0</v>
      </c>
      <c r="CZ28" s="50" t="n">
        <v>0</v>
      </c>
      <c r="DA28" s="50" t="n">
        <v>-96724.1141666667</v>
      </c>
      <c r="DB28" s="50" t="n">
        <v>-96724.1141666667</v>
      </c>
      <c r="DC28" s="50" t="n">
        <v>-96724.1141666667</v>
      </c>
      <c r="DD28" s="50" t="n">
        <v>-96724.1141666667</v>
      </c>
      <c r="DE28" s="50" t="n">
        <v>-96724.1141666667</v>
      </c>
      <c r="DF28" s="50" t="n">
        <v>-96724.1141666667</v>
      </c>
      <c r="DG28" s="50" t="n">
        <v>-96724.1141666667</v>
      </c>
      <c r="DH28" s="50" t="n">
        <v>-96724.1141666667</v>
      </c>
      <c r="DI28" s="50" t="n">
        <v>-96724.1141666667</v>
      </c>
      <c r="DJ28" s="50" t="n">
        <v>-96724.1141666667</v>
      </c>
      <c r="DK28" s="50" t="n">
        <v>-96724.1141666667</v>
      </c>
      <c r="DL28" s="50" t="n">
        <v>-96724.1141666667</v>
      </c>
      <c r="DM28" s="50" t="n">
        <v>0</v>
      </c>
      <c r="DN28" s="50" t="n">
        <v>0</v>
      </c>
      <c r="DO28" s="50" t="n">
        <v>0</v>
      </c>
      <c r="DP28" s="50" t="n">
        <v>0</v>
      </c>
      <c r="DQ28" s="50" t="n">
        <v>0</v>
      </c>
      <c r="DR28" s="50" t="n">
        <v>0</v>
      </c>
      <c r="DS28" s="50" t="n">
        <v>0</v>
      </c>
      <c r="DT28" s="50" t="n">
        <v>0</v>
      </c>
      <c r="DU28" s="50" t="n">
        <v>0</v>
      </c>
      <c r="DV28" s="50" t="n">
        <v>0</v>
      </c>
      <c r="DW28" s="50" t="n">
        <v>0</v>
      </c>
      <c r="DX28" s="50" t="n">
        <v>0</v>
      </c>
      <c r="DY28" s="50" t="n">
        <v>0</v>
      </c>
      <c r="DZ28" s="50" t="n">
        <v>0</v>
      </c>
      <c r="EA28" s="50" t="n">
        <v>0</v>
      </c>
      <c r="EB28" s="50" t="n">
        <v>0</v>
      </c>
      <c r="EC28" s="50" t="n">
        <v>0</v>
      </c>
      <c r="ED28" s="50" t="n">
        <v>0</v>
      </c>
      <c r="EE28" s="50" t="n">
        <v>0</v>
      </c>
      <c r="EF28" s="50" t="n">
        <v>0</v>
      </c>
      <c r="EG28" s="50" t="n">
        <v>0</v>
      </c>
      <c r="EH28" s="50" t="n">
        <v>0</v>
      </c>
      <c r="EI28" s="50" t="n">
        <v>0</v>
      </c>
      <c r="EJ28" s="50" t="n">
        <v>0</v>
      </c>
      <c r="EK28" s="50" t="n">
        <v>0</v>
      </c>
      <c r="EL28" s="50" t="n">
        <v>0</v>
      </c>
      <c r="EM28" s="50" t="n">
        <v>0</v>
      </c>
      <c r="EN28" s="51" t="n">
        <v>0</v>
      </c>
      <c r="EO28" s="50" t="n">
        <v>0</v>
      </c>
      <c r="EP28" s="50" t="n">
        <v>0</v>
      </c>
      <c r="EQ28" s="50" t="n">
        <v>0</v>
      </c>
      <c r="ER28" s="50" t="n">
        <v>0</v>
      </c>
      <c r="ES28" s="50" t="n">
        <v>0</v>
      </c>
      <c r="ET28" s="50" t="n">
        <v>0</v>
      </c>
      <c r="EU28" s="50" t="n">
        <v>0</v>
      </c>
      <c r="EV28" s="50" t="n">
        <v>0</v>
      </c>
      <c r="EX28" s="47" t="n">
        <v>0</v>
      </c>
      <c r="EY28" s="47" t="n">
        <v>0</v>
      </c>
      <c r="EZ28" s="47" t="n">
        <v>0</v>
      </c>
      <c r="FA28" s="47" t="n">
        <v>0</v>
      </c>
      <c r="FB28" s="47" t="n">
        <v>0</v>
      </c>
      <c r="FC28" s="47" t="n">
        <v>0</v>
      </c>
      <c r="FD28" s="47" t="n">
        <v>0</v>
      </c>
      <c r="FE28" s="47" t="n">
        <v>0</v>
      </c>
      <c r="FF28" s="47" t="n">
        <v>0</v>
      </c>
      <c r="FG28" s="47" t="n">
        <v>0</v>
      </c>
      <c r="FH28" s="47" t="n">
        <v>0</v>
      </c>
      <c r="FI28" s="47" t="n">
        <v>0</v>
      </c>
      <c r="FJ28" s="47" t="n">
        <v>0</v>
      </c>
      <c r="FK28" s="47" t="n">
        <v>0</v>
      </c>
      <c r="FL28" s="47" t="n">
        <v>0</v>
      </c>
      <c r="FM28" s="47" t="n">
        <v>0</v>
      </c>
      <c r="FN28" s="47" t="n">
        <v>0</v>
      </c>
      <c r="FO28" s="47" t="n">
        <v>0</v>
      </c>
      <c r="FP28" s="47" t="n">
        <v>0</v>
      </c>
      <c r="FQ28" s="47" t="n">
        <v>0</v>
      </c>
      <c r="FR28" s="47" t="n">
        <v>0</v>
      </c>
      <c r="FS28" s="47" t="n">
        <v>0</v>
      </c>
      <c r="FT28" s="47" t="n">
        <v>0</v>
      </c>
      <c r="FU28" s="47" t="n">
        <v>0</v>
      </c>
      <c r="FV28" s="47" t="n">
        <v>8946.7191666663</v>
      </c>
      <c r="FW28" s="47" t="n">
        <v>8946.7191666663</v>
      </c>
      <c r="FX28" s="47" t="n">
        <v>8946.7191666663</v>
      </c>
      <c r="FY28" s="47" t="n">
        <v>8946.7191666663</v>
      </c>
      <c r="FZ28" s="47" t="n">
        <v>8946.7191666663</v>
      </c>
      <c r="GA28" s="47" t="n">
        <v>8946.7191666663</v>
      </c>
      <c r="GB28" s="47" t="n">
        <v>8946.7191666663</v>
      </c>
      <c r="GC28" s="47" t="n">
        <v>8946.7191666663</v>
      </c>
      <c r="GD28" s="47" t="n">
        <v>8946.7191666663</v>
      </c>
      <c r="GE28" s="47" t="n">
        <v>8946.7191666663</v>
      </c>
      <c r="GF28" s="47" t="n">
        <v>8946.7191666663</v>
      </c>
      <c r="GG28" s="47" t="n">
        <v>8946.7191666663</v>
      </c>
      <c r="GH28" s="47" t="n">
        <v>16321.9591666667</v>
      </c>
      <c r="GI28" s="47" t="n">
        <v>16321.9591666667</v>
      </c>
      <c r="GJ28" s="47" t="n">
        <v>16321.9591666667</v>
      </c>
      <c r="GK28" s="47" t="n">
        <v>16321.9591666667</v>
      </c>
      <c r="GL28" s="47" t="n">
        <v>16321.9591666667</v>
      </c>
      <c r="GM28" s="47" t="n">
        <v>16321.9591666667</v>
      </c>
      <c r="GN28" s="47" t="n">
        <v>16321.9591666667</v>
      </c>
      <c r="GO28" s="47" t="n">
        <v>16321.9591666667</v>
      </c>
      <c r="GP28" s="47" t="n">
        <v>16321.9591666667</v>
      </c>
      <c r="GQ28" s="47" t="n">
        <v>16321.9591666667</v>
      </c>
      <c r="GR28" s="47" t="n">
        <v>16321.9591666667</v>
      </c>
      <c r="GS28" s="47" t="n">
        <v>16321.9591666667</v>
      </c>
      <c r="GT28" s="47" t="n">
        <v>30029.1666666667</v>
      </c>
      <c r="GU28" s="47" t="n">
        <v>30029.1666666667</v>
      </c>
      <c r="GV28" s="47" t="n">
        <v>30029.1666666667</v>
      </c>
      <c r="GW28" s="47" t="n">
        <v>30029.1666666667</v>
      </c>
      <c r="GX28" s="47" t="n">
        <v>49716.6666666667</v>
      </c>
      <c r="GY28" s="47" t="n">
        <v>49716.6666666667</v>
      </c>
      <c r="GZ28" s="47" t="n">
        <v>49716.6666666667</v>
      </c>
      <c r="HA28" s="47" t="n">
        <v>49716.6666666667</v>
      </c>
      <c r="HB28" s="47" t="n">
        <v>49716.6666666667</v>
      </c>
      <c r="HC28" s="47" t="n">
        <v>49716.6666666667</v>
      </c>
      <c r="HD28" s="47" t="n">
        <v>49716.6666666667</v>
      </c>
      <c r="HE28" s="47" t="n">
        <v>49716.6666666667</v>
      </c>
      <c r="HF28" s="47" t="n">
        <v>127200</v>
      </c>
      <c r="HG28" s="47" t="n">
        <v>127200</v>
      </c>
      <c r="HH28" s="47" t="n">
        <v>127200</v>
      </c>
      <c r="HI28" s="48" t="n">
        <v>127200</v>
      </c>
      <c r="HJ28" s="47" t="n">
        <v>127200</v>
      </c>
      <c r="HK28" s="47" t="n">
        <v>127200</v>
      </c>
      <c r="HL28" s="47" t="n">
        <v>127200</v>
      </c>
      <c r="HM28" s="47" t="n">
        <v>127200</v>
      </c>
      <c r="HN28" s="47" t="n">
        <v>127200</v>
      </c>
      <c r="HO28" s="47" t="n">
        <v>127200</v>
      </c>
      <c r="HP28" s="47" t="n">
        <v>127200</v>
      </c>
      <c r="HQ28" s="47" t="n">
        <v>127200</v>
      </c>
      <c r="HS28" s="47" t="n">
        <v>0</v>
      </c>
      <c r="HT28" s="47" t="n">
        <v>0</v>
      </c>
      <c r="HU28" s="47" t="n">
        <v>0</v>
      </c>
      <c r="HV28" s="47" t="n">
        <v>0</v>
      </c>
      <c r="HW28" s="47" t="n">
        <v>0</v>
      </c>
      <c r="HX28" s="47" t="n">
        <v>0</v>
      </c>
      <c r="HY28" s="47" t="n">
        <v>0</v>
      </c>
      <c r="HZ28" s="47" t="n">
        <v>0</v>
      </c>
      <c r="IA28" s="47" t="n">
        <v>0</v>
      </c>
      <c r="IB28" s="47" t="n">
        <v>0</v>
      </c>
      <c r="IC28" s="47" t="n">
        <v>0</v>
      </c>
      <c r="ID28" s="47" t="n">
        <v>0</v>
      </c>
      <c r="IE28" s="47" t="n">
        <v>0</v>
      </c>
      <c r="IF28" s="47" t="n">
        <v>0</v>
      </c>
      <c r="IG28" s="47" t="n">
        <v>0</v>
      </c>
      <c r="IH28" s="47" t="n">
        <v>0</v>
      </c>
      <c r="II28" s="47" t="n">
        <v>0</v>
      </c>
      <c r="IJ28" s="47" t="n">
        <v>0</v>
      </c>
      <c r="IK28" s="47" t="n">
        <v>0</v>
      </c>
      <c r="IL28" s="47" t="n">
        <v>0</v>
      </c>
      <c r="IM28" s="47" t="n">
        <v>0</v>
      </c>
      <c r="IN28" s="47" t="n">
        <v>0</v>
      </c>
      <c r="IO28" s="47" t="n">
        <v>0</v>
      </c>
      <c r="IP28" s="47" t="n">
        <v>0</v>
      </c>
      <c r="IQ28" s="47" t="n">
        <v>8946.7191666663</v>
      </c>
      <c r="IR28" s="47" t="n">
        <v>8946.7191666663</v>
      </c>
      <c r="IS28" s="47" t="n">
        <v>8946.7191666663</v>
      </c>
      <c r="IT28" s="47" t="n">
        <v>8946.7191666663</v>
      </c>
      <c r="IU28" s="47" t="n">
        <v>8946.7191666663</v>
      </c>
      <c r="IV28" s="47" t="n">
        <v>8946.7191666663</v>
      </c>
      <c r="IW28" s="47" t="n">
        <v>8946.7191666663</v>
      </c>
      <c r="IX28" s="47" t="n">
        <v>8946.7191666663</v>
      </c>
      <c r="IY28" s="47" t="n">
        <v>8946.7191666663</v>
      </c>
      <c r="IZ28" s="47" t="n">
        <v>8946.7191666663</v>
      </c>
      <c r="JA28" s="47" t="n">
        <v>8946.7191666663</v>
      </c>
      <c r="JB28" s="47" t="n">
        <v>8946.7191666663</v>
      </c>
      <c r="JC28" s="47" t="n">
        <v>16321.9591666667</v>
      </c>
      <c r="JD28" s="47" t="n">
        <v>16321.9591666667</v>
      </c>
      <c r="JE28" s="47" t="n">
        <v>16321.9591666667</v>
      </c>
      <c r="JF28" s="47" t="n">
        <v>16321.9591666667</v>
      </c>
      <c r="JG28" s="47" t="n">
        <v>16321.9591666667</v>
      </c>
      <c r="JH28" s="47" t="n">
        <v>16321.9591666667</v>
      </c>
      <c r="JI28" s="47" t="n">
        <v>16321.9591666667</v>
      </c>
      <c r="JJ28" s="47" t="n">
        <v>16321.9591666667</v>
      </c>
      <c r="JK28" s="47" t="n">
        <v>16321.9591666667</v>
      </c>
      <c r="JL28" s="47" t="n">
        <v>16321.9591666667</v>
      </c>
      <c r="JM28" s="47" t="n">
        <v>16321.9591666667</v>
      </c>
      <c r="JN28" s="47" t="n">
        <v>16321.9591666667</v>
      </c>
      <c r="JO28" s="47" t="n">
        <v>30029.1666666667</v>
      </c>
      <c r="JP28" s="47" t="n">
        <v>30029.1666666667</v>
      </c>
      <c r="JQ28" s="47" t="n">
        <v>30029.1666666667</v>
      </c>
      <c r="JR28" s="47" t="n">
        <v>30029.1666666667</v>
      </c>
      <c r="JS28" s="47" t="n">
        <v>49716.6666666667</v>
      </c>
      <c r="JT28" s="47" t="n">
        <v>49716.6666666667</v>
      </c>
      <c r="JU28" s="47" t="n">
        <v>49716.6666666667</v>
      </c>
      <c r="JV28" s="47" t="n">
        <v>49716.6666666667</v>
      </c>
      <c r="JW28" s="47" t="n">
        <v>49716.6666666667</v>
      </c>
      <c r="JX28" s="47" t="n">
        <v>49716.6666666667</v>
      </c>
      <c r="JY28" s="47" t="n">
        <v>49716.6666666667</v>
      </c>
      <c r="JZ28" s="47" t="n">
        <v>49716.6666666667</v>
      </c>
      <c r="KA28" s="47" t="n">
        <v>127200</v>
      </c>
      <c r="KB28" s="47" t="n">
        <v>127200</v>
      </c>
      <c r="KC28" s="47" t="n">
        <v>127200</v>
      </c>
      <c r="KD28" s="48" t="n">
        <v>127200</v>
      </c>
      <c r="KE28" s="47" t="n">
        <v>127200</v>
      </c>
      <c r="KF28" s="47" t="n">
        <v>127200</v>
      </c>
      <c r="KG28" s="47" t="n">
        <v>127200</v>
      </c>
      <c r="KH28" s="47" t="n">
        <v>127200</v>
      </c>
      <c r="KI28" s="47" t="n">
        <v>127200</v>
      </c>
      <c r="KJ28" s="47" t="n">
        <v>127200</v>
      </c>
      <c r="KK28" s="47" t="n">
        <v>127200</v>
      </c>
      <c r="KL28" s="47" t="n">
        <v>127200</v>
      </c>
    </row>
    <row r="29" customFormat="false" ht="18" hidden="false" customHeight="true" outlineLevel="0" collapsed="false">
      <c r="A29" s="35" t="s">
        <v>216</v>
      </c>
      <c r="B29" s="35" t="s">
        <v>217</v>
      </c>
      <c r="C29" s="35" t="s">
        <v>200</v>
      </c>
      <c r="D29" s="35" t="s">
        <v>165</v>
      </c>
      <c r="E29" s="35" t="s">
        <v>174</v>
      </c>
      <c r="G29" s="44" t="n">
        <v>13925</v>
      </c>
      <c r="H29" s="44" t="n">
        <v>13925</v>
      </c>
      <c r="I29" s="44" t="n">
        <v>13925</v>
      </c>
      <c r="J29" s="44" t="n">
        <v>13925</v>
      </c>
      <c r="K29" s="44" t="n">
        <v>13925</v>
      </c>
      <c r="L29" s="44" t="n">
        <v>13925</v>
      </c>
      <c r="M29" s="44" t="n">
        <v>0</v>
      </c>
      <c r="N29" s="44" t="n">
        <v>0</v>
      </c>
      <c r="O29" s="44" t="n">
        <v>0</v>
      </c>
      <c r="P29" s="44" t="n">
        <v>0</v>
      </c>
      <c r="Q29" s="44" t="n">
        <v>0</v>
      </c>
      <c r="R29" s="44" t="n">
        <v>0</v>
      </c>
      <c r="S29" s="44" t="n">
        <v>0</v>
      </c>
      <c r="T29" s="44" t="n">
        <v>0</v>
      </c>
      <c r="U29" s="44" t="n">
        <v>0</v>
      </c>
      <c r="V29" s="44" t="n">
        <v>0</v>
      </c>
      <c r="W29" s="44" t="n">
        <v>0</v>
      </c>
      <c r="X29" s="44" t="n">
        <v>0</v>
      </c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44" t="n">
        <v>0</v>
      </c>
      <c r="AK29" s="44" t="n">
        <v>0</v>
      </c>
      <c r="AL29" s="44" t="n">
        <v>0</v>
      </c>
      <c r="AM29" s="44" t="n">
        <v>0</v>
      </c>
      <c r="AN29" s="44" t="n">
        <v>0</v>
      </c>
      <c r="AO29" s="44" t="n">
        <v>0</v>
      </c>
      <c r="AP29" s="44" t="n">
        <v>0</v>
      </c>
      <c r="BS29" s="46" t="n">
        <v>0</v>
      </c>
      <c r="BT29" s="46" t="n">
        <v>0</v>
      </c>
      <c r="BU29" s="46" t="n">
        <v>0</v>
      </c>
      <c r="BV29" s="46" t="n">
        <v>0</v>
      </c>
      <c r="BW29" s="46" t="n">
        <v>0</v>
      </c>
      <c r="BX29" s="46" t="n">
        <v>0</v>
      </c>
      <c r="BY29" s="46" t="n">
        <v>0</v>
      </c>
      <c r="BZ29" s="46" t="n">
        <v>0</v>
      </c>
      <c r="CB29" s="49" t="s">
        <v>170</v>
      </c>
      <c r="CC29" s="50" t="n">
        <v>-13925</v>
      </c>
      <c r="CD29" s="50" t="n">
        <v>-13925</v>
      </c>
      <c r="CE29" s="50" t="n">
        <v>-13925</v>
      </c>
      <c r="CF29" s="50" t="n">
        <v>-13925</v>
      </c>
      <c r="CG29" s="50" t="n">
        <v>-13925</v>
      </c>
      <c r="CH29" s="50" t="n">
        <v>-13925</v>
      </c>
      <c r="CI29" s="50" t="n">
        <v>0</v>
      </c>
      <c r="CJ29" s="50" t="n">
        <v>0</v>
      </c>
      <c r="CK29" s="50" t="n">
        <v>0</v>
      </c>
      <c r="CL29" s="50" t="n">
        <v>0</v>
      </c>
      <c r="CM29" s="50" t="n">
        <v>0</v>
      </c>
      <c r="CN29" s="50" t="n">
        <v>0</v>
      </c>
      <c r="CO29" s="50" t="n">
        <v>0</v>
      </c>
      <c r="CP29" s="50" t="n">
        <v>0</v>
      </c>
      <c r="CQ29" s="50" t="n">
        <v>0</v>
      </c>
      <c r="CR29" s="50" t="n">
        <v>0</v>
      </c>
      <c r="CS29" s="50" t="n">
        <v>0</v>
      </c>
      <c r="CT29" s="50" t="n">
        <v>0</v>
      </c>
      <c r="CU29" s="50" t="n">
        <v>0</v>
      </c>
      <c r="CV29" s="50" t="n">
        <v>0</v>
      </c>
      <c r="CW29" s="50" t="n">
        <v>0</v>
      </c>
      <c r="CX29" s="50" t="n">
        <v>0</v>
      </c>
      <c r="CY29" s="50" t="n">
        <v>0</v>
      </c>
      <c r="CZ29" s="50" t="n">
        <v>0</v>
      </c>
      <c r="DA29" s="50" t="n">
        <v>0</v>
      </c>
      <c r="DB29" s="50" t="n">
        <v>0</v>
      </c>
      <c r="DC29" s="50" t="n">
        <v>0</v>
      </c>
      <c r="DD29" s="50" t="n">
        <v>0</v>
      </c>
      <c r="DE29" s="50" t="n">
        <v>0</v>
      </c>
      <c r="DF29" s="50" t="n">
        <v>0</v>
      </c>
      <c r="DG29" s="50" t="n">
        <v>0</v>
      </c>
      <c r="DH29" s="50" t="n">
        <v>0</v>
      </c>
      <c r="DI29" s="50" t="n">
        <v>0</v>
      </c>
      <c r="DJ29" s="50" t="n">
        <v>0</v>
      </c>
      <c r="DK29" s="50" t="n">
        <v>0</v>
      </c>
      <c r="DL29" s="50" t="n">
        <v>0</v>
      </c>
      <c r="DM29" s="50" t="n">
        <v>0</v>
      </c>
      <c r="DN29" s="50" t="n">
        <v>0</v>
      </c>
      <c r="DO29" s="50" t="n">
        <v>0</v>
      </c>
      <c r="DP29" s="50" t="n">
        <v>0</v>
      </c>
      <c r="DQ29" s="50" t="n">
        <v>0</v>
      </c>
      <c r="DR29" s="50" t="n">
        <v>0</v>
      </c>
      <c r="DS29" s="50" t="n">
        <v>0</v>
      </c>
      <c r="DT29" s="50" t="n">
        <v>0</v>
      </c>
      <c r="DU29" s="50" t="n">
        <v>0</v>
      </c>
      <c r="DV29" s="50" t="n">
        <v>0</v>
      </c>
      <c r="DW29" s="50" t="n">
        <v>0</v>
      </c>
      <c r="DX29" s="50" t="n">
        <v>0</v>
      </c>
      <c r="DY29" s="50" t="n">
        <v>0</v>
      </c>
      <c r="DZ29" s="50" t="n">
        <v>0</v>
      </c>
      <c r="EA29" s="50" t="n">
        <v>0</v>
      </c>
      <c r="EB29" s="50" t="n">
        <v>0</v>
      </c>
      <c r="EC29" s="50" t="n">
        <v>0</v>
      </c>
      <c r="ED29" s="50" t="n">
        <v>0</v>
      </c>
      <c r="EE29" s="50" t="n">
        <v>0</v>
      </c>
      <c r="EF29" s="50" t="n">
        <v>0</v>
      </c>
      <c r="EG29" s="50" t="n">
        <v>0</v>
      </c>
      <c r="EH29" s="50" t="n">
        <v>0</v>
      </c>
      <c r="EI29" s="50" t="n">
        <v>0</v>
      </c>
      <c r="EJ29" s="50" t="n">
        <v>0</v>
      </c>
      <c r="EK29" s="50" t="n">
        <v>0</v>
      </c>
      <c r="EL29" s="50" t="n">
        <v>0</v>
      </c>
      <c r="EM29" s="50" t="n">
        <v>0</v>
      </c>
      <c r="EN29" s="51" t="n">
        <v>0</v>
      </c>
      <c r="EO29" s="50" t="n">
        <v>0</v>
      </c>
      <c r="EP29" s="50" t="n">
        <v>0</v>
      </c>
      <c r="EQ29" s="50" t="n">
        <v>0</v>
      </c>
      <c r="ER29" s="50" t="n">
        <v>0</v>
      </c>
      <c r="ES29" s="50" t="n">
        <v>0</v>
      </c>
      <c r="ET29" s="50" t="n">
        <v>0</v>
      </c>
      <c r="EU29" s="50" t="n">
        <v>0</v>
      </c>
      <c r="EV29" s="50" t="n">
        <v>0</v>
      </c>
      <c r="EX29" s="47" t="n">
        <v>0</v>
      </c>
      <c r="EY29" s="47" t="n">
        <v>0</v>
      </c>
      <c r="EZ29" s="47" t="n">
        <v>0</v>
      </c>
      <c r="FA29" s="47" t="n">
        <v>0</v>
      </c>
      <c r="FB29" s="47" t="n">
        <v>0</v>
      </c>
      <c r="FC29" s="47" t="n">
        <v>0</v>
      </c>
      <c r="FD29" s="47" t="n">
        <v>0</v>
      </c>
      <c r="FE29" s="47" t="n">
        <v>0</v>
      </c>
      <c r="FF29" s="47" t="n">
        <v>0</v>
      </c>
      <c r="FG29" s="47" t="n">
        <v>0</v>
      </c>
      <c r="FH29" s="47" t="n">
        <v>0</v>
      </c>
      <c r="FI29" s="47" t="n">
        <v>0</v>
      </c>
      <c r="FJ29" s="47" t="n">
        <v>0</v>
      </c>
      <c r="FK29" s="47" t="n">
        <v>0</v>
      </c>
      <c r="FL29" s="47" t="n">
        <v>0</v>
      </c>
      <c r="FM29" s="47" t="n">
        <v>0</v>
      </c>
      <c r="FN29" s="47" t="n">
        <v>0</v>
      </c>
      <c r="FO29" s="47" t="n">
        <v>0</v>
      </c>
      <c r="FP29" s="47" t="n">
        <v>0</v>
      </c>
      <c r="FQ29" s="47" t="n">
        <v>0</v>
      </c>
      <c r="FR29" s="47" t="n">
        <v>0</v>
      </c>
      <c r="FS29" s="47" t="n">
        <v>0</v>
      </c>
      <c r="FT29" s="47" t="n">
        <v>0</v>
      </c>
      <c r="FU29" s="47" t="n">
        <v>0</v>
      </c>
      <c r="FV29" s="47" t="n">
        <v>0</v>
      </c>
      <c r="FW29" s="47" t="n">
        <v>0</v>
      </c>
      <c r="FX29" s="47" t="n">
        <v>0</v>
      </c>
      <c r="FY29" s="47" t="n">
        <v>0</v>
      </c>
      <c r="FZ29" s="47" t="n">
        <v>0</v>
      </c>
      <c r="GA29" s="47" t="n">
        <v>0</v>
      </c>
      <c r="GB29" s="47" t="n">
        <v>0</v>
      </c>
      <c r="GC29" s="47" t="n">
        <v>0</v>
      </c>
      <c r="GD29" s="47" t="n">
        <v>0</v>
      </c>
      <c r="GE29" s="47" t="n">
        <v>0</v>
      </c>
      <c r="GF29" s="47" t="n">
        <v>0</v>
      </c>
      <c r="GG29" s="47" t="n">
        <v>0</v>
      </c>
      <c r="GH29" s="47" t="n">
        <v>0</v>
      </c>
      <c r="GI29" s="47" t="n">
        <v>0</v>
      </c>
      <c r="GJ29" s="47" t="n">
        <v>0</v>
      </c>
      <c r="GK29" s="47" t="n">
        <v>0</v>
      </c>
      <c r="GL29" s="47" t="n">
        <v>0</v>
      </c>
      <c r="GM29" s="47" t="n">
        <v>0</v>
      </c>
      <c r="GN29" s="47" t="n">
        <v>0</v>
      </c>
      <c r="GO29" s="47" t="n">
        <v>0</v>
      </c>
      <c r="GP29" s="47" t="n">
        <v>0</v>
      </c>
      <c r="GQ29" s="47" t="n">
        <v>0</v>
      </c>
      <c r="GR29" s="47" t="n">
        <v>0</v>
      </c>
      <c r="GS29" s="47" t="n">
        <v>0</v>
      </c>
      <c r="GT29" s="47" t="n">
        <v>0</v>
      </c>
      <c r="GU29" s="47" t="n">
        <v>0</v>
      </c>
      <c r="GV29" s="47" t="n">
        <v>0</v>
      </c>
      <c r="GW29" s="47" t="n">
        <v>0</v>
      </c>
      <c r="GX29" s="47" t="n">
        <v>0</v>
      </c>
      <c r="GY29" s="47" t="n">
        <v>0</v>
      </c>
      <c r="GZ29" s="47" t="n">
        <v>0</v>
      </c>
      <c r="HA29" s="47" t="n">
        <v>0</v>
      </c>
      <c r="HB29" s="47" t="n">
        <v>0</v>
      </c>
      <c r="HC29" s="47" t="n">
        <v>0</v>
      </c>
      <c r="HD29" s="47" t="n">
        <v>0</v>
      </c>
      <c r="HE29" s="47" t="n">
        <v>0</v>
      </c>
      <c r="HF29" s="47" t="n">
        <v>0</v>
      </c>
      <c r="HG29" s="47" t="n">
        <v>0</v>
      </c>
      <c r="HH29" s="47" t="n">
        <v>0</v>
      </c>
      <c r="HI29" s="48" t="n">
        <v>0</v>
      </c>
      <c r="HJ29" s="47" t="n">
        <v>0</v>
      </c>
      <c r="HK29" s="47" t="n">
        <v>0</v>
      </c>
      <c r="HL29" s="47" t="n">
        <v>0</v>
      </c>
      <c r="HM29" s="47" t="n">
        <v>0</v>
      </c>
      <c r="HN29" s="47" t="n">
        <v>0</v>
      </c>
      <c r="HO29" s="47" t="n">
        <v>0</v>
      </c>
      <c r="HP29" s="47" t="n">
        <v>0</v>
      </c>
      <c r="HQ29" s="47" t="n">
        <v>0</v>
      </c>
      <c r="HS29" s="47" t="n">
        <v>0</v>
      </c>
      <c r="HT29" s="47" t="n">
        <v>0</v>
      </c>
      <c r="HU29" s="47" t="n">
        <v>0</v>
      </c>
      <c r="HV29" s="47" t="n">
        <v>0</v>
      </c>
      <c r="HW29" s="47" t="n">
        <v>0</v>
      </c>
      <c r="HX29" s="47" t="n">
        <v>0</v>
      </c>
      <c r="HY29" s="47" t="n">
        <v>0</v>
      </c>
      <c r="HZ29" s="47" t="n">
        <v>0</v>
      </c>
      <c r="IA29" s="47" t="n">
        <v>0</v>
      </c>
      <c r="IB29" s="47" t="n">
        <v>0</v>
      </c>
      <c r="IC29" s="47" t="n">
        <v>0</v>
      </c>
      <c r="ID29" s="47" t="n">
        <v>0</v>
      </c>
      <c r="IE29" s="47" t="n">
        <v>0</v>
      </c>
      <c r="IF29" s="47" t="n">
        <v>0</v>
      </c>
      <c r="IG29" s="47" t="n">
        <v>0</v>
      </c>
      <c r="IH29" s="47" t="n">
        <v>0</v>
      </c>
      <c r="II29" s="47" t="n">
        <v>0</v>
      </c>
      <c r="IJ29" s="47" t="n">
        <v>0</v>
      </c>
      <c r="IK29" s="47" t="n">
        <v>0</v>
      </c>
      <c r="IL29" s="47" t="n">
        <v>0</v>
      </c>
      <c r="IM29" s="47" t="n">
        <v>0</v>
      </c>
      <c r="IN29" s="47" t="n">
        <v>0</v>
      </c>
      <c r="IO29" s="47" t="n">
        <v>0</v>
      </c>
      <c r="IP29" s="47" t="n">
        <v>0</v>
      </c>
      <c r="IQ29" s="47" t="n">
        <v>0</v>
      </c>
      <c r="IR29" s="47" t="n">
        <v>0</v>
      </c>
      <c r="IS29" s="47" t="n">
        <v>0</v>
      </c>
      <c r="IT29" s="47" t="n">
        <v>0</v>
      </c>
      <c r="IU29" s="47" t="n">
        <v>0</v>
      </c>
      <c r="IV29" s="47" t="n">
        <v>0</v>
      </c>
      <c r="IW29" s="47" t="n">
        <v>0</v>
      </c>
      <c r="IX29" s="47" t="n">
        <v>0</v>
      </c>
      <c r="IY29" s="47" t="n">
        <v>0</v>
      </c>
      <c r="IZ29" s="47" t="n">
        <v>0</v>
      </c>
      <c r="JA29" s="47" t="n">
        <v>0</v>
      </c>
      <c r="JB29" s="47" t="n">
        <v>0</v>
      </c>
      <c r="JC29" s="47" t="n">
        <v>0</v>
      </c>
      <c r="JD29" s="47" t="n">
        <v>0</v>
      </c>
      <c r="JE29" s="47" t="n">
        <v>0</v>
      </c>
      <c r="JF29" s="47" t="n">
        <v>0</v>
      </c>
      <c r="JG29" s="47" t="n">
        <v>0</v>
      </c>
      <c r="JH29" s="47" t="n">
        <v>0</v>
      </c>
      <c r="JI29" s="47" t="n">
        <v>0</v>
      </c>
      <c r="JJ29" s="47" t="n">
        <v>0</v>
      </c>
      <c r="JK29" s="47" t="n">
        <v>0</v>
      </c>
      <c r="JL29" s="47" t="n">
        <v>0</v>
      </c>
      <c r="JM29" s="47" t="n">
        <v>0</v>
      </c>
      <c r="JN29" s="47" t="n">
        <v>0</v>
      </c>
      <c r="JO29" s="47" t="n">
        <v>0</v>
      </c>
      <c r="JP29" s="47" t="n">
        <v>0</v>
      </c>
      <c r="JQ29" s="47" t="n">
        <v>0</v>
      </c>
      <c r="JR29" s="47" t="n">
        <v>0</v>
      </c>
      <c r="JS29" s="47" t="n">
        <v>0</v>
      </c>
      <c r="JT29" s="47" t="n">
        <v>0</v>
      </c>
      <c r="JU29" s="47" t="n">
        <v>0</v>
      </c>
      <c r="JV29" s="47" t="n">
        <v>0</v>
      </c>
      <c r="JW29" s="47" t="n">
        <v>0</v>
      </c>
      <c r="JX29" s="47" t="n">
        <v>0</v>
      </c>
      <c r="JY29" s="47" t="n">
        <v>0</v>
      </c>
      <c r="JZ29" s="47" t="n">
        <v>0</v>
      </c>
      <c r="KA29" s="47" t="n">
        <v>0</v>
      </c>
      <c r="KB29" s="47" t="n">
        <v>0</v>
      </c>
      <c r="KC29" s="47" t="n">
        <v>0</v>
      </c>
      <c r="KD29" s="48" t="n">
        <v>0</v>
      </c>
      <c r="KE29" s="47" t="n">
        <v>0</v>
      </c>
      <c r="KF29" s="47" t="n">
        <v>0</v>
      </c>
      <c r="KG29" s="47" t="n">
        <v>0</v>
      </c>
      <c r="KH29" s="47" t="n">
        <v>0</v>
      </c>
      <c r="KI29" s="47" t="n">
        <v>0</v>
      </c>
      <c r="KJ29" s="47" t="n">
        <v>0</v>
      </c>
      <c r="KK29" s="47" t="n">
        <v>0</v>
      </c>
      <c r="KL29" s="47" t="n">
        <v>0</v>
      </c>
    </row>
    <row r="30" customFormat="false" ht="15.75" hidden="false" customHeight="true" outlineLevel="0" collapsed="false">
      <c r="A30" s="35" t="s">
        <v>218</v>
      </c>
      <c r="B30" s="35" t="s">
        <v>219</v>
      </c>
      <c r="C30" s="35" t="s">
        <v>200</v>
      </c>
      <c r="D30" s="35" t="s">
        <v>220</v>
      </c>
      <c r="E30" s="35" t="s">
        <v>174</v>
      </c>
      <c r="G30" s="44" t="n">
        <v>0</v>
      </c>
      <c r="H30" s="44" t="n">
        <v>0</v>
      </c>
      <c r="I30" s="44" t="n">
        <v>0</v>
      </c>
      <c r="J30" s="44" t="n">
        <v>0</v>
      </c>
      <c r="K30" s="44" t="n">
        <v>0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0</v>
      </c>
      <c r="Q30" s="44" t="n">
        <v>0</v>
      </c>
      <c r="R30" s="44" t="n">
        <v>0</v>
      </c>
      <c r="S30" s="44" t="n">
        <v>0</v>
      </c>
      <c r="T30" s="44" t="n">
        <v>0</v>
      </c>
      <c r="U30" s="44" t="n">
        <v>0</v>
      </c>
      <c r="V30" s="44" t="n">
        <v>0</v>
      </c>
      <c r="W30" s="44" t="n">
        <v>0</v>
      </c>
      <c r="X30" s="44" t="n">
        <v>0</v>
      </c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3767.5</v>
      </c>
      <c r="AE30" s="44" t="n">
        <v>3767.5</v>
      </c>
      <c r="AF30" s="44" t="n">
        <v>3767.5</v>
      </c>
      <c r="AG30" s="44" t="n">
        <v>3767.5</v>
      </c>
      <c r="AH30" s="44" t="n">
        <v>3767.5</v>
      </c>
      <c r="AI30" s="44" t="n">
        <v>3767.5</v>
      </c>
      <c r="AJ30" s="44" t="n">
        <v>3767.5</v>
      </c>
      <c r="AK30" s="44" t="n">
        <v>3767.5</v>
      </c>
      <c r="AL30" s="44" t="n">
        <v>3767.5</v>
      </c>
      <c r="AM30" s="44" t="n">
        <v>3767.5</v>
      </c>
      <c r="AN30" s="44" t="n">
        <v>3767.5</v>
      </c>
      <c r="AO30" s="44" t="n">
        <v>3767.5</v>
      </c>
      <c r="AP30" s="44" t="n">
        <v>0</v>
      </c>
      <c r="AQ30" s="44" t="n">
        <v>0</v>
      </c>
      <c r="AR30" s="44" t="n">
        <v>0</v>
      </c>
      <c r="AS30" s="44" t="n">
        <v>0</v>
      </c>
      <c r="AT30" s="44" t="n">
        <v>0</v>
      </c>
      <c r="AU30" s="44" t="n">
        <v>0</v>
      </c>
      <c r="AV30" s="44" t="n">
        <v>0</v>
      </c>
      <c r="AW30" s="44" t="n">
        <v>0</v>
      </c>
      <c r="AX30" s="44" t="n">
        <v>0</v>
      </c>
      <c r="AY30" s="44" t="n">
        <v>0</v>
      </c>
      <c r="AZ30" s="44" t="n">
        <v>0</v>
      </c>
      <c r="BA30" s="44" t="n">
        <v>0</v>
      </c>
      <c r="BB30" s="44" t="n">
        <v>0</v>
      </c>
      <c r="BC30" s="44" t="n">
        <v>0</v>
      </c>
      <c r="BD30" s="44" t="n">
        <v>0</v>
      </c>
      <c r="BE30" s="44" t="n">
        <v>0</v>
      </c>
      <c r="BF30" s="44" t="n">
        <v>0</v>
      </c>
      <c r="BG30" s="44" t="n">
        <v>0</v>
      </c>
      <c r="BH30" s="44" t="n">
        <v>0</v>
      </c>
      <c r="BI30" s="44" t="n">
        <v>0</v>
      </c>
      <c r="BJ30" s="44" t="n">
        <v>0</v>
      </c>
      <c r="BK30" s="44" t="n">
        <v>0</v>
      </c>
      <c r="BL30" s="44" t="n">
        <v>0</v>
      </c>
      <c r="BM30" s="44" t="n">
        <v>0</v>
      </c>
      <c r="BN30" s="44" t="n">
        <v>0</v>
      </c>
      <c r="BO30" s="44" t="n">
        <v>0</v>
      </c>
      <c r="BP30" s="44" t="n">
        <v>0</v>
      </c>
      <c r="BQ30" s="44" t="n">
        <v>0</v>
      </c>
      <c r="BR30" s="45" t="n">
        <v>0</v>
      </c>
      <c r="BS30" s="46" t="n">
        <v>0</v>
      </c>
      <c r="BT30" s="46" t="n">
        <v>0</v>
      </c>
      <c r="BU30" s="46" t="n">
        <v>0</v>
      </c>
      <c r="BV30" s="46" t="n">
        <v>0</v>
      </c>
      <c r="BW30" s="46" t="n">
        <v>0</v>
      </c>
      <c r="BX30" s="46" t="n">
        <v>0</v>
      </c>
      <c r="BY30" s="46" t="n">
        <v>0</v>
      </c>
      <c r="BZ30" s="46" t="n">
        <v>0</v>
      </c>
      <c r="CB30" s="52" t="s">
        <v>170</v>
      </c>
      <c r="CC30" s="50" t="n">
        <v>0</v>
      </c>
      <c r="CD30" s="50" t="n">
        <v>0</v>
      </c>
      <c r="CE30" s="50" t="n">
        <v>0</v>
      </c>
      <c r="CF30" s="50" t="n">
        <v>0</v>
      </c>
      <c r="CG30" s="50" t="n">
        <v>0</v>
      </c>
      <c r="CH30" s="50" t="n">
        <v>0</v>
      </c>
      <c r="CI30" s="50" t="n">
        <v>0</v>
      </c>
      <c r="CJ30" s="50" t="n">
        <v>0</v>
      </c>
      <c r="CK30" s="50" t="n">
        <v>0</v>
      </c>
      <c r="CL30" s="50" t="n">
        <v>0</v>
      </c>
      <c r="CM30" s="50" t="n">
        <v>0</v>
      </c>
      <c r="CN30" s="50" t="n">
        <v>0</v>
      </c>
      <c r="CO30" s="50" t="n">
        <v>0</v>
      </c>
      <c r="CP30" s="50" t="n">
        <v>0</v>
      </c>
      <c r="CQ30" s="50" t="n">
        <v>0</v>
      </c>
      <c r="CR30" s="50" t="n">
        <v>0</v>
      </c>
      <c r="CS30" s="50" t="n">
        <v>0</v>
      </c>
      <c r="CT30" s="50" t="n">
        <v>0</v>
      </c>
      <c r="CU30" s="50" t="n">
        <v>0</v>
      </c>
      <c r="CV30" s="50" t="n">
        <v>0</v>
      </c>
      <c r="CW30" s="50" t="n">
        <v>0</v>
      </c>
      <c r="CX30" s="50" t="n">
        <v>0</v>
      </c>
      <c r="CY30" s="50" t="n">
        <v>0</v>
      </c>
      <c r="CZ30" s="50" t="n">
        <v>-3767.5</v>
      </c>
      <c r="DA30" s="50" t="n">
        <v>-3767.5</v>
      </c>
      <c r="DB30" s="50" t="n">
        <v>-3767.5</v>
      </c>
      <c r="DC30" s="50" t="n">
        <v>-3767.5</v>
      </c>
      <c r="DD30" s="50" t="n">
        <v>-3767.5</v>
      </c>
      <c r="DE30" s="50" t="n">
        <v>-3767.5</v>
      </c>
      <c r="DF30" s="50" t="n">
        <v>-3767.5</v>
      </c>
      <c r="DG30" s="50" t="n">
        <v>-3767.5</v>
      </c>
      <c r="DH30" s="50" t="n">
        <v>-3767.5</v>
      </c>
      <c r="DI30" s="50" t="n">
        <v>-3767.5</v>
      </c>
      <c r="DJ30" s="50" t="n">
        <v>-3767.5</v>
      </c>
      <c r="DK30" s="50" t="n">
        <v>-3767.5</v>
      </c>
      <c r="DL30" s="50" t="n">
        <v>0</v>
      </c>
      <c r="DM30" s="50" t="n">
        <v>0</v>
      </c>
      <c r="DN30" s="50" t="n">
        <v>0</v>
      </c>
      <c r="DO30" s="50" t="n">
        <v>0</v>
      </c>
      <c r="DP30" s="50" t="n">
        <v>0</v>
      </c>
      <c r="DQ30" s="50" t="n">
        <v>0</v>
      </c>
      <c r="DR30" s="50" t="n">
        <v>0</v>
      </c>
      <c r="DS30" s="50" t="n">
        <v>0</v>
      </c>
      <c r="DT30" s="50" t="n">
        <v>0</v>
      </c>
      <c r="DU30" s="50" t="n">
        <v>0</v>
      </c>
      <c r="DV30" s="50" t="n">
        <v>0</v>
      </c>
      <c r="DW30" s="50" t="n">
        <v>0</v>
      </c>
      <c r="DX30" s="50" t="n">
        <v>0</v>
      </c>
      <c r="DY30" s="50" t="n">
        <v>0</v>
      </c>
      <c r="DZ30" s="50" t="n">
        <v>0</v>
      </c>
      <c r="EA30" s="50" t="n">
        <v>0</v>
      </c>
      <c r="EB30" s="50" t="n">
        <v>0</v>
      </c>
      <c r="EC30" s="50" t="n">
        <v>0</v>
      </c>
      <c r="ED30" s="50" t="n">
        <v>0</v>
      </c>
      <c r="EE30" s="50" t="n">
        <v>0</v>
      </c>
      <c r="EF30" s="50" t="n">
        <v>0</v>
      </c>
      <c r="EG30" s="50" t="n">
        <v>0</v>
      </c>
      <c r="EH30" s="50" t="n">
        <v>0</v>
      </c>
      <c r="EI30" s="50" t="n">
        <v>0</v>
      </c>
      <c r="EJ30" s="50" t="n">
        <v>0</v>
      </c>
      <c r="EK30" s="50" t="n">
        <v>0</v>
      </c>
      <c r="EL30" s="50" t="n">
        <v>0</v>
      </c>
      <c r="EM30" s="50" t="n">
        <v>0</v>
      </c>
      <c r="EN30" s="51" t="n">
        <v>0</v>
      </c>
      <c r="EO30" s="50" t="n">
        <v>0</v>
      </c>
      <c r="EP30" s="50" t="n">
        <v>0</v>
      </c>
      <c r="EQ30" s="50" t="n">
        <v>0</v>
      </c>
      <c r="ER30" s="50" t="n">
        <v>0</v>
      </c>
      <c r="ES30" s="50" t="n">
        <v>0</v>
      </c>
      <c r="ET30" s="50" t="n">
        <v>0</v>
      </c>
      <c r="EU30" s="50" t="n">
        <v>0</v>
      </c>
      <c r="EV30" s="50" t="n">
        <v>0</v>
      </c>
      <c r="EX30" s="47" t="n">
        <v>0</v>
      </c>
      <c r="EY30" s="47" t="n">
        <v>0</v>
      </c>
      <c r="EZ30" s="47" t="n">
        <v>0</v>
      </c>
      <c r="FA30" s="47" t="n">
        <v>0</v>
      </c>
      <c r="FB30" s="47" t="n">
        <v>0</v>
      </c>
      <c r="FC30" s="47" t="n">
        <v>0</v>
      </c>
      <c r="FD30" s="47" t="n">
        <v>0</v>
      </c>
      <c r="FE30" s="47" t="n">
        <v>0</v>
      </c>
      <c r="FF30" s="47" t="n">
        <v>0</v>
      </c>
      <c r="FG30" s="47" t="n">
        <v>0</v>
      </c>
      <c r="FH30" s="47" t="n">
        <v>0</v>
      </c>
      <c r="FI30" s="47" t="n">
        <v>0</v>
      </c>
      <c r="FJ30" s="47" t="n">
        <v>0</v>
      </c>
      <c r="FK30" s="47" t="n">
        <v>0</v>
      </c>
      <c r="FL30" s="47" t="n">
        <v>0</v>
      </c>
      <c r="FM30" s="47" t="n">
        <v>0</v>
      </c>
      <c r="FN30" s="47" t="n">
        <v>0</v>
      </c>
      <c r="FO30" s="47" t="n">
        <v>0</v>
      </c>
      <c r="FP30" s="47" t="n">
        <v>0</v>
      </c>
      <c r="FQ30" s="47" t="n">
        <v>0</v>
      </c>
      <c r="FR30" s="47" t="n">
        <v>0</v>
      </c>
      <c r="FS30" s="47" t="n">
        <v>0</v>
      </c>
      <c r="FT30" s="47" t="n">
        <v>0</v>
      </c>
      <c r="FU30" s="47" t="n">
        <v>0</v>
      </c>
      <c r="FV30" s="47" t="n">
        <v>0</v>
      </c>
      <c r="FW30" s="47" t="n">
        <v>0</v>
      </c>
      <c r="FX30" s="47" t="n">
        <v>0</v>
      </c>
      <c r="FY30" s="47" t="n">
        <v>0</v>
      </c>
      <c r="FZ30" s="47" t="n">
        <v>0</v>
      </c>
      <c r="GA30" s="47" t="n">
        <v>0</v>
      </c>
      <c r="GB30" s="47" t="n">
        <v>0</v>
      </c>
      <c r="GC30" s="47" t="n">
        <v>0</v>
      </c>
      <c r="GD30" s="47" t="n">
        <v>0</v>
      </c>
      <c r="GE30" s="47" t="n">
        <v>0</v>
      </c>
      <c r="GF30" s="47" t="n">
        <v>0</v>
      </c>
      <c r="GG30" s="47" t="n">
        <v>0</v>
      </c>
      <c r="GH30" s="47" t="n">
        <v>0</v>
      </c>
      <c r="GI30" s="47" t="n">
        <v>0</v>
      </c>
      <c r="GJ30" s="47" t="n">
        <v>0</v>
      </c>
      <c r="GK30" s="47" t="n">
        <v>0</v>
      </c>
      <c r="GL30" s="47" t="n">
        <v>0</v>
      </c>
      <c r="GM30" s="47" t="n">
        <v>0</v>
      </c>
      <c r="GN30" s="47" t="n">
        <v>0</v>
      </c>
      <c r="GO30" s="47" t="n">
        <v>0</v>
      </c>
      <c r="GP30" s="47" t="n">
        <v>0</v>
      </c>
      <c r="GQ30" s="47" t="n">
        <v>0</v>
      </c>
      <c r="GR30" s="47" t="n">
        <v>0</v>
      </c>
      <c r="GS30" s="47" t="n">
        <v>0</v>
      </c>
      <c r="GT30" s="47" t="n">
        <v>0</v>
      </c>
      <c r="GU30" s="47" t="n">
        <v>0</v>
      </c>
      <c r="GV30" s="47" t="n">
        <v>0</v>
      </c>
      <c r="GW30" s="47" t="n">
        <v>0</v>
      </c>
      <c r="GX30" s="47" t="n">
        <v>0</v>
      </c>
      <c r="GY30" s="47" t="n">
        <v>0</v>
      </c>
      <c r="GZ30" s="47" t="n">
        <v>0</v>
      </c>
      <c r="HA30" s="47" t="n">
        <v>0</v>
      </c>
      <c r="HB30" s="47" t="n">
        <v>0</v>
      </c>
      <c r="HC30" s="47" t="n">
        <v>0</v>
      </c>
      <c r="HD30" s="47" t="n">
        <v>0</v>
      </c>
      <c r="HE30" s="47" t="n">
        <v>0</v>
      </c>
      <c r="HF30" s="47" t="n">
        <v>0</v>
      </c>
      <c r="HG30" s="47" t="n">
        <v>0</v>
      </c>
      <c r="HH30" s="47" t="n">
        <v>0</v>
      </c>
      <c r="HI30" s="48" t="n">
        <v>0</v>
      </c>
      <c r="HJ30" s="47" t="n">
        <v>0</v>
      </c>
      <c r="HK30" s="47" t="n">
        <v>0</v>
      </c>
      <c r="HL30" s="47" t="n">
        <v>0</v>
      </c>
      <c r="HM30" s="47" t="n">
        <v>0</v>
      </c>
      <c r="HN30" s="47" t="n">
        <v>0</v>
      </c>
      <c r="HO30" s="47" t="n">
        <v>0</v>
      </c>
      <c r="HP30" s="47" t="n">
        <v>0</v>
      </c>
      <c r="HQ30" s="47" t="n">
        <v>0</v>
      </c>
      <c r="HS30" s="47" t="n">
        <v>0</v>
      </c>
      <c r="HT30" s="47" t="n">
        <v>0</v>
      </c>
      <c r="HU30" s="47" t="n">
        <v>0</v>
      </c>
      <c r="HV30" s="47" t="n">
        <v>0</v>
      </c>
      <c r="HW30" s="47" t="n">
        <v>0</v>
      </c>
      <c r="HX30" s="47" t="n">
        <v>0</v>
      </c>
      <c r="HY30" s="47" t="n">
        <v>0</v>
      </c>
      <c r="HZ30" s="47" t="n">
        <v>0</v>
      </c>
      <c r="IA30" s="47" t="n">
        <v>0</v>
      </c>
      <c r="IB30" s="47" t="n">
        <v>0</v>
      </c>
      <c r="IC30" s="47" t="n">
        <v>0</v>
      </c>
      <c r="ID30" s="47" t="n">
        <v>0</v>
      </c>
      <c r="IE30" s="47" t="n">
        <v>0</v>
      </c>
      <c r="IF30" s="47" t="n">
        <v>0</v>
      </c>
      <c r="IG30" s="47" t="n">
        <v>0</v>
      </c>
      <c r="IH30" s="47" t="n">
        <v>0</v>
      </c>
      <c r="II30" s="47" t="n">
        <v>0</v>
      </c>
      <c r="IJ30" s="47" t="n">
        <v>0</v>
      </c>
      <c r="IK30" s="47" t="n">
        <v>0</v>
      </c>
      <c r="IL30" s="47" t="n">
        <v>0</v>
      </c>
      <c r="IM30" s="47" t="n">
        <v>0</v>
      </c>
      <c r="IN30" s="47" t="n">
        <v>0</v>
      </c>
      <c r="IO30" s="47" t="n">
        <v>0</v>
      </c>
      <c r="IP30" s="47" t="n">
        <v>0</v>
      </c>
      <c r="IQ30" s="47" t="n">
        <v>0</v>
      </c>
      <c r="IR30" s="47" t="n">
        <v>0</v>
      </c>
      <c r="IS30" s="47" t="n">
        <v>0</v>
      </c>
      <c r="IT30" s="47" t="n">
        <v>0</v>
      </c>
      <c r="IU30" s="47" t="n">
        <v>0</v>
      </c>
      <c r="IV30" s="47" t="n">
        <v>0</v>
      </c>
      <c r="IW30" s="47" t="n">
        <v>0</v>
      </c>
      <c r="IX30" s="47" t="n">
        <v>0</v>
      </c>
      <c r="IY30" s="47" t="n">
        <v>0</v>
      </c>
      <c r="IZ30" s="47" t="n">
        <v>0</v>
      </c>
      <c r="JA30" s="47" t="n">
        <v>0</v>
      </c>
      <c r="JB30" s="47" t="n">
        <v>0</v>
      </c>
      <c r="JC30" s="47" t="n">
        <v>0</v>
      </c>
      <c r="JD30" s="47" t="n">
        <v>0</v>
      </c>
      <c r="JE30" s="47" t="n">
        <v>0</v>
      </c>
      <c r="JF30" s="47" t="n">
        <v>0</v>
      </c>
      <c r="JG30" s="47" t="n">
        <v>0</v>
      </c>
      <c r="JH30" s="47" t="n">
        <v>0</v>
      </c>
      <c r="JI30" s="47" t="n">
        <v>0</v>
      </c>
      <c r="JJ30" s="47" t="n">
        <v>0</v>
      </c>
      <c r="JK30" s="47" t="n">
        <v>0</v>
      </c>
      <c r="JL30" s="47" t="n">
        <v>0</v>
      </c>
      <c r="JM30" s="47" t="n">
        <v>0</v>
      </c>
      <c r="JN30" s="47" t="n">
        <v>0</v>
      </c>
      <c r="JO30" s="47" t="n">
        <v>0</v>
      </c>
      <c r="JP30" s="47" t="n">
        <v>0</v>
      </c>
      <c r="JQ30" s="47" t="n">
        <v>0</v>
      </c>
      <c r="JR30" s="47" t="n">
        <v>0</v>
      </c>
      <c r="JS30" s="47" t="n">
        <v>0</v>
      </c>
      <c r="JT30" s="47" t="n">
        <v>0</v>
      </c>
      <c r="JU30" s="47" t="n">
        <v>0</v>
      </c>
      <c r="JV30" s="47" t="n">
        <v>0</v>
      </c>
      <c r="JW30" s="47" t="n">
        <v>0</v>
      </c>
      <c r="JX30" s="47" t="n">
        <v>0</v>
      </c>
      <c r="JY30" s="47" t="n">
        <v>0</v>
      </c>
      <c r="JZ30" s="47" t="n">
        <v>0</v>
      </c>
      <c r="KA30" s="47" t="n">
        <v>0</v>
      </c>
      <c r="KB30" s="47" t="n">
        <v>0</v>
      </c>
      <c r="KC30" s="47" t="n">
        <v>0</v>
      </c>
      <c r="KD30" s="48" t="n">
        <v>0</v>
      </c>
      <c r="KE30" s="47" t="n">
        <v>0</v>
      </c>
      <c r="KF30" s="47" t="n">
        <v>0</v>
      </c>
      <c r="KG30" s="47" t="n">
        <v>0</v>
      </c>
      <c r="KH30" s="47" t="n">
        <v>0</v>
      </c>
      <c r="KI30" s="47" t="n">
        <v>0</v>
      </c>
      <c r="KJ30" s="47" t="n">
        <v>0</v>
      </c>
      <c r="KK30" s="47" t="n">
        <v>0</v>
      </c>
      <c r="KL30" s="47" t="n">
        <v>0</v>
      </c>
    </row>
    <row r="31" customFormat="false" ht="15.75" hidden="false" customHeight="true" outlineLevel="0" collapsed="false">
      <c r="A31" s="35" t="s">
        <v>221</v>
      </c>
      <c r="B31" s="35" t="s">
        <v>219</v>
      </c>
      <c r="C31" s="35" t="s">
        <v>200</v>
      </c>
      <c r="D31" s="35" t="s">
        <v>220</v>
      </c>
      <c r="E31" s="35" t="s">
        <v>174</v>
      </c>
      <c r="AP31" s="44" t="n">
        <v>3767.5</v>
      </c>
      <c r="AQ31" s="44" t="n">
        <v>3767.5</v>
      </c>
      <c r="AR31" s="44" t="n">
        <v>3767.5</v>
      </c>
      <c r="AS31" s="44" t="n">
        <v>3767.5</v>
      </c>
      <c r="AT31" s="44" t="n">
        <v>3767.5</v>
      </c>
      <c r="AU31" s="44" t="n">
        <v>3767.5</v>
      </c>
      <c r="AV31" s="44" t="n">
        <v>3767.5</v>
      </c>
      <c r="AW31" s="44" t="n">
        <v>3767.5</v>
      </c>
      <c r="AX31" s="44" t="n">
        <v>3767.5</v>
      </c>
      <c r="AY31" s="44" t="n">
        <v>3767.5</v>
      </c>
      <c r="AZ31" s="44" t="n">
        <v>3767.5</v>
      </c>
      <c r="BA31" s="44" t="n">
        <v>3767.5</v>
      </c>
      <c r="BS31" s="46" t="n">
        <v>0</v>
      </c>
      <c r="BT31" s="46" t="n">
        <v>0</v>
      </c>
      <c r="BU31" s="46" t="n">
        <v>0</v>
      </c>
      <c r="BV31" s="46" t="n">
        <v>0</v>
      </c>
      <c r="BW31" s="46" t="n">
        <v>0</v>
      </c>
      <c r="BX31" s="46" t="n">
        <v>0</v>
      </c>
      <c r="BY31" s="46" t="n">
        <v>0</v>
      </c>
      <c r="BZ31" s="46" t="n">
        <v>0</v>
      </c>
      <c r="CB31" s="49" t="s">
        <v>212</v>
      </c>
      <c r="CC31" s="50" t="n">
        <v>0</v>
      </c>
      <c r="CD31" s="50" t="n">
        <v>0</v>
      </c>
      <c r="CE31" s="50" t="n">
        <v>0</v>
      </c>
      <c r="CF31" s="50" t="n">
        <v>0</v>
      </c>
      <c r="CG31" s="50" t="n">
        <v>0</v>
      </c>
      <c r="CH31" s="50" t="n">
        <v>0</v>
      </c>
      <c r="CI31" s="50" t="n">
        <v>0</v>
      </c>
      <c r="CJ31" s="50" t="n">
        <v>0</v>
      </c>
      <c r="CK31" s="50" t="n">
        <v>0</v>
      </c>
      <c r="CL31" s="50" t="n">
        <v>0</v>
      </c>
      <c r="CM31" s="50" t="n">
        <v>0</v>
      </c>
      <c r="CN31" s="50" t="n">
        <v>0</v>
      </c>
      <c r="CO31" s="50" t="n">
        <v>0</v>
      </c>
      <c r="CP31" s="50" t="n">
        <v>0</v>
      </c>
      <c r="CQ31" s="50" t="n">
        <v>0</v>
      </c>
      <c r="CR31" s="50" t="n">
        <v>0</v>
      </c>
      <c r="CS31" s="50" t="n">
        <v>0</v>
      </c>
      <c r="CT31" s="50" t="n">
        <v>0</v>
      </c>
      <c r="CU31" s="50" t="n">
        <v>0</v>
      </c>
      <c r="CV31" s="50" t="n">
        <v>0</v>
      </c>
      <c r="CW31" s="50" t="n">
        <v>0</v>
      </c>
      <c r="CX31" s="50" t="n">
        <v>0</v>
      </c>
      <c r="CY31" s="50" t="n">
        <v>0</v>
      </c>
      <c r="CZ31" s="50" t="n">
        <v>0</v>
      </c>
      <c r="DA31" s="50" t="n">
        <v>0</v>
      </c>
      <c r="DB31" s="50" t="n">
        <v>0</v>
      </c>
      <c r="DC31" s="50" t="n">
        <v>0</v>
      </c>
      <c r="DD31" s="50" t="n">
        <v>0</v>
      </c>
      <c r="DE31" s="50" t="n">
        <v>0</v>
      </c>
      <c r="DF31" s="50" t="n">
        <v>0</v>
      </c>
      <c r="DG31" s="50" t="n">
        <v>0</v>
      </c>
      <c r="DH31" s="50" t="n">
        <v>0</v>
      </c>
      <c r="DI31" s="50" t="n">
        <v>0</v>
      </c>
      <c r="DJ31" s="50" t="n">
        <v>0</v>
      </c>
      <c r="DK31" s="50" t="n">
        <v>0</v>
      </c>
      <c r="DL31" s="50" t="n">
        <v>-3767.5</v>
      </c>
      <c r="DM31" s="50" t="n">
        <v>-3767.5</v>
      </c>
      <c r="DN31" s="50" t="n">
        <v>-3767.5</v>
      </c>
      <c r="DO31" s="50" t="n">
        <v>-3767.5</v>
      </c>
      <c r="DP31" s="50" t="n">
        <v>-3767.5</v>
      </c>
      <c r="DQ31" s="50" t="n">
        <v>-3767.5</v>
      </c>
      <c r="DR31" s="50" t="n">
        <v>-3767.5</v>
      </c>
      <c r="DS31" s="50" t="n">
        <v>-3767.5</v>
      </c>
      <c r="DT31" s="50" t="n">
        <v>-3767.5</v>
      </c>
      <c r="DU31" s="50" t="n">
        <v>-3767.5</v>
      </c>
      <c r="DV31" s="50" t="n">
        <v>-3767.5</v>
      </c>
      <c r="DW31" s="50" t="n">
        <v>-3767.5</v>
      </c>
      <c r="DX31" s="50" t="n">
        <v>0</v>
      </c>
      <c r="DY31" s="50" t="n">
        <v>0</v>
      </c>
      <c r="DZ31" s="50" t="n">
        <v>0</v>
      </c>
      <c r="EA31" s="50" t="n">
        <v>0</v>
      </c>
      <c r="EB31" s="50" t="n">
        <v>0</v>
      </c>
      <c r="EC31" s="50" t="n">
        <v>0</v>
      </c>
      <c r="ED31" s="50" t="n">
        <v>0</v>
      </c>
      <c r="EE31" s="50" t="n">
        <v>0</v>
      </c>
      <c r="EF31" s="50" t="n">
        <v>0</v>
      </c>
      <c r="EG31" s="50" t="n">
        <v>0</v>
      </c>
      <c r="EH31" s="50" t="n">
        <v>0</v>
      </c>
      <c r="EI31" s="50" t="n">
        <v>0</v>
      </c>
      <c r="EJ31" s="50" t="n">
        <v>0</v>
      </c>
      <c r="EK31" s="50" t="n">
        <v>0</v>
      </c>
      <c r="EL31" s="50" t="n">
        <v>0</v>
      </c>
      <c r="EM31" s="50" t="n">
        <v>0</v>
      </c>
      <c r="EN31" s="51" t="n">
        <v>0</v>
      </c>
      <c r="EO31" s="50" t="n">
        <v>0</v>
      </c>
      <c r="EP31" s="50" t="n">
        <v>0</v>
      </c>
      <c r="EQ31" s="50" t="n">
        <v>0</v>
      </c>
      <c r="ER31" s="50" t="n">
        <v>0</v>
      </c>
      <c r="ES31" s="50" t="n">
        <v>0</v>
      </c>
      <c r="ET31" s="50" t="n">
        <v>0</v>
      </c>
      <c r="EU31" s="50" t="n">
        <v>0</v>
      </c>
      <c r="EV31" s="50" t="n">
        <v>0</v>
      </c>
      <c r="EX31" s="47" t="n">
        <v>0</v>
      </c>
      <c r="EY31" s="47" t="n">
        <v>0</v>
      </c>
      <c r="EZ31" s="47" t="n">
        <v>0</v>
      </c>
      <c r="FA31" s="47" t="n">
        <v>0</v>
      </c>
      <c r="FB31" s="47" t="n">
        <v>0</v>
      </c>
      <c r="FC31" s="47" t="n">
        <v>0</v>
      </c>
      <c r="FD31" s="47" t="n">
        <v>0</v>
      </c>
      <c r="FE31" s="47" t="n">
        <v>0</v>
      </c>
      <c r="FF31" s="47" t="n">
        <v>0</v>
      </c>
      <c r="FG31" s="47" t="n">
        <v>0</v>
      </c>
      <c r="FH31" s="47" t="n">
        <v>0</v>
      </c>
      <c r="FI31" s="47" t="n">
        <v>0</v>
      </c>
      <c r="FJ31" s="47" t="n">
        <v>0</v>
      </c>
      <c r="FK31" s="47" t="n">
        <v>0</v>
      </c>
      <c r="FL31" s="47" t="n">
        <v>0</v>
      </c>
      <c r="FM31" s="47" t="n">
        <v>0</v>
      </c>
      <c r="FN31" s="47" t="n">
        <v>0</v>
      </c>
      <c r="FO31" s="47" t="n">
        <v>0</v>
      </c>
      <c r="FP31" s="47" t="n">
        <v>0</v>
      </c>
      <c r="FQ31" s="47" t="n">
        <v>0</v>
      </c>
      <c r="FR31" s="47" t="n">
        <v>0</v>
      </c>
      <c r="FS31" s="47" t="n">
        <v>0</v>
      </c>
      <c r="FT31" s="47" t="n">
        <v>0</v>
      </c>
      <c r="FU31" s="47" t="n">
        <v>0</v>
      </c>
      <c r="FV31" s="47" t="n">
        <v>0</v>
      </c>
      <c r="FW31" s="47" t="n">
        <v>0</v>
      </c>
      <c r="FX31" s="47" t="n">
        <v>0</v>
      </c>
      <c r="FY31" s="47" t="n">
        <v>0</v>
      </c>
      <c r="FZ31" s="47" t="n">
        <v>0</v>
      </c>
      <c r="GA31" s="47" t="n">
        <v>0</v>
      </c>
      <c r="GB31" s="47" t="n">
        <v>0</v>
      </c>
      <c r="GC31" s="47" t="n">
        <v>0</v>
      </c>
      <c r="GD31" s="47" t="n">
        <v>0</v>
      </c>
      <c r="GE31" s="47" t="n">
        <v>0</v>
      </c>
      <c r="GF31" s="47" t="n">
        <v>0</v>
      </c>
      <c r="GG31" s="47" t="n">
        <v>0</v>
      </c>
      <c r="GH31" s="47" t="n">
        <v>0</v>
      </c>
      <c r="GI31" s="47" t="n">
        <v>0</v>
      </c>
      <c r="GJ31" s="47" t="n">
        <v>0</v>
      </c>
      <c r="GK31" s="47" t="n">
        <v>0</v>
      </c>
      <c r="GL31" s="47" t="n">
        <v>0</v>
      </c>
      <c r="GM31" s="47" t="n">
        <v>0</v>
      </c>
      <c r="GN31" s="47" t="n">
        <v>0</v>
      </c>
      <c r="GO31" s="47" t="n">
        <v>0</v>
      </c>
      <c r="GP31" s="47" t="n">
        <v>0</v>
      </c>
      <c r="GQ31" s="47" t="n">
        <v>0</v>
      </c>
      <c r="GR31" s="47" t="n">
        <v>0</v>
      </c>
      <c r="GS31" s="47" t="n">
        <v>0</v>
      </c>
      <c r="GT31" s="47" t="n">
        <v>0</v>
      </c>
      <c r="GU31" s="47" t="n">
        <v>0</v>
      </c>
      <c r="GV31" s="47" t="n">
        <v>0</v>
      </c>
      <c r="GW31" s="47" t="n">
        <v>0</v>
      </c>
      <c r="GX31" s="47" t="n">
        <v>0</v>
      </c>
      <c r="GY31" s="47" t="n">
        <v>0</v>
      </c>
      <c r="GZ31" s="47" t="n">
        <v>0</v>
      </c>
      <c r="HA31" s="47" t="n">
        <v>0</v>
      </c>
      <c r="HB31" s="47" t="n">
        <v>0</v>
      </c>
      <c r="HC31" s="47" t="n">
        <v>0</v>
      </c>
      <c r="HD31" s="47" t="n">
        <v>0</v>
      </c>
      <c r="HE31" s="47" t="n">
        <v>0</v>
      </c>
      <c r="HF31" s="47" t="n">
        <v>0</v>
      </c>
      <c r="HG31" s="47" t="n">
        <v>0</v>
      </c>
      <c r="HH31" s="47" t="n">
        <v>0</v>
      </c>
      <c r="HI31" s="48" t="n">
        <v>0</v>
      </c>
      <c r="HJ31" s="47" t="n">
        <v>0</v>
      </c>
      <c r="HK31" s="47" t="n">
        <v>0</v>
      </c>
      <c r="HL31" s="47" t="n">
        <v>0</v>
      </c>
      <c r="HM31" s="47" t="n">
        <v>0</v>
      </c>
      <c r="HN31" s="47" t="n">
        <v>0</v>
      </c>
      <c r="HO31" s="47" t="n">
        <v>0</v>
      </c>
      <c r="HP31" s="47" t="n">
        <v>0</v>
      </c>
      <c r="HQ31" s="47" t="n">
        <v>0</v>
      </c>
    </row>
    <row r="32" customFormat="false" ht="15.75" hidden="false" customHeight="true" outlineLevel="0" collapsed="false">
      <c r="A32" s="35" t="s">
        <v>222</v>
      </c>
      <c r="B32" s="35" t="s">
        <v>223</v>
      </c>
      <c r="C32" s="35" t="s">
        <v>164</v>
      </c>
      <c r="D32" s="35" t="s">
        <v>204</v>
      </c>
      <c r="E32" s="35" t="s">
        <v>174</v>
      </c>
      <c r="G32" s="44" t="n">
        <v>3750</v>
      </c>
      <c r="H32" s="44" t="n">
        <v>3750</v>
      </c>
      <c r="I32" s="44" t="n">
        <v>3750</v>
      </c>
      <c r="J32" s="44" t="n">
        <v>3750</v>
      </c>
      <c r="K32" s="44" t="n">
        <v>3750</v>
      </c>
      <c r="L32" s="44" t="n">
        <v>3750</v>
      </c>
      <c r="M32" s="44" t="n">
        <v>3750</v>
      </c>
      <c r="N32" s="44" t="n">
        <v>3750</v>
      </c>
      <c r="O32" s="44" t="n">
        <v>3750</v>
      </c>
      <c r="P32" s="44" t="n">
        <v>3750</v>
      </c>
      <c r="Q32" s="44" t="n">
        <v>3750</v>
      </c>
      <c r="R32" s="44" t="n">
        <v>3750</v>
      </c>
      <c r="S32" s="44" t="n">
        <v>6000</v>
      </c>
      <c r="T32" s="44" t="n">
        <v>6000</v>
      </c>
      <c r="U32" s="44" t="n">
        <v>6000</v>
      </c>
      <c r="V32" s="44" t="n">
        <v>6000</v>
      </c>
      <c r="W32" s="44" t="n">
        <v>6000</v>
      </c>
      <c r="X32" s="44" t="n">
        <v>6000</v>
      </c>
      <c r="Y32" s="44" t="n">
        <v>6000</v>
      </c>
      <c r="Z32" s="44" t="n">
        <v>6000</v>
      </c>
      <c r="AA32" s="44" t="n">
        <v>6000</v>
      </c>
      <c r="AB32" s="44" t="n">
        <v>6000</v>
      </c>
      <c r="AC32" s="44" t="n">
        <v>6000</v>
      </c>
      <c r="AD32" s="44" t="n">
        <v>6000</v>
      </c>
      <c r="AE32" s="44" t="n">
        <v>8250</v>
      </c>
      <c r="AF32" s="44" t="n">
        <v>8250</v>
      </c>
      <c r="AG32" s="44" t="n">
        <v>8250</v>
      </c>
      <c r="AH32" s="44" t="n">
        <v>8250</v>
      </c>
      <c r="AI32" s="44" t="n">
        <v>8250</v>
      </c>
      <c r="AJ32" s="44" t="n">
        <v>8250</v>
      </c>
      <c r="AK32" s="44" t="n">
        <v>8250</v>
      </c>
      <c r="AL32" s="44" t="n">
        <v>8250</v>
      </c>
      <c r="AM32" s="44" t="n">
        <v>8250</v>
      </c>
      <c r="AN32" s="44" t="n">
        <v>8250</v>
      </c>
      <c r="AO32" s="44" t="n">
        <v>8250</v>
      </c>
      <c r="AP32" s="44" t="n">
        <v>8250</v>
      </c>
      <c r="AQ32" s="44" t="n">
        <v>3750</v>
      </c>
      <c r="AR32" s="44" t="n">
        <v>3750</v>
      </c>
      <c r="AS32" s="44" t="n">
        <v>3750</v>
      </c>
      <c r="AT32" s="44" t="n">
        <v>3750</v>
      </c>
      <c r="AU32" s="44" t="n">
        <v>3750</v>
      </c>
      <c r="AV32" s="44" t="n">
        <v>3750</v>
      </c>
      <c r="AW32" s="44" t="n">
        <v>3750</v>
      </c>
      <c r="AX32" s="44" t="n">
        <v>3750</v>
      </c>
      <c r="AY32" s="44" t="n">
        <v>3750</v>
      </c>
      <c r="AZ32" s="44" t="n">
        <v>3750</v>
      </c>
      <c r="BA32" s="44" t="n">
        <v>3750</v>
      </c>
      <c r="BB32" s="44" t="n">
        <v>3750</v>
      </c>
      <c r="BC32" s="44" t="n">
        <v>0</v>
      </c>
      <c r="BD32" s="44" t="n">
        <v>0</v>
      </c>
      <c r="BE32" s="44" t="n">
        <v>0</v>
      </c>
      <c r="BF32" s="44" t="n">
        <v>0</v>
      </c>
      <c r="BG32" s="44" t="n">
        <v>0</v>
      </c>
      <c r="BH32" s="44" t="n">
        <v>0</v>
      </c>
      <c r="BI32" s="44" t="n">
        <v>0</v>
      </c>
      <c r="BJ32" s="44" t="n">
        <v>0</v>
      </c>
      <c r="BK32" s="44" t="n">
        <v>0</v>
      </c>
      <c r="BL32" s="44" t="n">
        <v>0</v>
      </c>
      <c r="BM32" s="44" t="n">
        <v>0</v>
      </c>
      <c r="BN32" s="44" t="n">
        <v>0</v>
      </c>
      <c r="BO32" s="44" t="n">
        <v>0</v>
      </c>
      <c r="BP32" s="44" t="n">
        <v>0</v>
      </c>
      <c r="BQ32" s="44" t="n">
        <v>0</v>
      </c>
      <c r="BR32" s="45" t="n">
        <v>0</v>
      </c>
      <c r="BS32" s="46" t="n">
        <v>0</v>
      </c>
      <c r="BT32" s="46" t="n">
        <v>0</v>
      </c>
      <c r="BU32" s="46" t="n">
        <v>0</v>
      </c>
      <c r="BV32" s="46" t="n">
        <v>0</v>
      </c>
      <c r="BW32" s="46" t="n">
        <v>0</v>
      </c>
      <c r="BX32" s="46" t="n">
        <v>0</v>
      </c>
      <c r="BY32" s="46" t="n">
        <v>0</v>
      </c>
      <c r="BZ32" s="46" t="n">
        <v>0</v>
      </c>
      <c r="CB32" s="52" t="s">
        <v>170</v>
      </c>
      <c r="CC32" s="50" t="n">
        <v>-3750</v>
      </c>
      <c r="CD32" s="50" t="n">
        <v>-3750</v>
      </c>
      <c r="CE32" s="50" t="n">
        <v>-3750</v>
      </c>
      <c r="CF32" s="50" t="n">
        <v>-3750</v>
      </c>
      <c r="CG32" s="50" t="n">
        <v>-3750</v>
      </c>
      <c r="CH32" s="50" t="n">
        <v>-3750</v>
      </c>
      <c r="CI32" s="50" t="n">
        <v>-3750</v>
      </c>
      <c r="CJ32" s="50" t="n">
        <v>-3750</v>
      </c>
      <c r="CK32" s="50" t="n">
        <v>-3750</v>
      </c>
      <c r="CL32" s="50" t="n">
        <v>-3750</v>
      </c>
      <c r="CM32" s="50" t="n">
        <v>-3750</v>
      </c>
      <c r="CN32" s="50" t="n">
        <v>-3750</v>
      </c>
      <c r="CO32" s="50" t="n">
        <v>-6000</v>
      </c>
      <c r="CP32" s="50" t="n">
        <v>-6000</v>
      </c>
      <c r="CQ32" s="50" t="n">
        <v>-6000</v>
      </c>
      <c r="CR32" s="50" t="n">
        <v>-6000</v>
      </c>
      <c r="CS32" s="50" t="n">
        <v>-6000</v>
      </c>
      <c r="CT32" s="50" t="n">
        <v>-6000</v>
      </c>
      <c r="CU32" s="50" t="n">
        <v>-6000</v>
      </c>
      <c r="CV32" s="50" t="n">
        <v>-6000</v>
      </c>
      <c r="CW32" s="50" t="n">
        <v>-6000</v>
      </c>
      <c r="CX32" s="50" t="n">
        <v>-6000</v>
      </c>
      <c r="CY32" s="50" t="n">
        <v>-6000</v>
      </c>
      <c r="CZ32" s="50" t="n">
        <v>-6000</v>
      </c>
      <c r="DA32" s="50" t="n">
        <v>-8250</v>
      </c>
      <c r="DB32" s="50" t="n">
        <v>-8250</v>
      </c>
      <c r="DC32" s="50" t="n">
        <v>-8250</v>
      </c>
      <c r="DD32" s="50" t="n">
        <v>-8250</v>
      </c>
      <c r="DE32" s="50" t="n">
        <v>-8250</v>
      </c>
      <c r="DF32" s="50" t="n">
        <v>-8250</v>
      </c>
      <c r="DG32" s="50" t="n">
        <v>-8250</v>
      </c>
      <c r="DH32" s="50" t="n">
        <v>-8250</v>
      </c>
      <c r="DI32" s="50" t="n">
        <v>-8250</v>
      </c>
      <c r="DJ32" s="50" t="n">
        <v>-8250</v>
      </c>
      <c r="DK32" s="50" t="n">
        <v>-8250</v>
      </c>
      <c r="DL32" s="50" t="n">
        <v>-8250</v>
      </c>
      <c r="DM32" s="50" t="n">
        <v>-3750</v>
      </c>
      <c r="DN32" s="50" t="n">
        <v>-3750</v>
      </c>
      <c r="DO32" s="50" t="n">
        <v>-3750</v>
      </c>
      <c r="DP32" s="50" t="n">
        <v>-3750</v>
      </c>
      <c r="DQ32" s="50" t="n">
        <v>-3750</v>
      </c>
      <c r="DR32" s="50" t="n">
        <v>-3750</v>
      </c>
      <c r="DS32" s="50" t="n">
        <v>-3750</v>
      </c>
      <c r="DT32" s="50" t="n">
        <v>-3750</v>
      </c>
      <c r="DU32" s="50" t="n">
        <v>-3750</v>
      </c>
      <c r="DV32" s="50" t="n">
        <v>-3750</v>
      </c>
      <c r="DW32" s="50" t="n">
        <v>-3750</v>
      </c>
      <c r="DX32" s="50" t="n">
        <v>-3750</v>
      </c>
      <c r="DY32" s="50" t="n">
        <v>0</v>
      </c>
      <c r="DZ32" s="50" t="n">
        <v>0</v>
      </c>
      <c r="EA32" s="50" t="n">
        <v>0</v>
      </c>
      <c r="EB32" s="50" t="n">
        <v>0</v>
      </c>
      <c r="EC32" s="50" t="n">
        <v>0</v>
      </c>
      <c r="ED32" s="50" t="n">
        <v>0</v>
      </c>
      <c r="EE32" s="50" t="n">
        <v>0</v>
      </c>
      <c r="EF32" s="50" t="n">
        <v>0</v>
      </c>
      <c r="EG32" s="50" t="n">
        <v>0</v>
      </c>
      <c r="EH32" s="50" t="n">
        <v>0</v>
      </c>
      <c r="EI32" s="50" t="n">
        <v>0</v>
      </c>
      <c r="EJ32" s="50" t="n">
        <v>0</v>
      </c>
      <c r="EK32" s="50" t="n">
        <v>0</v>
      </c>
      <c r="EL32" s="50" t="n">
        <v>0</v>
      </c>
      <c r="EM32" s="50" t="n">
        <v>0</v>
      </c>
      <c r="EN32" s="51" t="n">
        <v>0</v>
      </c>
      <c r="EO32" s="50" t="n">
        <v>0</v>
      </c>
      <c r="EP32" s="50" t="n">
        <v>0</v>
      </c>
      <c r="EQ32" s="50" t="n">
        <v>0</v>
      </c>
      <c r="ER32" s="50" t="n">
        <v>0</v>
      </c>
      <c r="ES32" s="50" t="n">
        <v>0</v>
      </c>
      <c r="ET32" s="50" t="n">
        <v>0</v>
      </c>
      <c r="EU32" s="50" t="n">
        <v>0</v>
      </c>
      <c r="EV32" s="50" t="n">
        <v>0</v>
      </c>
      <c r="EX32" s="47" t="n">
        <v>0</v>
      </c>
      <c r="EY32" s="47" t="n">
        <v>0</v>
      </c>
      <c r="EZ32" s="47" t="n">
        <v>0</v>
      </c>
      <c r="FA32" s="47" t="n">
        <v>0</v>
      </c>
      <c r="FB32" s="47" t="n">
        <v>0</v>
      </c>
      <c r="FC32" s="47" t="n">
        <v>0</v>
      </c>
      <c r="FD32" s="47" t="n">
        <v>0</v>
      </c>
      <c r="FE32" s="47" t="n">
        <v>0</v>
      </c>
      <c r="FF32" s="47" t="n">
        <v>0</v>
      </c>
      <c r="FG32" s="47" t="n">
        <v>0</v>
      </c>
      <c r="FH32" s="47" t="n">
        <v>0</v>
      </c>
      <c r="FI32" s="47" t="n">
        <v>0</v>
      </c>
      <c r="FJ32" s="47" t="n">
        <v>0</v>
      </c>
      <c r="FK32" s="47" t="n">
        <v>0</v>
      </c>
      <c r="FL32" s="47" t="n">
        <v>0</v>
      </c>
      <c r="FM32" s="47" t="n">
        <v>0</v>
      </c>
      <c r="FN32" s="47" t="n">
        <v>0</v>
      </c>
      <c r="FO32" s="47" t="n">
        <v>0</v>
      </c>
      <c r="FP32" s="47" t="n">
        <v>0</v>
      </c>
      <c r="FQ32" s="47" t="n">
        <v>0</v>
      </c>
      <c r="FR32" s="47" t="n">
        <v>0</v>
      </c>
      <c r="FS32" s="47" t="n">
        <v>0</v>
      </c>
      <c r="FT32" s="47" t="n">
        <v>0</v>
      </c>
      <c r="FU32" s="47" t="n">
        <v>0</v>
      </c>
      <c r="FV32" s="47" t="n">
        <v>0</v>
      </c>
      <c r="FW32" s="47" t="n">
        <v>0</v>
      </c>
      <c r="FX32" s="47" t="n">
        <v>0</v>
      </c>
      <c r="FY32" s="47" t="n">
        <v>0</v>
      </c>
      <c r="FZ32" s="47" t="n">
        <v>0</v>
      </c>
      <c r="GA32" s="47" t="n">
        <v>0</v>
      </c>
      <c r="GB32" s="47" t="n">
        <v>0</v>
      </c>
      <c r="GC32" s="47" t="n">
        <v>0</v>
      </c>
      <c r="GD32" s="47" t="n">
        <v>0</v>
      </c>
      <c r="GE32" s="47" t="n">
        <v>0</v>
      </c>
      <c r="GF32" s="47" t="n">
        <v>0</v>
      </c>
      <c r="GG32" s="47" t="n">
        <v>0</v>
      </c>
      <c r="GH32" s="47" t="n">
        <v>0</v>
      </c>
      <c r="GI32" s="47" t="n">
        <v>0</v>
      </c>
      <c r="GJ32" s="47" t="n">
        <v>0</v>
      </c>
      <c r="GK32" s="47" t="n">
        <v>0</v>
      </c>
      <c r="GL32" s="47" t="n">
        <v>0</v>
      </c>
      <c r="GM32" s="47" t="n">
        <v>0</v>
      </c>
      <c r="GN32" s="47" t="n">
        <v>0</v>
      </c>
      <c r="GO32" s="47" t="n">
        <v>0</v>
      </c>
      <c r="GP32" s="47" t="n">
        <v>0</v>
      </c>
      <c r="GQ32" s="47" t="n">
        <v>0</v>
      </c>
      <c r="GR32" s="47" t="n">
        <v>0</v>
      </c>
      <c r="GS32" s="47" t="n">
        <v>0</v>
      </c>
      <c r="GT32" s="47" t="n">
        <v>0</v>
      </c>
      <c r="GU32" s="47" t="n">
        <v>0</v>
      </c>
      <c r="GV32" s="47" t="n">
        <v>0</v>
      </c>
      <c r="GW32" s="47" t="n">
        <v>0</v>
      </c>
      <c r="GX32" s="47" t="n">
        <v>0</v>
      </c>
      <c r="GY32" s="47" t="n">
        <v>0</v>
      </c>
      <c r="GZ32" s="47" t="n">
        <v>0</v>
      </c>
      <c r="HA32" s="47" t="n">
        <v>0</v>
      </c>
      <c r="HB32" s="47" t="n">
        <v>0</v>
      </c>
      <c r="HC32" s="47" t="n">
        <v>0</v>
      </c>
      <c r="HD32" s="47" t="n">
        <v>0</v>
      </c>
      <c r="HE32" s="47" t="n">
        <v>0</v>
      </c>
      <c r="HF32" s="47" t="n">
        <v>0</v>
      </c>
      <c r="HG32" s="47" t="n">
        <v>0</v>
      </c>
      <c r="HH32" s="47" t="n">
        <v>0</v>
      </c>
      <c r="HI32" s="48" t="n">
        <v>0</v>
      </c>
      <c r="HJ32" s="47" t="n">
        <v>0</v>
      </c>
      <c r="HK32" s="47" t="n">
        <v>0</v>
      </c>
      <c r="HL32" s="47" t="n">
        <v>0</v>
      </c>
      <c r="HM32" s="47" t="n">
        <v>0</v>
      </c>
      <c r="HN32" s="47" t="n">
        <v>0</v>
      </c>
      <c r="HO32" s="47" t="n">
        <v>0</v>
      </c>
      <c r="HP32" s="47" t="n">
        <v>0</v>
      </c>
      <c r="HQ32" s="47" t="n">
        <v>0</v>
      </c>
      <c r="HS32" s="47" t="n">
        <v>0</v>
      </c>
      <c r="HT32" s="47" t="n">
        <v>0</v>
      </c>
      <c r="HU32" s="47" t="n">
        <v>0</v>
      </c>
      <c r="HV32" s="47" t="n">
        <v>0</v>
      </c>
      <c r="HW32" s="47" t="n">
        <v>0</v>
      </c>
      <c r="HX32" s="47" t="n">
        <v>0</v>
      </c>
      <c r="HY32" s="47" t="n">
        <v>0</v>
      </c>
      <c r="HZ32" s="47" t="n">
        <v>0</v>
      </c>
      <c r="IA32" s="47" t="n">
        <v>0</v>
      </c>
      <c r="IB32" s="47" t="n">
        <v>0</v>
      </c>
      <c r="IC32" s="47" t="n">
        <v>0</v>
      </c>
      <c r="ID32" s="47" t="n">
        <v>0</v>
      </c>
      <c r="IE32" s="47" t="n">
        <v>0</v>
      </c>
      <c r="IF32" s="47" t="n">
        <v>0</v>
      </c>
      <c r="IG32" s="47" t="n">
        <v>0</v>
      </c>
      <c r="IH32" s="47" t="n">
        <v>0</v>
      </c>
      <c r="II32" s="47" t="n">
        <v>0</v>
      </c>
      <c r="IJ32" s="47" t="n">
        <v>0</v>
      </c>
      <c r="IK32" s="47" t="n">
        <v>0</v>
      </c>
      <c r="IL32" s="47" t="n">
        <v>0</v>
      </c>
      <c r="IM32" s="47" t="n">
        <v>0</v>
      </c>
      <c r="IN32" s="47" t="n">
        <v>0</v>
      </c>
      <c r="IO32" s="47" t="n">
        <v>0</v>
      </c>
      <c r="IP32" s="47" t="n">
        <v>0</v>
      </c>
      <c r="IQ32" s="47" t="n">
        <v>0</v>
      </c>
      <c r="IR32" s="47" t="n">
        <v>0</v>
      </c>
      <c r="IS32" s="47" t="n">
        <v>0</v>
      </c>
      <c r="IT32" s="47" t="n">
        <v>0</v>
      </c>
      <c r="IU32" s="47" t="n">
        <v>0</v>
      </c>
      <c r="IV32" s="47" t="n">
        <v>0</v>
      </c>
      <c r="IW32" s="47" t="n">
        <v>0</v>
      </c>
      <c r="IX32" s="47" t="n">
        <v>0</v>
      </c>
      <c r="IY32" s="47" t="n">
        <v>0</v>
      </c>
      <c r="IZ32" s="47" t="n">
        <v>0</v>
      </c>
      <c r="JA32" s="47" t="n">
        <v>0</v>
      </c>
      <c r="JB32" s="47" t="n">
        <v>0</v>
      </c>
      <c r="JC32" s="47" t="n">
        <v>0</v>
      </c>
      <c r="JD32" s="47" t="n">
        <v>0</v>
      </c>
      <c r="JE32" s="47" t="n">
        <v>0</v>
      </c>
      <c r="JF32" s="47" t="n">
        <v>0</v>
      </c>
      <c r="JG32" s="47" t="n">
        <v>0</v>
      </c>
      <c r="JH32" s="47" t="n">
        <v>0</v>
      </c>
      <c r="JI32" s="47" t="n">
        <v>0</v>
      </c>
      <c r="JJ32" s="47" t="n">
        <v>0</v>
      </c>
      <c r="JK32" s="47" t="n">
        <v>0</v>
      </c>
      <c r="JL32" s="47" t="n">
        <v>0</v>
      </c>
      <c r="JM32" s="47" t="n">
        <v>0</v>
      </c>
      <c r="JN32" s="47" t="n">
        <v>0</v>
      </c>
      <c r="JO32" s="47" t="n">
        <v>0</v>
      </c>
      <c r="JP32" s="47" t="n">
        <v>0</v>
      </c>
      <c r="JQ32" s="47" t="n">
        <v>0</v>
      </c>
      <c r="JR32" s="47" t="n">
        <v>0</v>
      </c>
      <c r="JS32" s="47" t="n">
        <v>0</v>
      </c>
      <c r="JT32" s="47" t="n">
        <v>0</v>
      </c>
      <c r="JU32" s="47" t="n">
        <v>0</v>
      </c>
      <c r="JV32" s="47" t="n">
        <v>0</v>
      </c>
      <c r="JW32" s="47" t="n">
        <v>0</v>
      </c>
      <c r="JX32" s="47" t="n">
        <v>0</v>
      </c>
      <c r="JY32" s="47" t="n">
        <v>0</v>
      </c>
      <c r="JZ32" s="47" t="n">
        <v>0</v>
      </c>
      <c r="KA32" s="47" t="n">
        <v>0</v>
      </c>
      <c r="KB32" s="47" t="n">
        <v>0</v>
      </c>
      <c r="KC32" s="47" t="n">
        <v>0</v>
      </c>
      <c r="KD32" s="48" t="n">
        <v>0</v>
      </c>
      <c r="KE32" s="47" t="n">
        <v>0</v>
      </c>
      <c r="KF32" s="47" t="n">
        <v>0</v>
      </c>
      <c r="KG32" s="47" t="n">
        <v>0</v>
      </c>
      <c r="KH32" s="47" t="n">
        <v>0</v>
      </c>
      <c r="KI32" s="47" t="n">
        <v>0</v>
      </c>
      <c r="KJ32" s="47" t="n">
        <v>0</v>
      </c>
      <c r="KK32" s="47" t="n">
        <v>0</v>
      </c>
      <c r="KL32" s="47" t="n">
        <v>0</v>
      </c>
    </row>
    <row r="33" customFormat="false" ht="15.75" hidden="false" customHeight="true" outlineLevel="0" collapsed="false">
      <c r="A33" s="35" t="s">
        <v>224</v>
      </c>
      <c r="B33" s="35" t="s">
        <v>225</v>
      </c>
      <c r="C33" s="35" t="s">
        <v>164</v>
      </c>
      <c r="D33" s="35" t="s">
        <v>215</v>
      </c>
      <c r="E33" s="35" t="s">
        <v>188</v>
      </c>
      <c r="G33" s="44" t="n">
        <v>516.666666666667</v>
      </c>
      <c r="H33" s="44" t="n">
        <v>516.666666666667</v>
      </c>
      <c r="I33" s="44" t="n">
        <v>516.666666666667</v>
      </c>
      <c r="J33" s="44" t="n">
        <v>516.666666666667</v>
      </c>
      <c r="K33" s="44" t="n">
        <v>516.666666666667</v>
      </c>
      <c r="L33" s="44" t="n">
        <v>516.666666666667</v>
      </c>
      <c r="M33" s="44" t="n">
        <v>516.666666666667</v>
      </c>
      <c r="N33" s="44" t="n">
        <v>516.666666666667</v>
      </c>
      <c r="O33" s="44" t="n">
        <v>516.666666666667</v>
      </c>
      <c r="P33" s="44" t="n">
        <v>516.666666666667</v>
      </c>
      <c r="Q33" s="44" t="n">
        <v>516.666666666667</v>
      </c>
      <c r="R33" s="44" t="n">
        <v>516.666666666667</v>
      </c>
      <c r="S33" s="44" t="n">
        <v>516.666666666667</v>
      </c>
      <c r="T33" s="44" t="n">
        <v>516.666666666667</v>
      </c>
      <c r="U33" s="44" t="n">
        <v>516.666666666667</v>
      </c>
      <c r="V33" s="44" t="n">
        <v>516.666666666667</v>
      </c>
      <c r="W33" s="44" t="n">
        <v>250</v>
      </c>
      <c r="X33" s="44" t="n">
        <v>250</v>
      </c>
      <c r="Y33" s="44" t="n">
        <v>250</v>
      </c>
      <c r="Z33" s="44" t="n">
        <v>250</v>
      </c>
      <c r="AA33" s="44" t="n">
        <v>250</v>
      </c>
      <c r="AB33" s="44" t="n">
        <v>250</v>
      </c>
      <c r="AC33" s="44" t="n">
        <v>250</v>
      </c>
      <c r="AD33" s="44" t="n">
        <v>250</v>
      </c>
      <c r="AE33" s="44" t="n">
        <v>250</v>
      </c>
      <c r="AF33" s="44" t="n">
        <v>250</v>
      </c>
      <c r="AG33" s="44" t="n">
        <v>250</v>
      </c>
      <c r="AH33" s="44" t="n">
        <v>250</v>
      </c>
      <c r="AI33" s="44" t="n">
        <v>0</v>
      </c>
      <c r="AJ33" s="44" t="n">
        <v>0</v>
      </c>
      <c r="AK33" s="44" t="n">
        <v>0</v>
      </c>
      <c r="AL33" s="44" t="n">
        <v>0</v>
      </c>
      <c r="AM33" s="44" t="n">
        <v>0</v>
      </c>
      <c r="AN33" s="44" t="n">
        <v>0</v>
      </c>
      <c r="AO33" s="44" t="n">
        <v>0</v>
      </c>
      <c r="AP33" s="44" t="n">
        <v>0</v>
      </c>
      <c r="BS33" s="46" t="n">
        <v>0</v>
      </c>
      <c r="BT33" s="46" t="n">
        <v>0</v>
      </c>
      <c r="BU33" s="46" t="n">
        <v>0</v>
      </c>
      <c r="BV33" s="46" t="n">
        <v>0</v>
      </c>
      <c r="BW33" s="46" t="n">
        <v>0</v>
      </c>
      <c r="BX33" s="46" t="n">
        <v>0</v>
      </c>
      <c r="BY33" s="46" t="n">
        <v>0</v>
      </c>
      <c r="BZ33" s="46" t="n">
        <v>0</v>
      </c>
      <c r="CB33" s="52" t="s">
        <v>184</v>
      </c>
      <c r="CC33" s="50" t="n">
        <v>-516.666666666667</v>
      </c>
      <c r="CD33" s="50" t="n">
        <v>-516.666666666667</v>
      </c>
      <c r="CE33" s="50" t="n">
        <v>-516.666666666667</v>
      </c>
      <c r="CF33" s="50" t="n">
        <v>-516.666666666667</v>
      </c>
      <c r="CG33" s="50" t="n">
        <v>-516.666666666667</v>
      </c>
      <c r="CH33" s="50" t="n">
        <v>-516.666666666667</v>
      </c>
      <c r="CI33" s="50" t="n">
        <v>-516.666666666667</v>
      </c>
      <c r="CJ33" s="50" t="n">
        <v>-516.666666666667</v>
      </c>
      <c r="CK33" s="50" t="n">
        <v>-516.666666666667</v>
      </c>
      <c r="CL33" s="50" t="n">
        <v>-516.666666666667</v>
      </c>
      <c r="CM33" s="50" t="n">
        <v>-516.666666666667</v>
      </c>
      <c r="CN33" s="50" t="n">
        <v>-516.666666666667</v>
      </c>
      <c r="CO33" s="50" t="n">
        <v>-516.666666666667</v>
      </c>
      <c r="CP33" s="50" t="n">
        <v>-516.666666666667</v>
      </c>
      <c r="CQ33" s="50" t="n">
        <v>-516.666666666667</v>
      </c>
      <c r="CR33" s="50" t="n">
        <v>-516.666666666667</v>
      </c>
      <c r="CS33" s="50" t="n">
        <v>-250</v>
      </c>
      <c r="CT33" s="50" t="n">
        <v>-250</v>
      </c>
      <c r="CU33" s="50" t="n">
        <v>-250</v>
      </c>
      <c r="CV33" s="50" t="n">
        <v>-250</v>
      </c>
      <c r="CW33" s="50" t="n">
        <v>-250</v>
      </c>
      <c r="CX33" s="50" t="n">
        <v>-250</v>
      </c>
      <c r="CY33" s="50" t="n">
        <v>-250</v>
      </c>
      <c r="CZ33" s="50" t="n">
        <v>-250</v>
      </c>
      <c r="DA33" s="50" t="n">
        <v>-250</v>
      </c>
      <c r="DB33" s="50" t="n">
        <v>-250</v>
      </c>
      <c r="DC33" s="50" t="n">
        <v>-250</v>
      </c>
      <c r="DD33" s="50" t="n">
        <v>-250</v>
      </c>
      <c r="DE33" s="50" t="n">
        <v>0</v>
      </c>
      <c r="DF33" s="50" t="n">
        <v>0</v>
      </c>
      <c r="DG33" s="50" t="n">
        <v>0</v>
      </c>
      <c r="DH33" s="50" t="n">
        <v>0</v>
      </c>
      <c r="DI33" s="50" t="n">
        <v>0</v>
      </c>
      <c r="DJ33" s="50" t="n">
        <v>0</v>
      </c>
      <c r="DK33" s="50" t="n">
        <v>0</v>
      </c>
      <c r="DL33" s="50" t="n">
        <v>0</v>
      </c>
      <c r="DM33" s="50" t="n">
        <v>0</v>
      </c>
      <c r="DN33" s="50" t="n">
        <v>0</v>
      </c>
      <c r="DO33" s="50" t="n">
        <v>0</v>
      </c>
      <c r="DP33" s="50" t="n">
        <v>0</v>
      </c>
      <c r="DQ33" s="50" t="n">
        <v>0</v>
      </c>
      <c r="DR33" s="50" t="n">
        <v>0</v>
      </c>
      <c r="DS33" s="50" t="n">
        <v>0</v>
      </c>
      <c r="DT33" s="50" t="n">
        <v>0</v>
      </c>
      <c r="DU33" s="50" t="n">
        <v>0</v>
      </c>
      <c r="DV33" s="50" t="n">
        <v>0</v>
      </c>
      <c r="DW33" s="50" t="n">
        <v>0</v>
      </c>
      <c r="DX33" s="50" t="n">
        <v>0</v>
      </c>
      <c r="DY33" s="50" t="n">
        <v>0</v>
      </c>
      <c r="DZ33" s="50" t="n">
        <v>0</v>
      </c>
      <c r="EA33" s="50" t="n">
        <v>0</v>
      </c>
      <c r="EB33" s="50" t="n">
        <v>0</v>
      </c>
      <c r="EC33" s="50" t="n">
        <v>0</v>
      </c>
      <c r="ED33" s="50" t="n">
        <v>0</v>
      </c>
      <c r="EE33" s="50" t="n">
        <v>0</v>
      </c>
      <c r="EF33" s="50" t="n">
        <v>0</v>
      </c>
      <c r="EG33" s="50" t="n">
        <v>0</v>
      </c>
      <c r="EH33" s="50" t="n">
        <v>0</v>
      </c>
      <c r="EI33" s="50" t="n">
        <v>0</v>
      </c>
      <c r="EJ33" s="50" t="n">
        <v>0</v>
      </c>
      <c r="EK33" s="50" t="n">
        <v>0</v>
      </c>
      <c r="EL33" s="50" t="n">
        <v>0</v>
      </c>
      <c r="EM33" s="50" t="n">
        <v>0</v>
      </c>
      <c r="EN33" s="51" t="n">
        <v>0</v>
      </c>
      <c r="EO33" s="50" t="n">
        <v>0</v>
      </c>
      <c r="EP33" s="50" t="n">
        <v>0</v>
      </c>
      <c r="EQ33" s="50" t="n">
        <v>0</v>
      </c>
      <c r="ER33" s="50" t="n">
        <v>0</v>
      </c>
      <c r="ES33" s="50" t="n">
        <v>0</v>
      </c>
      <c r="ET33" s="50" t="n">
        <v>0</v>
      </c>
      <c r="EU33" s="50" t="n">
        <v>0</v>
      </c>
      <c r="EV33" s="50" t="n">
        <v>0</v>
      </c>
      <c r="EX33" s="47" t="n">
        <v>516.666666666667</v>
      </c>
      <c r="EY33" s="47" t="n">
        <v>516.666666666667</v>
      </c>
      <c r="EZ33" s="47" t="n">
        <v>516.666666666667</v>
      </c>
      <c r="FA33" s="47" t="n">
        <v>516.666666666667</v>
      </c>
      <c r="FB33" s="47" t="n">
        <v>516.666666666667</v>
      </c>
      <c r="FC33" s="47" t="n">
        <v>516.666666666667</v>
      </c>
      <c r="FD33" s="47" t="n">
        <v>516.666666666667</v>
      </c>
      <c r="FE33" s="47" t="n">
        <v>516.666666666667</v>
      </c>
      <c r="FF33" s="47" t="n">
        <v>516.666666666667</v>
      </c>
      <c r="FG33" s="47" t="n">
        <v>516.666666666667</v>
      </c>
      <c r="FH33" s="47" t="n">
        <v>516.666666666667</v>
      </c>
      <c r="FI33" s="47" t="n">
        <v>516.666666666667</v>
      </c>
      <c r="FJ33" s="47" t="n">
        <v>516.666666666667</v>
      </c>
      <c r="FK33" s="47" t="n">
        <v>516.666666666667</v>
      </c>
      <c r="FL33" s="47" t="n">
        <v>516.666666666667</v>
      </c>
      <c r="FM33" s="47" t="n">
        <v>516.666666666667</v>
      </c>
      <c r="FN33" s="47" t="n">
        <v>250</v>
      </c>
      <c r="FO33" s="47" t="n">
        <v>250</v>
      </c>
      <c r="FP33" s="47" t="n">
        <v>250</v>
      </c>
      <c r="FQ33" s="47" t="n">
        <v>250</v>
      </c>
      <c r="FR33" s="47" t="n">
        <v>250</v>
      </c>
      <c r="FS33" s="47" t="n">
        <v>250</v>
      </c>
      <c r="FT33" s="47" t="n">
        <v>250</v>
      </c>
      <c r="FU33" s="47" t="n">
        <v>250</v>
      </c>
      <c r="FV33" s="47" t="n">
        <v>250</v>
      </c>
      <c r="FW33" s="47" t="n">
        <v>250</v>
      </c>
      <c r="FX33" s="47" t="n">
        <v>250</v>
      </c>
      <c r="FY33" s="47" t="n">
        <v>250</v>
      </c>
      <c r="FZ33" s="47" t="n">
        <v>0</v>
      </c>
      <c r="GA33" s="47" t="n">
        <v>0</v>
      </c>
      <c r="GB33" s="47" t="n">
        <v>0</v>
      </c>
      <c r="GC33" s="47" t="n">
        <v>0</v>
      </c>
      <c r="GD33" s="47" t="n">
        <v>0</v>
      </c>
      <c r="GE33" s="47" t="n">
        <v>0</v>
      </c>
      <c r="GF33" s="47" t="n">
        <v>0</v>
      </c>
      <c r="GG33" s="47" t="n">
        <v>0</v>
      </c>
      <c r="GH33" s="47" t="n">
        <v>0</v>
      </c>
      <c r="GI33" s="47" t="n">
        <v>0</v>
      </c>
      <c r="GJ33" s="47" t="n">
        <v>0</v>
      </c>
      <c r="GK33" s="47" t="n">
        <v>0</v>
      </c>
      <c r="GL33" s="47" t="n">
        <v>0</v>
      </c>
      <c r="GM33" s="47" t="n">
        <v>0</v>
      </c>
      <c r="GN33" s="47" t="n">
        <v>0</v>
      </c>
      <c r="GO33" s="47" t="n">
        <v>0</v>
      </c>
      <c r="GP33" s="47" t="n">
        <v>0</v>
      </c>
      <c r="GQ33" s="47" t="n">
        <v>0</v>
      </c>
      <c r="GR33" s="47" t="n">
        <v>0</v>
      </c>
      <c r="GS33" s="47" t="n">
        <v>0</v>
      </c>
      <c r="GT33" s="47" t="n">
        <v>0</v>
      </c>
      <c r="GU33" s="47" t="n">
        <v>0</v>
      </c>
      <c r="GV33" s="47" t="n">
        <v>0</v>
      </c>
      <c r="GW33" s="47" t="n">
        <v>0</v>
      </c>
      <c r="GX33" s="47" t="n">
        <v>0</v>
      </c>
      <c r="GY33" s="47" t="n">
        <v>0</v>
      </c>
      <c r="GZ33" s="47" t="n">
        <v>0</v>
      </c>
      <c r="HA33" s="47" t="n">
        <v>0</v>
      </c>
      <c r="HB33" s="47" t="n">
        <v>0</v>
      </c>
      <c r="HC33" s="47" t="n">
        <v>0</v>
      </c>
      <c r="HD33" s="47" t="n">
        <v>0</v>
      </c>
      <c r="HE33" s="47" t="n">
        <v>0</v>
      </c>
      <c r="HF33" s="47" t="n">
        <v>0</v>
      </c>
      <c r="HG33" s="47" t="n">
        <v>0</v>
      </c>
      <c r="HH33" s="47" t="n">
        <v>0</v>
      </c>
      <c r="HI33" s="48" t="n">
        <v>0</v>
      </c>
      <c r="HJ33" s="47" t="n">
        <v>0</v>
      </c>
      <c r="HK33" s="47" t="n">
        <v>0</v>
      </c>
      <c r="HL33" s="47" t="n">
        <v>0</v>
      </c>
      <c r="HM33" s="47" t="n">
        <v>0</v>
      </c>
      <c r="HN33" s="47" t="n">
        <v>0</v>
      </c>
      <c r="HO33" s="47" t="n">
        <v>0</v>
      </c>
      <c r="HP33" s="47" t="n">
        <v>0</v>
      </c>
      <c r="HQ33" s="47" t="n">
        <v>0</v>
      </c>
      <c r="HS33" s="47" t="n">
        <v>0</v>
      </c>
      <c r="HT33" s="47" t="n">
        <v>0</v>
      </c>
      <c r="HU33" s="47" t="n">
        <v>0</v>
      </c>
      <c r="HV33" s="47" t="n">
        <v>0</v>
      </c>
      <c r="HW33" s="47" t="n">
        <v>0</v>
      </c>
      <c r="HX33" s="47" t="n">
        <v>0</v>
      </c>
      <c r="HY33" s="47" t="n">
        <v>0</v>
      </c>
      <c r="HZ33" s="47" t="n">
        <v>0</v>
      </c>
      <c r="IA33" s="47" t="n">
        <v>0</v>
      </c>
      <c r="IB33" s="47" t="n">
        <v>0</v>
      </c>
      <c r="IC33" s="47" t="n">
        <v>0</v>
      </c>
      <c r="ID33" s="47" t="n">
        <v>0</v>
      </c>
      <c r="IE33" s="47" t="n">
        <v>0</v>
      </c>
      <c r="IF33" s="47" t="n">
        <v>0</v>
      </c>
      <c r="IG33" s="47" t="n">
        <v>0</v>
      </c>
      <c r="IH33" s="47" t="n">
        <v>0</v>
      </c>
      <c r="II33" s="47" t="n">
        <v>0</v>
      </c>
      <c r="IJ33" s="47" t="n">
        <v>0</v>
      </c>
      <c r="IK33" s="47" t="n">
        <v>0</v>
      </c>
      <c r="IL33" s="47" t="n">
        <v>0</v>
      </c>
      <c r="IM33" s="47" t="n">
        <v>0</v>
      </c>
      <c r="IN33" s="47" t="n">
        <v>0</v>
      </c>
      <c r="IO33" s="47" t="n">
        <v>0</v>
      </c>
      <c r="IP33" s="47" t="n">
        <v>0</v>
      </c>
      <c r="IQ33" s="47" t="n">
        <v>0</v>
      </c>
      <c r="IR33" s="47" t="n">
        <v>0</v>
      </c>
      <c r="IS33" s="47" t="n">
        <v>0</v>
      </c>
      <c r="IT33" s="47" t="n">
        <v>0</v>
      </c>
      <c r="IU33" s="47" t="n">
        <v>0</v>
      </c>
      <c r="IV33" s="47" t="n">
        <v>0</v>
      </c>
      <c r="IW33" s="47" t="n">
        <v>0</v>
      </c>
      <c r="IX33" s="47" t="n">
        <v>0</v>
      </c>
      <c r="IY33" s="47" t="n">
        <v>0</v>
      </c>
      <c r="IZ33" s="47" t="n">
        <v>0</v>
      </c>
      <c r="JA33" s="47" t="n">
        <v>0</v>
      </c>
      <c r="JB33" s="47" t="n">
        <v>0</v>
      </c>
      <c r="JC33" s="47" t="n">
        <v>0</v>
      </c>
      <c r="JD33" s="47" t="n">
        <v>0</v>
      </c>
      <c r="JE33" s="47" t="n">
        <v>0</v>
      </c>
      <c r="JF33" s="47" t="n">
        <v>0</v>
      </c>
      <c r="JG33" s="47" t="n">
        <v>0</v>
      </c>
      <c r="JH33" s="47" t="n">
        <v>0</v>
      </c>
      <c r="JI33" s="47" t="n">
        <v>0</v>
      </c>
      <c r="JJ33" s="47" t="n">
        <v>0</v>
      </c>
      <c r="JK33" s="47" t="n">
        <v>0</v>
      </c>
      <c r="JL33" s="47" t="n">
        <v>0</v>
      </c>
      <c r="JM33" s="47" t="n">
        <v>0</v>
      </c>
      <c r="JN33" s="47" t="n">
        <v>0</v>
      </c>
      <c r="JO33" s="47" t="n">
        <v>0</v>
      </c>
      <c r="JP33" s="47" t="n">
        <v>0</v>
      </c>
      <c r="JQ33" s="47" t="n">
        <v>0</v>
      </c>
      <c r="JR33" s="47" t="n">
        <v>0</v>
      </c>
      <c r="JS33" s="47" t="n">
        <v>0</v>
      </c>
      <c r="JT33" s="47" t="n">
        <v>0</v>
      </c>
      <c r="JU33" s="47" t="n">
        <v>0</v>
      </c>
      <c r="JV33" s="47" t="n">
        <v>0</v>
      </c>
      <c r="JW33" s="47" t="n">
        <v>0</v>
      </c>
      <c r="JX33" s="47" t="n">
        <v>0</v>
      </c>
      <c r="JY33" s="47" t="n">
        <v>0</v>
      </c>
      <c r="JZ33" s="47" t="n">
        <v>0</v>
      </c>
      <c r="KA33" s="47" t="n">
        <v>0</v>
      </c>
      <c r="KB33" s="47" t="n">
        <v>0</v>
      </c>
      <c r="KC33" s="47" t="n">
        <v>0</v>
      </c>
      <c r="KD33" s="48" t="n">
        <v>0</v>
      </c>
      <c r="KE33" s="47" t="n">
        <v>0</v>
      </c>
      <c r="KF33" s="47" t="n">
        <v>0</v>
      </c>
      <c r="KG33" s="47" t="n">
        <v>0</v>
      </c>
      <c r="KH33" s="47" t="n">
        <v>0</v>
      </c>
      <c r="KI33" s="47" t="n">
        <v>0</v>
      </c>
      <c r="KJ33" s="47" t="n">
        <v>0</v>
      </c>
      <c r="KK33" s="47" t="n">
        <v>0</v>
      </c>
      <c r="KL33" s="47" t="n">
        <v>0</v>
      </c>
    </row>
    <row r="34" customFormat="false" ht="15.75" hidden="false" customHeight="true" outlineLevel="0" collapsed="false">
      <c r="A34" s="35" t="s">
        <v>226</v>
      </c>
      <c r="B34" s="35" t="s">
        <v>227</v>
      </c>
      <c r="C34" s="35" t="s">
        <v>164</v>
      </c>
      <c r="D34" s="35" t="s">
        <v>228</v>
      </c>
      <c r="E34" s="35" t="s">
        <v>177</v>
      </c>
      <c r="G34" s="44" t="n">
        <v>0</v>
      </c>
      <c r="H34" s="44" t="n">
        <v>0</v>
      </c>
      <c r="I34" s="44" t="n">
        <v>0</v>
      </c>
      <c r="J34" s="44" t="n">
        <v>0</v>
      </c>
      <c r="K34" s="44" t="n">
        <v>0</v>
      </c>
      <c r="L34" s="44" t="n">
        <v>0</v>
      </c>
      <c r="M34" s="44" t="n">
        <v>125</v>
      </c>
      <c r="N34" s="44" t="n">
        <v>125</v>
      </c>
      <c r="O34" s="44" t="n">
        <v>125</v>
      </c>
      <c r="P34" s="44" t="n">
        <v>125</v>
      </c>
      <c r="Q34" s="44" t="n">
        <v>125</v>
      </c>
      <c r="R34" s="44" t="n">
        <v>125</v>
      </c>
      <c r="S34" s="44" t="n">
        <v>125</v>
      </c>
      <c r="T34" s="44" t="n">
        <v>125</v>
      </c>
      <c r="U34" s="44" t="n">
        <v>125</v>
      </c>
      <c r="V34" s="44" t="n">
        <v>125</v>
      </c>
      <c r="W34" s="44" t="n">
        <v>125</v>
      </c>
      <c r="X34" s="44" t="n">
        <v>125</v>
      </c>
      <c r="Y34" s="44" t="n">
        <v>125</v>
      </c>
      <c r="Z34" s="44" t="n">
        <v>125</v>
      </c>
      <c r="AA34" s="44" t="n">
        <v>125</v>
      </c>
      <c r="AB34" s="44" t="n">
        <v>125</v>
      </c>
      <c r="AC34" s="44" t="n">
        <v>125</v>
      </c>
      <c r="AD34" s="44" t="n">
        <v>125</v>
      </c>
      <c r="AE34" s="44" t="n">
        <v>125</v>
      </c>
      <c r="AF34" s="44" t="n">
        <v>125</v>
      </c>
      <c r="AG34" s="44" t="n">
        <v>125</v>
      </c>
      <c r="AH34" s="44" t="n">
        <v>125</v>
      </c>
      <c r="AI34" s="44" t="n">
        <v>125</v>
      </c>
      <c r="AJ34" s="44" t="n">
        <v>125</v>
      </c>
      <c r="AK34" s="44" t="n">
        <v>125</v>
      </c>
      <c r="AL34" s="44" t="n">
        <v>125</v>
      </c>
      <c r="AM34" s="44" t="n">
        <v>125</v>
      </c>
      <c r="AN34" s="44" t="n">
        <v>125</v>
      </c>
      <c r="AO34" s="44" t="n">
        <v>125</v>
      </c>
      <c r="AP34" s="44" t="n">
        <v>125</v>
      </c>
      <c r="AQ34" s="44" t="n">
        <v>125</v>
      </c>
      <c r="AR34" s="44" t="n">
        <v>125</v>
      </c>
      <c r="AS34" s="44" t="n">
        <v>125</v>
      </c>
      <c r="AT34" s="44" t="n">
        <v>125</v>
      </c>
      <c r="AU34" s="44" t="n">
        <v>125</v>
      </c>
      <c r="AV34" s="44" t="n">
        <v>125</v>
      </c>
      <c r="AW34" s="44" t="n">
        <v>125</v>
      </c>
      <c r="AX34" s="44" t="n">
        <v>125</v>
      </c>
      <c r="AY34" s="44" t="n">
        <v>125</v>
      </c>
      <c r="AZ34" s="44" t="n">
        <v>125</v>
      </c>
      <c r="BA34" s="44" t="n">
        <v>125</v>
      </c>
      <c r="BB34" s="44" t="n">
        <v>125</v>
      </c>
      <c r="BC34" s="44" t="n">
        <v>125</v>
      </c>
      <c r="BD34" s="44" t="n">
        <v>125</v>
      </c>
      <c r="BE34" s="44" t="n">
        <v>125</v>
      </c>
      <c r="BF34" s="44" t="n">
        <v>125</v>
      </c>
      <c r="BG34" s="44" t="n">
        <v>125</v>
      </c>
      <c r="BH34" s="44" t="n">
        <v>125</v>
      </c>
      <c r="BI34" s="44" t="n">
        <v>125</v>
      </c>
      <c r="BJ34" s="44" t="n">
        <v>125</v>
      </c>
      <c r="BK34" s="44" t="n">
        <v>125</v>
      </c>
      <c r="BL34" s="44" t="n">
        <v>125</v>
      </c>
      <c r="BM34" s="44" t="n">
        <v>125</v>
      </c>
      <c r="BN34" s="44" t="n">
        <v>125</v>
      </c>
      <c r="BO34" s="44" t="n">
        <v>125</v>
      </c>
      <c r="BP34" s="44" t="n">
        <v>125</v>
      </c>
      <c r="BQ34" s="44" t="n">
        <v>125</v>
      </c>
      <c r="BR34" s="45" t="n">
        <v>125</v>
      </c>
      <c r="BS34" s="46" t="n">
        <v>125</v>
      </c>
      <c r="BT34" s="46" t="n">
        <v>125</v>
      </c>
      <c r="BU34" s="46" t="n">
        <v>125</v>
      </c>
      <c r="BV34" s="46" t="n">
        <v>125</v>
      </c>
      <c r="BW34" s="46" t="n">
        <v>125</v>
      </c>
      <c r="BX34" s="46" t="n">
        <v>125</v>
      </c>
      <c r="BY34" s="46" t="n">
        <v>125</v>
      </c>
      <c r="BZ34" s="46" t="n">
        <v>125</v>
      </c>
      <c r="EX34" s="47" t="n">
        <v>0</v>
      </c>
      <c r="EY34" s="47" t="n">
        <v>0</v>
      </c>
      <c r="EZ34" s="47" t="n">
        <v>0</v>
      </c>
      <c r="FA34" s="47" t="n">
        <v>0</v>
      </c>
      <c r="FB34" s="47" t="n">
        <v>0</v>
      </c>
      <c r="FC34" s="47" t="n">
        <v>0</v>
      </c>
      <c r="FD34" s="47" t="n">
        <v>125</v>
      </c>
      <c r="FE34" s="47" t="n">
        <v>125</v>
      </c>
      <c r="FF34" s="47" t="n">
        <v>125</v>
      </c>
      <c r="FG34" s="47" t="n">
        <v>125</v>
      </c>
      <c r="FH34" s="47" t="n">
        <v>125</v>
      </c>
      <c r="FI34" s="47" t="n">
        <v>125</v>
      </c>
      <c r="FJ34" s="47" t="n">
        <v>125</v>
      </c>
      <c r="FK34" s="47" t="n">
        <v>125</v>
      </c>
      <c r="FL34" s="47" t="n">
        <v>125</v>
      </c>
      <c r="FM34" s="47" t="n">
        <v>125</v>
      </c>
      <c r="FN34" s="47" t="n">
        <v>125</v>
      </c>
      <c r="FO34" s="47" t="n">
        <v>125</v>
      </c>
      <c r="FP34" s="47" t="n">
        <v>125</v>
      </c>
      <c r="FQ34" s="47" t="n">
        <v>125</v>
      </c>
      <c r="FR34" s="47" t="n">
        <v>125</v>
      </c>
      <c r="FS34" s="47" t="n">
        <v>125</v>
      </c>
      <c r="FT34" s="47" t="n">
        <v>125</v>
      </c>
      <c r="FU34" s="47" t="n">
        <v>125</v>
      </c>
      <c r="FV34" s="47" t="n">
        <v>125</v>
      </c>
      <c r="FW34" s="47" t="n">
        <v>125</v>
      </c>
      <c r="FX34" s="47" t="n">
        <v>125</v>
      </c>
      <c r="FY34" s="47" t="n">
        <v>125</v>
      </c>
      <c r="FZ34" s="47" t="n">
        <v>125</v>
      </c>
      <c r="GA34" s="47" t="n">
        <v>125</v>
      </c>
      <c r="GB34" s="47" t="n">
        <v>125</v>
      </c>
      <c r="GC34" s="47" t="n">
        <v>125</v>
      </c>
      <c r="GD34" s="47" t="n">
        <v>125</v>
      </c>
      <c r="GE34" s="47" t="n">
        <v>125</v>
      </c>
      <c r="GF34" s="47" t="n">
        <v>125</v>
      </c>
      <c r="GG34" s="47" t="n">
        <v>125</v>
      </c>
      <c r="GH34" s="47" t="n">
        <v>125</v>
      </c>
      <c r="GI34" s="47" t="n">
        <v>125</v>
      </c>
      <c r="GJ34" s="47" t="n">
        <v>125</v>
      </c>
      <c r="GK34" s="47" t="n">
        <v>125</v>
      </c>
      <c r="GL34" s="47" t="n">
        <v>125</v>
      </c>
      <c r="GM34" s="47" t="n">
        <v>125</v>
      </c>
      <c r="GN34" s="47" t="n">
        <v>125</v>
      </c>
      <c r="GO34" s="47" t="n">
        <v>125</v>
      </c>
      <c r="GP34" s="47" t="n">
        <v>125</v>
      </c>
      <c r="GQ34" s="47" t="n">
        <v>125</v>
      </c>
      <c r="GR34" s="47" t="n">
        <v>125</v>
      </c>
      <c r="GS34" s="47" t="n">
        <v>125</v>
      </c>
      <c r="GT34" s="47" t="n">
        <v>125</v>
      </c>
      <c r="GU34" s="47" t="n">
        <v>125</v>
      </c>
      <c r="GV34" s="47" t="n">
        <v>125</v>
      </c>
      <c r="GW34" s="47" t="n">
        <v>125</v>
      </c>
      <c r="GX34" s="47" t="n">
        <v>125</v>
      </c>
      <c r="GY34" s="47" t="n">
        <v>125</v>
      </c>
      <c r="GZ34" s="47" t="n">
        <v>125</v>
      </c>
      <c r="HA34" s="47" t="n">
        <v>125</v>
      </c>
      <c r="HB34" s="47" t="n">
        <v>125</v>
      </c>
      <c r="HC34" s="47" t="n">
        <v>125</v>
      </c>
      <c r="HD34" s="47" t="n">
        <v>125</v>
      </c>
      <c r="HE34" s="47" t="n">
        <v>125</v>
      </c>
      <c r="HF34" s="47" t="n">
        <v>125</v>
      </c>
      <c r="HG34" s="47" t="n">
        <v>125</v>
      </c>
      <c r="HH34" s="47" t="n">
        <v>125</v>
      </c>
      <c r="HI34" s="48" t="n">
        <v>125</v>
      </c>
      <c r="HJ34" s="47" t="n">
        <v>125</v>
      </c>
      <c r="HK34" s="47" t="n">
        <v>125</v>
      </c>
      <c r="HL34" s="47" t="n">
        <v>125</v>
      </c>
      <c r="HM34" s="47" t="n">
        <v>125</v>
      </c>
      <c r="HN34" s="47" t="n">
        <v>125</v>
      </c>
      <c r="HO34" s="47" t="n">
        <v>125</v>
      </c>
      <c r="HP34" s="47" t="n">
        <v>125</v>
      </c>
      <c r="HQ34" s="47" t="n">
        <v>125</v>
      </c>
      <c r="HS34" s="47" t="n">
        <v>0</v>
      </c>
      <c r="HT34" s="47" t="n">
        <v>0</v>
      </c>
      <c r="HU34" s="47" t="n">
        <v>0</v>
      </c>
      <c r="HV34" s="47" t="n">
        <v>0</v>
      </c>
      <c r="HW34" s="47" t="n">
        <v>0</v>
      </c>
      <c r="HX34" s="47" t="n">
        <v>0</v>
      </c>
      <c r="HY34" s="47" t="n">
        <v>125</v>
      </c>
      <c r="HZ34" s="47" t="n">
        <v>125</v>
      </c>
      <c r="IA34" s="47" t="n">
        <v>125</v>
      </c>
      <c r="IB34" s="47" t="n">
        <v>125</v>
      </c>
      <c r="IC34" s="47" t="n">
        <v>125</v>
      </c>
      <c r="ID34" s="47" t="n">
        <v>125</v>
      </c>
      <c r="IE34" s="47" t="n">
        <v>125</v>
      </c>
      <c r="IF34" s="47" t="n">
        <v>125</v>
      </c>
      <c r="IG34" s="47" t="n">
        <v>125</v>
      </c>
      <c r="IH34" s="47" t="n">
        <v>125</v>
      </c>
      <c r="II34" s="47" t="n">
        <v>125</v>
      </c>
      <c r="IJ34" s="47" t="n">
        <v>125</v>
      </c>
      <c r="IK34" s="47" t="n">
        <v>125</v>
      </c>
      <c r="IL34" s="47" t="n">
        <v>125</v>
      </c>
      <c r="IM34" s="47" t="n">
        <v>125</v>
      </c>
      <c r="IN34" s="47" t="n">
        <v>125</v>
      </c>
      <c r="IO34" s="47" t="n">
        <v>125</v>
      </c>
      <c r="IP34" s="47" t="n">
        <v>125</v>
      </c>
      <c r="IQ34" s="47" t="n">
        <v>125</v>
      </c>
      <c r="IR34" s="47" t="n">
        <v>125</v>
      </c>
      <c r="IS34" s="47" t="n">
        <v>125</v>
      </c>
      <c r="IT34" s="47" t="n">
        <v>125</v>
      </c>
      <c r="IU34" s="47" t="n">
        <v>125</v>
      </c>
      <c r="IV34" s="47" t="n">
        <v>125</v>
      </c>
      <c r="IW34" s="47" t="n">
        <v>125</v>
      </c>
      <c r="IX34" s="47" t="n">
        <v>125</v>
      </c>
      <c r="IY34" s="47" t="n">
        <v>125</v>
      </c>
      <c r="IZ34" s="47" t="n">
        <v>125</v>
      </c>
      <c r="JA34" s="47" t="n">
        <v>125</v>
      </c>
      <c r="JB34" s="47" t="n">
        <v>125</v>
      </c>
      <c r="JC34" s="47" t="n">
        <v>125</v>
      </c>
      <c r="JD34" s="47" t="n">
        <v>125</v>
      </c>
      <c r="JE34" s="47" t="n">
        <v>125</v>
      </c>
      <c r="JF34" s="47" t="n">
        <v>125</v>
      </c>
      <c r="JG34" s="47" t="n">
        <v>125</v>
      </c>
      <c r="JH34" s="47" t="n">
        <v>125</v>
      </c>
      <c r="JI34" s="47" t="n">
        <v>125</v>
      </c>
      <c r="JJ34" s="47" t="n">
        <v>125</v>
      </c>
      <c r="JK34" s="47" t="n">
        <v>125</v>
      </c>
      <c r="JL34" s="47" t="n">
        <v>125</v>
      </c>
      <c r="JM34" s="47" t="n">
        <v>125</v>
      </c>
      <c r="JN34" s="47" t="n">
        <v>125</v>
      </c>
      <c r="JO34" s="47" t="n">
        <v>125</v>
      </c>
      <c r="JP34" s="47" t="n">
        <v>125</v>
      </c>
      <c r="JQ34" s="47" t="n">
        <v>125</v>
      </c>
      <c r="JR34" s="47" t="n">
        <v>125</v>
      </c>
      <c r="JS34" s="47" t="n">
        <v>125</v>
      </c>
      <c r="JT34" s="47" t="n">
        <v>125</v>
      </c>
      <c r="JU34" s="47" t="n">
        <v>125</v>
      </c>
      <c r="JV34" s="47" t="n">
        <v>125</v>
      </c>
      <c r="JW34" s="47" t="n">
        <v>125</v>
      </c>
      <c r="JX34" s="47" t="n">
        <v>125</v>
      </c>
      <c r="JY34" s="47" t="n">
        <v>125</v>
      </c>
      <c r="JZ34" s="47" t="n">
        <v>125</v>
      </c>
      <c r="KA34" s="47" t="n">
        <v>125</v>
      </c>
      <c r="KB34" s="47" t="n">
        <v>125</v>
      </c>
      <c r="KC34" s="47" t="n">
        <v>125</v>
      </c>
      <c r="KD34" s="48" t="n">
        <v>125</v>
      </c>
      <c r="KE34" s="47" t="n">
        <v>125</v>
      </c>
      <c r="KF34" s="47" t="n">
        <v>125</v>
      </c>
      <c r="KG34" s="47" t="n">
        <v>125</v>
      </c>
      <c r="KH34" s="47" t="n">
        <v>125</v>
      </c>
      <c r="KI34" s="47" t="n">
        <v>125</v>
      </c>
      <c r="KJ34" s="47" t="n">
        <v>125</v>
      </c>
      <c r="KK34" s="47" t="n">
        <v>125</v>
      </c>
      <c r="KL34" s="47" t="n">
        <v>125</v>
      </c>
    </row>
    <row r="35" customFormat="false" ht="15.75" hidden="false" customHeight="true" outlineLevel="0" collapsed="false">
      <c r="A35" s="35" t="s">
        <v>229</v>
      </c>
      <c r="B35" s="35" t="s">
        <v>230</v>
      </c>
      <c r="C35" s="35" t="s">
        <v>164</v>
      </c>
      <c r="D35" s="35" t="s">
        <v>231</v>
      </c>
      <c r="E35" s="35" t="s">
        <v>177</v>
      </c>
      <c r="G35" s="44" t="n">
        <v>437.5</v>
      </c>
      <c r="H35" s="44" t="n">
        <v>437.5</v>
      </c>
      <c r="I35" s="44" t="n">
        <v>437.5</v>
      </c>
      <c r="J35" s="44" t="n">
        <v>437.5</v>
      </c>
      <c r="K35" s="44" t="n">
        <v>437.5</v>
      </c>
      <c r="L35" s="44" t="n">
        <v>437.5</v>
      </c>
      <c r="M35" s="44" t="n">
        <v>437.5</v>
      </c>
      <c r="N35" s="44" t="n">
        <v>437.5</v>
      </c>
      <c r="O35" s="44" t="n">
        <v>437.5</v>
      </c>
      <c r="P35" s="44" t="n">
        <v>437.5</v>
      </c>
      <c r="Q35" s="44" t="n">
        <v>437.5</v>
      </c>
      <c r="R35" s="44" t="n">
        <v>437.5</v>
      </c>
      <c r="S35" s="44" t="n">
        <v>437.5</v>
      </c>
      <c r="T35" s="44" t="n">
        <v>437.5</v>
      </c>
      <c r="U35" s="44" t="n">
        <v>437.5</v>
      </c>
      <c r="V35" s="44" t="n">
        <v>437.5</v>
      </c>
      <c r="W35" s="44" t="n">
        <v>437.5</v>
      </c>
      <c r="X35" s="44" t="n">
        <v>437.5</v>
      </c>
      <c r="Y35" s="44" t="n">
        <v>437.5</v>
      </c>
      <c r="Z35" s="44" t="n">
        <v>437.5</v>
      </c>
      <c r="AA35" s="44" t="n">
        <v>437.5</v>
      </c>
      <c r="AB35" s="44" t="n">
        <v>437.5</v>
      </c>
      <c r="AC35" s="44" t="n">
        <v>437.5</v>
      </c>
      <c r="AD35" s="44" t="n">
        <v>437.5</v>
      </c>
      <c r="AE35" s="44" t="n">
        <v>437.5</v>
      </c>
      <c r="AF35" s="44" t="n">
        <v>437.5</v>
      </c>
      <c r="AG35" s="44" t="n">
        <v>437.5</v>
      </c>
      <c r="AH35" s="44" t="n">
        <v>437.5</v>
      </c>
      <c r="AI35" s="44" t="n">
        <v>437.5</v>
      </c>
      <c r="AJ35" s="44" t="n">
        <v>437.5</v>
      </c>
      <c r="AK35" s="44" t="n">
        <v>437.5</v>
      </c>
      <c r="AL35" s="44" t="n">
        <v>437.5</v>
      </c>
      <c r="AM35" s="44" t="n">
        <v>437.5</v>
      </c>
      <c r="AN35" s="44" t="n">
        <v>437.5</v>
      </c>
      <c r="AO35" s="44" t="n">
        <v>437.5</v>
      </c>
      <c r="AP35" s="44" t="n">
        <v>437.5</v>
      </c>
      <c r="AQ35" s="44" t="n">
        <v>437.5</v>
      </c>
      <c r="AR35" s="44" t="n">
        <v>437.5</v>
      </c>
      <c r="AS35" s="44" t="n">
        <v>437.5</v>
      </c>
      <c r="AT35" s="44" t="n">
        <v>437.5</v>
      </c>
      <c r="AU35" s="44" t="n">
        <v>437.5</v>
      </c>
      <c r="AV35" s="44" t="n">
        <v>437.5</v>
      </c>
      <c r="AW35" s="44" t="n">
        <v>437.5</v>
      </c>
      <c r="AX35" s="44" t="n">
        <v>0</v>
      </c>
      <c r="AY35" s="44" t="n">
        <v>0</v>
      </c>
      <c r="AZ35" s="44" t="n">
        <v>0</v>
      </c>
      <c r="BA35" s="44" t="n">
        <v>0</v>
      </c>
      <c r="BB35" s="44" t="n">
        <v>0</v>
      </c>
      <c r="BC35" s="44" t="n">
        <v>0</v>
      </c>
      <c r="BD35" s="44" t="n">
        <v>0</v>
      </c>
      <c r="BE35" s="44" t="n">
        <v>0</v>
      </c>
      <c r="BF35" s="44" t="n">
        <v>0</v>
      </c>
      <c r="BG35" s="44" t="n">
        <v>0</v>
      </c>
      <c r="BH35" s="44" t="n">
        <v>0</v>
      </c>
      <c r="BI35" s="44" t="n">
        <v>0</v>
      </c>
      <c r="BJ35" s="44" t="n">
        <v>0</v>
      </c>
      <c r="BK35" s="44" t="n">
        <v>0</v>
      </c>
      <c r="BL35" s="44" t="n">
        <v>0</v>
      </c>
      <c r="BM35" s="44" t="n">
        <v>0</v>
      </c>
      <c r="BN35" s="44" t="n">
        <v>0</v>
      </c>
      <c r="BO35" s="44" t="n">
        <v>0</v>
      </c>
      <c r="BP35" s="44" t="n">
        <v>0</v>
      </c>
      <c r="BQ35" s="44" t="n">
        <v>0</v>
      </c>
      <c r="BR35" s="45" t="n">
        <v>0</v>
      </c>
      <c r="BS35" s="46" t="n">
        <v>0</v>
      </c>
      <c r="BT35" s="46" t="n">
        <v>0</v>
      </c>
      <c r="BU35" s="46" t="n">
        <v>0</v>
      </c>
      <c r="BV35" s="46" t="n">
        <v>0</v>
      </c>
      <c r="BW35" s="46" t="n">
        <v>0</v>
      </c>
      <c r="BX35" s="46" t="n">
        <v>0</v>
      </c>
      <c r="BY35" s="46" t="n">
        <v>0</v>
      </c>
      <c r="BZ35" s="46" t="n">
        <v>0</v>
      </c>
      <c r="EX35" s="47" t="n">
        <v>437.5</v>
      </c>
      <c r="EY35" s="47" t="n">
        <v>437.5</v>
      </c>
      <c r="EZ35" s="47" t="n">
        <v>437.5</v>
      </c>
      <c r="FA35" s="47" t="n">
        <v>437.5</v>
      </c>
      <c r="FB35" s="47" t="n">
        <v>437.5</v>
      </c>
      <c r="FC35" s="47" t="n">
        <v>437.5</v>
      </c>
      <c r="FD35" s="47" t="n">
        <v>437.5</v>
      </c>
      <c r="FE35" s="47" t="n">
        <v>437.5</v>
      </c>
      <c r="FF35" s="47" t="n">
        <v>437.5</v>
      </c>
      <c r="FG35" s="47" t="n">
        <v>437.5</v>
      </c>
      <c r="FH35" s="47" t="n">
        <v>437.5</v>
      </c>
      <c r="FI35" s="47" t="n">
        <v>437.5</v>
      </c>
      <c r="FJ35" s="47" t="n">
        <v>437.5</v>
      </c>
      <c r="FK35" s="47" t="n">
        <v>437.5</v>
      </c>
      <c r="FL35" s="47" t="n">
        <v>437.5</v>
      </c>
      <c r="FM35" s="47" t="n">
        <v>437.5</v>
      </c>
      <c r="FN35" s="47" t="n">
        <v>437.5</v>
      </c>
      <c r="FO35" s="47" t="n">
        <v>437.5</v>
      </c>
      <c r="FP35" s="47" t="n">
        <v>437.5</v>
      </c>
      <c r="FQ35" s="47" t="n">
        <v>437.5</v>
      </c>
      <c r="FR35" s="47" t="n">
        <v>437.5</v>
      </c>
      <c r="FS35" s="47" t="n">
        <v>437.5</v>
      </c>
      <c r="FT35" s="47" t="n">
        <v>437.5</v>
      </c>
      <c r="FU35" s="47" t="n">
        <v>437.5</v>
      </c>
      <c r="FV35" s="47" t="n">
        <v>437.5</v>
      </c>
      <c r="FW35" s="47" t="n">
        <v>437.5</v>
      </c>
      <c r="FX35" s="47" t="n">
        <v>437.5</v>
      </c>
      <c r="FY35" s="47" t="n">
        <v>437.5</v>
      </c>
      <c r="FZ35" s="47" t="n">
        <v>437.5</v>
      </c>
      <c r="GA35" s="47" t="n">
        <v>437.5</v>
      </c>
      <c r="GB35" s="47" t="n">
        <v>437.5</v>
      </c>
      <c r="GC35" s="47" t="n">
        <v>437.5</v>
      </c>
      <c r="GD35" s="47" t="n">
        <v>437.5</v>
      </c>
      <c r="GE35" s="47" t="n">
        <v>437.5</v>
      </c>
      <c r="GF35" s="47" t="n">
        <v>437.5</v>
      </c>
      <c r="GG35" s="47" t="n">
        <v>437.5</v>
      </c>
      <c r="GH35" s="47" t="n">
        <v>437.5</v>
      </c>
      <c r="GI35" s="47" t="n">
        <v>437.5</v>
      </c>
      <c r="GJ35" s="47" t="n">
        <v>437.5</v>
      </c>
      <c r="GK35" s="47" t="n">
        <v>437.5</v>
      </c>
      <c r="GL35" s="47" t="n">
        <v>437.5</v>
      </c>
      <c r="GM35" s="47" t="n">
        <v>437.5</v>
      </c>
      <c r="GN35" s="47" t="n">
        <v>437.5</v>
      </c>
      <c r="GO35" s="47" t="n">
        <v>0</v>
      </c>
      <c r="GP35" s="47" t="n">
        <v>0</v>
      </c>
      <c r="GQ35" s="47" t="n">
        <v>0</v>
      </c>
      <c r="GR35" s="47" t="n">
        <v>0</v>
      </c>
      <c r="GS35" s="47" t="n">
        <v>0</v>
      </c>
      <c r="GT35" s="47" t="n">
        <v>0</v>
      </c>
      <c r="GU35" s="47" t="n">
        <v>0</v>
      </c>
      <c r="GV35" s="47" t="n">
        <v>0</v>
      </c>
      <c r="GW35" s="47" t="n">
        <v>0</v>
      </c>
      <c r="GX35" s="47" t="n">
        <v>0</v>
      </c>
      <c r="GY35" s="47" t="n">
        <v>0</v>
      </c>
      <c r="GZ35" s="47" t="n">
        <v>0</v>
      </c>
      <c r="HA35" s="47" t="n">
        <v>0</v>
      </c>
      <c r="HB35" s="47" t="n">
        <v>0</v>
      </c>
      <c r="HC35" s="47" t="n">
        <v>0</v>
      </c>
      <c r="HD35" s="47" t="n">
        <v>0</v>
      </c>
      <c r="HE35" s="47" t="n">
        <v>0</v>
      </c>
      <c r="HF35" s="47" t="n">
        <v>0</v>
      </c>
      <c r="HG35" s="47" t="n">
        <v>0</v>
      </c>
      <c r="HH35" s="47" t="n">
        <v>0</v>
      </c>
      <c r="HI35" s="48" t="n">
        <v>0</v>
      </c>
      <c r="HJ35" s="47" t="n">
        <v>0</v>
      </c>
      <c r="HK35" s="47" t="n">
        <v>0</v>
      </c>
      <c r="HL35" s="47" t="n">
        <v>0</v>
      </c>
      <c r="HM35" s="47" t="n">
        <v>0</v>
      </c>
      <c r="HN35" s="47" t="n">
        <v>0</v>
      </c>
      <c r="HO35" s="47" t="n">
        <v>0</v>
      </c>
      <c r="HP35" s="47" t="n">
        <v>0</v>
      </c>
      <c r="HQ35" s="47" t="n">
        <v>0</v>
      </c>
      <c r="HS35" s="47" t="n">
        <v>437.5</v>
      </c>
      <c r="HT35" s="47" t="n">
        <v>437.5</v>
      </c>
      <c r="HU35" s="47" t="n">
        <v>437.5</v>
      </c>
      <c r="HV35" s="47" t="n">
        <v>437.5</v>
      </c>
      <c r="HW35" s="47" t="n">
        <v>437.5</v>
      </c>
      <c r="HX35" s="47" t="n">
        <v>437.5</v>
      </c>
      <c r="HY35" s="47" t="n">
        <v>437.5</v>
      </c>
      <c r="HZ35" s="47" t="n">
        <v>437.5</v>
      </c>
      <c r="IA35" s="47" t="n">
        <v>437.5</v>
      </c>
      <c r="IB35" s="47" t="n">
        <v>437.5</v>
      </c>
      <c r="IC35" s="47" t="n">
        <v>437.5</v>
      </c>
      <c r="ID35" s="47" t="n">
        <v>437.5</v>
      </c>
      <c r="IE35" s="47" t="n">
        <v>437.5</v>
      </c>
      <c r="IF35" s="47" t="n">
        <v>437.5</v>
      </c>
      <c r="IG35" s="47" t="n">
        <v>437.5</v>
      </c>
      <c r="IH35" s="47" t="n">
        <v>437.5</v>
      </c>
      <c r="II35" s="47" t="n">
        <v>437.5</v>
      </c>
      <c r="IJ35" s="47" t="n">
        <v>437.5</v>
      </c>
      <c r="IK35" s="47" t="n">
        <v>437.5</v>
      </c>
      <c r="IL35" s="47" t="n">
        <v>437.5</v>
      </c>
      <c r="IM35" s="47" t="n">
        <v>437.5</v>
      </c>
      <c r="IN35" s="47" t="n">
        <v>437.5</v>
      </c>
      <c r="IO35" s="47" t="n">
        <v>437.5</v>
      </c>
      <c r="IP35" s="47" t="n">
        <v>437.5</v>
      </c>
      <c r="IQ35" s="47" t="n">
        <v>437.5</v>
      </c>
      <c r="IR35" s="47" t="n">
        <v>437.5</v>
      </c>
      <c r="IS35" s="47" t="n">
        <v>437.5</v>
      </c>
      <c r="IT35" s="47" t="n">
        <v>437.5</v>
      </c>
      <c r="IU35" s="47" t="n">
        <v>437.5</v>
      </c>
      <c r="IV35" s="47" t="n">
        <v>437.5</v>
      </c>
      <c r="IW35" s="47" t="n">
        <v>437.5</v>
      </c>
      <c r="IX35" s="47" t="n">
        <v>437.5</v>
      </c>
      <c r="IY35" s="47" t="n">
        <v>437.5</v>
      </c>
      <c r="IZ35" s="47" t="n">
        <v>437.5</v>
      </c>
      <c r="JA35" s="47" t="n">
        <v>437.5</v>
      </c>
      <c r="JB35" s="47" t="n">
        <v>437.5</v>
      </c>
      <c r="JC35" s="47" t="n">
        <v>437.5</v>
      </c>
      <c r="JD35" s="47" t="n">
        <v>437.5</v>
      </c>
      <c r="JE35" s="47" t="n">
        <v>437.5</v>
      </c>
      <c r="JF35" s="47" t="n">
        <v>437.5</v>
      </c>
      <c r="JG35" s="47" t="n">
        <v>437.5</v>
      </c>
      <c r="JH35" s="47" t="n">
        <v>437.5</v>
      </c>
      <c r="JI35" s="47" t="n">
        <v>437.5</v>
      </c>
      <c r="JJ35" s="47" t="n">
        <v>0</v>
      </c>
      <c r="JK35" s="47" t="n">
        <v>0</v>
      </c>
      <c r="JL35" s="47" t="n">
        <v>0</v>
      </c>
      <c r="JM35" s="47" t="n">
        <v>0</v>
      </c>
      <c r="JN35" s="47" t="n">
        <v>0</v>
      </c>
      <c r="JO35" s="47" t="n">
        <v>0</v>
      </c>
      <c r="JP35" s="47" t="n">
        <v>0</v>
      </c>
      <c r="JQ35" s="47" t="n">
        <v>0</v>
      </c>
      <c r="JR35" s="47" t="n">
        <v>0</v>
      </c>
      <c r="JS35" s="47" t="n">
        <v>0</v>
      </c>
      <c r="JT35" s="47" t="n">
        <v>0</v>
      </c>
      <c r="JU35" s="47" t="n">
        <v>0</v>
      </c>
      <c r="JV35" s="47" t="n">
        <v>0</v>
      </c>
      <c r="JW35" s="47" t="n">
        <v>0</v>
      </c>
      <c r="JX35" s="47" t="n">
        <v>0</v>
      </c>
      <c r="JY35" s="47" t="n">
        <v>0</v>
      </c>
      <c r="JZ35" s="47" t="n">
        <v>0</v>
      </c>
      <c r="KA35" s="47" t="n">
        <v>0</v>
      </c>
      <c r="KB35" s="47" t="n">
        <v>0</v>
      </c>
      <c r="KC35" s="47" t="n">
        <v>0</v>
      </c>
      <c r="KD35" s="48" t="n">
        <v>0</v>
      </c>
      <c r="KE35" s="47" t="n">
        <v>0</v>
      </c>
      <c r="KF35" s="47" t="n">
        <v>0</v>
      </c>
      <c r="KG35" s="47" t="n">
        <v>0</v>
      </c>
      <c r="KH35" s="47" t="n">
        <v>0</v>
      </c>
      <c r="KI35" s="47" t="n">
        <v>0</v>
      </c>
      <c r="KJ35" s="47" t="n">
        <v>0</v>
      </c>
      <c r="KK35" s="47" t="n">
        <v>0</v>
      </c>
      <c r="KL35" s="47" t="n">
        <v>0</v>
      </c>
    </row>
    <row r="36" customFormat="false" ht="15.75" hidden="false" customHeight="true" outlineLevel="0" collapsed="false">
      <c r="A36" s="35" t="s">
        <v>232</v>
      </c>
      <c r="B36" s="35" t="s">
        <v>233</v>
      </c>
      <c r="C36" s="35" t="s">
        <v>164</v>
      </c>
      <c r="D36" s="35" t="s">
        <v>173</v>
      </c>
      <c r="E36" s="35" t="s">
        <v>174</v>
      </c>
      <c r="G36" s="44" t="n">
        <v>600</v>
      </c>
      <c r="H36" s="44" t="n">
        <v>600</v>
      </c>
      <c r="I36" s="44" t="n">
        <v>600</v>
      </c>
      <c r="J36" s="44" t="n">
        <v>600</v>
      </c>
      <c r="K36" s="44" t="n">
        <v>600</v>
      </c>
      <c r="L36" s="44" t="n">
        <v>600</v>
      </c>
      <c r="M36" s="44" t="n">
        <v>600</v>
      </c>
      <c r="N36" s="44" t="n">
        <v>600</v>
      </c>
      <c r="O36" s="44" t="n">
        <v>600</v>
      </c>
      <c r="P36" s="44" t="n">
        <v>0</v>
      </c>
      <c r="Q36" s="44" t="n">
        <v>0</v>
      </c>
      <c r="R36" s="44" t="n">
        <v>0</v>
      </c>
      <c r="S36" s="44" t="n">
        <v>0</v>
      </c>
      <c r="T36" s="44" t="n">
        <v>0</v>
      </c>
      <c r="U36" s="44" t="n">
        <v>0</v>
      </c>
      <c r="V36" s="44" t="n">
        <v>0</v>
      </c>
      <c r="W36" s="44" t="n">
        <v>0</v>
      </c>
      <c r="X36" s="44" t="n">
        <v>0</v>
      </c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44" t="n">
        <v>0</v>
      </c>
      <c r="AK36" s="44" t="n">
        <v>0</v>
      </c>
      <c r="AL36" s="44" t="n">
        <v>0</v>
      </c>
      <c r="AM36" s="44" t="n">
        <v>0</v>
      </c>
      <c r="AN36" s="44" t="n">
        <v>0</v>
      </c>
      <c r="AO36" s="44" t="n">
        <v>0</v>
      </c>
      <c r="AP36" s="44" t="n">
        <v>0</v>
      </c>
      <c r="BS36" s="46" t="n">
        <v>0</v>
      </c>
      <c r="BT36" s="46" t="n">
        <v>0</v>
      </c>
      <c r="BU36" s="46" t="n">
        <v>0</v>
      </c>
      <c r="BV36" s="46" t="n">
        <v>0</v>
      </c>
      <c r="BW36" s="46" t="n">
        <v>0</v>
      </c>
      <c r="BX36" s="46" t="n">
        <v>0</v>
      </c>
      <c r="BY36" s="46" t="n">
        <v>0</v>
      </c>
      <c r="BZ36" s="46" t="n">
        <v>0</v>
      </c>
      <c r="EX36" s="47" t="n">
        <v>600</v>
      </c>
      <c r="EY36" s="47" t="n">
        <v>600</v>
      </c>
      <c r="EZ36" s="47" t="n">
        <v>600</v>
      </c>
      <c r="FA36" s="47" t="n">
        <v>600</v>
      </c>
      <c r="FB36" s="47" t="n">
        <v>600</v>
      </c>
      <c r="FC36" s="47" t="n">
        <v>600</v>
      </c>
      <c r="FD36" s="47" t="n">
        <v>600</v>
      </c>
      <c r="FE36" s="47" t="n">
        <v>600</v>
      </c>
      <c r="FF36" s="47" t="n">
        <v>600</v>
      </c>
      <c r="FG36" s="47" t="n">
        <v>0</v>
      </c>
      <c r="FH36" s="47" t="n">
        <v>0</v>
      </c>
      <c r="FI36" s="47" t="n">
        <v>0</v>
      </c>
      <c r="FJ36" s="47" t="n">
        <v>0</v>
      </c>
      <c r="FK36" s="47" t="n">
        <v>0</v>
      </c>
      <c r="FL36" s="47" t="n">
        <v>0</v>
      </c>
      <c r="FM36" s="47" t="n">
        <v>0</v>
      </c>
      <c r="FN36" s="47" t="n">
        <v>0</v>
      </c>
      <c r="FO36" s="47" t="n">
        <v>0</v>
      </c>
      <c r="FP36" s="47" t="n">
        <v>0</v>
      </c>
      <c r="FQ36" s="47" t="n">
        <v>0</v>
      </c>
      <c r="FR36" s="47" t="n">
        <v>0</v>
      </c>
      <c r="FS36" s="47" t="n">
        <v>0</v>
      </c>
      <c r="FT36" s="47" t="n">
        <v>0</v>
      </c>
      <c r="FU36" s="47" t="n">
        <v>0</v>
      </c>
      <c r="FV36" s="47" t="n">
        <v>0</v>
      </c>
      <c r="FW36" s="47" t="n">
        <v>0</v>
      </c>
      <c r="FX36" s="47" t="n">
        <v>0</v>
      </c>
      <c r="FY36" s="47" t="n">
        <v>0</v>
      </c>
      <c r="FZ36" s="47" t="n">
        <v>0</v>
      </c>
      <c r="GA36" s="47" t="n">
        <v>0</v>
      </c>
      <c r="GB36" s="47" t="n">
        <v>0</v>
      </c>
      <c r="GC36" s="47" t="n">
        <v>0</v>
      </c>
      <c r="GD36" s="47" t="n">
        <v>0</v>
      </c>
      <c r="GE36" s="47" t="n">
        <v>0</v>
      </c>
      <c r="GF36" s="47" t="n">
        <v>0</v>
      </c>
      <c r="GG36" s="47" t="n">
        <v>0</v>
      </c>
      <c r="GH36" s="47" t="n">
        <v>0</v>
      </c>
      <c r="GI36" s="47" t="n">
        <v>0</v>
      </c>
      <c r="GJ36" s="47" t="n">
        <v>0</v>
      </c>
      <c r="GK36" s="47" t="n">
        <v>0</v>
      </c>
      <c r="GL36" s="47" t="n">
        <v>0</v>
      </c>
      <c r="GM36" s="47" t="n">
        <v>0</v>
      </c>
      <c r="GN36" s="47" t="n">
        <v>0</v>
      </c>
      <c r="GO36" s="47" t="n">
        <v>0</v>
      </c>
      <c r="GP36" s="47" t="n">
        <v>0</v>
      </c>
      <c r="GQ36" s="47" t="n">
        <v>0</v>
      </c>
      <c r="GR36" s="47" t="n">
        <v>0</v>
      </c>
      <c r="GS36" s="47" t="n">
        <v>0</v>
      </c>
      <c r="GT36" s="47" t="n">
        <v>0</v>
      </c>
      <c r="GU36" s="47" t="n">
        <v>0</v>
      </c>
      <c r="GV36" s="47" t="n">
        <v>0</v>
      </c>
      <c r="GW36" s="47" t="n">
        <v>0</v>
      </c>
      <c r="GX36" s="47" t="n">
        <v>0</v>
      </c>
      <c r="GY36" s="47" t="n">
        <v>0</v>
      </c>
      <c r="GZ36" s="47" t="n">
        <v>0</v>
      </c>
      <c r="HA36" s="47" t="n">
        <v>0</v>
      </c>
      <c r="HB36" s="47" t="n">
        <v>0</v>
      </c>
      <c r="HC36" s="47" t="n">
        <v>0</v>
      </c>
      <c r="HD36" s="47" t="n">
        <v>0</v>
      </c>
      <c r="HE36" s="47" t="n">
        <v>0</v>
      </c>
      <c r="HF36" s="47" t="n">
        <v>0</v>
      </c>
      <c r="HG36" s="47" t="n">
        <v>0</v>
      </c>
      <c r="HH36" s="47" t="n">
        <v>0</v>
      </c>
      <c r="HI36" s="48" t="n">
        <v>0</v>
      </c>
      <c r="HJ36" s="47" t="n">
        <v>0</v>
      </c>
      <c r="HK36" s="47" t="n">
        <v>0</v>
      </c>
      <c r="HL36" s="47" t="n">
        <v>0</v>
      </c>
      <c r="HM36" s="47" t="n">
        <v>0</v>
      </c>
      <c r="HN36" s="47" t="n">
        <v>0</v>
      </c>
      <c r="HO36" s="47" t="n">
        <v>0</v>
      </c>
      <c r="HP36" s="47" t="n">
        <v>0</v>
      </c>
      <c r="HQ36" s="47" t="n">
        <v>0</v>
      </c>
      <c r="HS36" s="47" t="n">
        <v>600</v>
      </c>
      <c r="HT36" s="47" t="n">
        <v>600</v>
      </c>
      <c r="HU36" s="47" t="n">
        <v>600</v>
      </c>
      <c r="HV36" s="47" t="n">
        <v>600</v>
      </c>
      <c r="HW36" s="47" t="n">
        <v>600</v>
      </c>
      <c r="HX36" s="47" t="n">
        <v>600</v>
      </c>
      <c r="HY36" s="47" t="n">
        <v>600</v>
      </c>
      <c r="HZ36" s="47" t="n">
        <v>600</v>
      </c>
      <c r="IA36" s="47" t="n">
        <v>600</v>
      </c>
      <c r="IB36" s="47" t="n">
        <v>0</v>
      </c>
      <c r="IC36" s="47" t="n">
        <v>0</v>
      </c>
      <c r="ID36" s="47" t="n">
        <v>0</v>
      </c>
      <c r="IE36" s="47" t="n">
        <v>0</v>
      </c>
      <c r="IF36" s="47" t="n">
        <v>0</v>
      </c>
      <c r="IG36" s="47" t="n">
        <v>0</v>
      </c>
      <c r="IH36" s="47" t="n">
        <v>0</v>
      </c>
      <c r="II36" s="47" t="n">
        <v>0</v>
      </c>
      <c r="IJ36" s="47" t="n">
        <v>0</v>
      </c>
      <c r="IK36" s="47" t="n">
        <v>0</v>
      </c>
      <c r="IL36" s="47" t="n">
        <v>0</v>
      </c>
      <c r="IM36" s="47" t="n">
        <v>0</v>
      </c>
      <c r="IN36" s="47" t="n">
        <v>0</v>
      </c>
      <c r="IO36" s="47" t="n">
        <v>0</v>
      </c>
      <c r="IP36" s="47" t="n">
        <v>0</v>
      </c>
      <c r="IQ36" s="47" t="n">
        <v>0</v>
      </c>
      <c r="IR36" s="47" t="n">
        <v>0</v>
      </c>
      <c r="IS36" s="47" t="n">
        <v>0</v>
      </c>
      <c r="IT36" s="47" t="n">
        <v>0</v>
      </c>
      <c r="IU36" s="47" t="n">
        <v>0</v>
      </c>
      <c r="IV36" s="47" t="n">
        <v>0</v>
      </c>
      <c r="IW36" s="47" t="n">
        <v>0</v>
      </c>
      <c r="IX36" s="47" t="n">
        <v>0</v>
      </c>
      <c r="IY36" s="47" t="n">
        <v>0</v>
      </c>
      <c r="IZ36" s="47" t="n">
        <v>0</v>
      </c>
      <c r="JA36" s="47" t="n">
        <v>0</v>
      </c>
      <c r="JB36" s="47" t="n">
        <v>0</v>
      </c>
      <c r="JC36" s="47" t="n">
        <v>0</v>
      </c>
      <c r="JD36" s="47" t="n">
        <v>0</v>
      </c>
      <c r="JE36" s="47" t="n">
        <v>0</v>
      </c>
      <c r="JF36" s="47" t="n">
        <v>0</v>
      </c>
      <c r="JG36" s="47" t="n">
        <v>0</v>
      </c>
      <c r="JH36" s="47" t="n">
        <v>0</v>
      </c>
      <c r="JI36" s="47" t="n">
        <v>0</v>
      </c>
      <c r="JJ36" s="47" t="n">
        <v>0</v>
      </c>
      <c r="JK36" s="47" t="n">
        <v>0</v>
      </c>
      <c r="JL36" s="47" t="n">
        <v>0</v>
      </c>
      <c r="JM36" s="47" t="n">
        <v>0</v>
      </c>
      <c r="JN36" s="47" t="n">
        <v>0</v>
      </c>
      <c r="JO36" s="47" t="n">
        <v>0</v>
      </c>
      <c r="JP36" s="47" t="n">
        <v>0</v>
      </c>
      <c r="JQ36" s="47" t="n">
        <v>0</v>
      </c>
      <c r="JR36" s="47" t="n">
        <v>0</v>
      </c>
      <c r="JS36" s="47" t="n">
        <v>0</v>
      </c>
      <c r="JT36" s="47" t="n">
        <v>0</v>
      </c>
      <c r="JU36" s="47" t="n">
        <v>0</v>
      </c>
      <c r="JV36" s="47" t="n">
        <v>0</v>
      </c>
      <c r="JW36" s="47" t="n">
        <v>0</v>
      </c>
      <c r="JX36" s="47" t="n">
        <v>0</v>
      </c>
      <c r="JY36" s="47" t="n">
        <v>0</v>
      </c>
      <c r="JZ36" s="47" t="n">
        <v>0</v>
      </c>
      <c r="KA36" s="47" t="n">
        <v>0</v>
      </c>
      <c r="KB36" s="47" t="n">
        <v>0</v>
      </c>
      <c r="KC36" s="47" t="n">
        <v>0</v>
      </c>
      <c r="KD36" s="48" t="n">
        <v>0</v>
      </c>
      <c r="KE36" s="47" t="n">
        <v>0</v>
      </c>
      <c r="KF36" s="47" t="n">
        <v>0</v>
      </c>
      <c r="KG36" s="47" t="n">
        <v>0</v>
      </c>
      <c r="KH36" s="47" t="n">
        <v>0</v>
      </c>
      <c r="KI36" s="47" t="n">
        <v>0</v>
      </c>
      <c r="KJ36" s="47" t="n">
        <v>0</v>
      </c>
      <c r="KK36" s="47" t="n">
        <v>0</v>
      </c>
      <c r="KL36" s="47" t="n">
        <v>0</v>
      </c>
    </row>
    <row r="37" customFormat="false" ht="15.75" hidden="false" customHeight="true" outlineLevel="0" collapsed="false">
      <c r="A37" s="35" t="s">
        <v>234</v>
      </c>
      <c r="B37" s="35" t="s">
        <v>235</v>
      </c>
      <c r="C37" s="35" t="s">
        <v>164</v>
      </c>
      <c r="D37" s="35" t="s">
        <v>165</v>
      </c>
      <c r="E37" s="35" t="s">
        <v>166</v>
      </c>
      <c r="G37" s="44" t="n">
        <v>400</v>
      </c>
      <c r="H37" s="44" t="n">
        <v>400</v>
      </c>
      <c r="I37" s="44" t="n">
        <v>400</v>
      </c>
      <c r="J37" s="44" t="n">
        <v>400</v>
      </c>
      <c r="K37" s="44" t="n">
        <v>400</v>
      </c>
      <c r="L37" s="44" t="n">
        <v>400</v>
      </c>
      <c r="M37" s="44" t="n">
        <v>400</v>
      </c>
      <c r="N37" s="44" t="n">
        <v>400</v>
      </c>
      <c r="O37" s="44" t="n">
        <v>400</v>
      </c>
      <c r="P37" s="44" t="n">
        <v>400</v>
      </c>
      <c r="Q37" s="44" t="n">
        <v>400</v>
      </c>
      <c r="R37" s="44" t="n">
        <v>400</v>
      </c>
      <c r="S37" s="44" t="n">
        <v>400</v>
      </c>
      <c r="T37" s="44" t="n">
        <v>400</v>
      </c>
      <c r="U37" s="44" t="n">
        <v>400</v>
      </c>
      <c r="V37" s="44" t="n">
        <v>400</v>
      </c>
      <c r="W37" s="44" t="n">
        <v>400</v>
      </c>
      <c r="X37" s="44" t="n">
        <v>400</v>
      </c>
      <c r="Y37" s="44" t="n">
        <v>900</v>
      </c>
      <c r="Z37" s="44" t="n">
        <v>900</v>
      </c>
      <c r="AA37" s="44" t="n">
        <v>900</v>
      </c>
      <c r="AB37" s="44" t="n">
        <v>900</v>
      </c>
      <c r="AC37" s="44" t="n">
        <v>900</v>
      </c>
      <c r="AD37" s="44" t="n">
        <v>900</v>
      </c>
      <c r="AE37" s="44" t="n">
        <v>900</v>
      </c>
      <c r="AF37" s="44" t="n">
        <v>900</v>
      </c>
      <c r="AG37" s="44" t="n">
        <v>900</v>
      </c>
      <c r="AH37" s="44" t="n">
        <v>900</v>
      </c>
      <c r="AI37" s="44" t="n">
        <v>900</v>
      </c>
      <c r="AJ37" s="44" t="n">
        <v>900</v>
      </c>
      <c r="AK37" s="44" t="n">
        <v>1300</v>
      </c>
      <c r="AL37" s="44" t="n">
        <v>1300</v>
      </c>
      <c r="AM37" s="44" t="n">
        <v>1300</v>
      </c>
      <c r="AN37" s="44" t="n">
        <v>1300</v>
      </c>
      <c r="AO37" s="44" t="n">
        <v>1300</v>
      </c>
      <c r="AP37" s="44" t="n">
        <v>1300</v>
      </c>
      <c r="AQ37" s="44" t="n">
        <v>1300</v>
      </c>
      <c r="AR37" s="44" t="n">
        <v>1300</v>
      </c>
      <c r="AS37" s="44" t="n">
        <v>1300</v>
      </c>
      <c r="AT37" s="44" t="n">
        <v>1300</v>
      </c>
      <c r="AU37" s="44" t="n">
        <v>1300</v>
      </c>
      <c r="AV37" s="44" t="n">
        <v>1300</v>
      </c>
      <c r="AW37" s="44" t="n">
        <v>1200</v>
      </c>
      <c r="AX37" s="44" t="n">
        <v>1200</v>
      </c>
      <c r="AY37" s="44" t="n">
        <v>1200</v>
      </c>
      <c r="AZ37" s="44" t="n">
        <v>1200</v>
      </c>
      <c r="BA37" s="44" t="n">
        <v>1200</v>
      </c>
      <c r="BB37" s="44" t="n">
        <v>1200</v>
      </c>
      <c r="BC37" s="44" t="n">
        <v>1200</v>
      </c>
      <c r="BD37" s="44" t="n">
        <v>1200</v>
      </c>
      <c r="BE37" s="44" t="n">
        <v>1200</v>
      </c>
      <c r="BF37" s="44" t="n">
        <v>1200</v>
      </c>
      <c r="BG37" s="44" t="n">
        <v>1200</v>
      </c>
      <c r="BH37" s="44" t="n">
        <v>1200</v>
      </c>
      <c r="BI37" s="44" t="n">
        <v>900</v>
      </c>
      <c r="BJ37" s="44" t="n">
        <v>900</v>
      </c>
      <c r="BK37" s="44" t="n">
        <v>900</v>
      </c>
      <c r="BL37" s="44" t="n">
        <v>900</v>
      </c>
      <c r="BM37" s="44" t="n">
        <v>900</v>
      </c>
      <c r="BN37" s="44" t="n">
        <v>900</v>
      </c>
      <c r="BO37" s="44" t="n">
        <v>900</v>
      </c>
      <c r="BP37" s="44" t="n">
        <v>900</v>
      </c>
      <c r="BQ37" s="44" t="n">
        <v>900</v>
      </c>
      <c r="BR37" s="45" t="n">
        <v>900</v>
      </c>
      <c r="BS37" s="46" t="n">
        <v>900</v>
      </c>
      <c r="BT37" s="46" t="n">
        <v>900</v>
      </c>
      <c r="BU37" s="46" t="n">
        <v>900</v>
      </c>
      <c r="BV37" s="46" t="n">
        <v>900</v>
      </c>
      <c r="BW37" s="46" t="n">
        <v>900</v>
      </c>
      <c r="BX37" s="46" t="n">
        <v>900</v>
      </c>
      <c r="BY37" s="46" t="n">
        <v>900</v>
      </c>
      <c r="BZ37" s="46" t="n">
        <v>900</v>
      </c>
      <c r="EX37" s="47" t="n">
        <v>400</v>
      </c>
      <c r="EY37" s="47" t="n">
        <v>400</v>
      </c>
      <c r="EZ37" s="47" t="n">
        <v>400</v>
      </c>
      <c r="FA37" s="47" t="n">
        <v>400</v>
      </c>
      <c r="FB37" s="47" t="n">
        <v>400</v>
      </c>
      <c r="FC37" s="47" t="n">
        <v>400</v>
      </c>
      <c r="FD37" s="47" t="n">
        <v>400</v>
      </c>
      <c r="FE37" s="47" t="n">
        <v>400</v>
      </c>
      <c r="FF37" s="47" t="n">
        <v>400</v>
      </c>
      <c r="FG37" s="47" t="n">
        <v>400</v>
      </c>
      <c r="FH37" s="47" t="n">
        <v>400</v>
      </c>
      <c r="FI37" s="47" t="n">
        <v>400</v>
      </c>
      <c r="FJ37" s="47" t="n">
        <v>400</v>
      </c>
      <c r="FK37" s="47" t="n">
        <v>400</v>
      </c>
      <c r="FL37" s="47" t="n">
        <v>400</v>
      </c>
      <c r="FM37" s="47" t="n">
        <v>400</v>
      </c>
      <c r="FN37" s="47" t="n">
        <v>400</v>
      </c>
      <c r="FO37" s="47" t="n">
        <v>400</v>
      </c>
      <c r="FP37" s="47" t="n">
        <v>900</v>
      </c>
      <c r="FQ37" s="47" t="n">
        <v>900</v>
      </c>
      <c r="FR37" s="47" t="n">
        <v>900</v>
      </c>
      <c r="FS37" s="47" t="n">
        <v>900</v>
      </c>
      <c r="FT37" s="47" t="n">
        <v>900</v>
      </c>
      <c r="FU37" s="47" t="n">
        <v>900</v>
      </c>
      <c r="FV37" s="47" t="n">
        <v>900</v>
      </c>
      <c r="FW37" s="47" t="n">
        <v>900</v>
      </c>
      <c r="FX37" s="47" t="n">
        <v>900</v>
      </c>
      <c r="FY37" s="47" t="n">
        <v>900</v>
      </c>
      <c r="FZ37" s="47" t="n">
        <v>900</v>
      </c>
      <c r="GA37" s="47" t="n">
        <v>900</v>
      </c>
      <c r="GB37" s="47" t="n">
        <v>1300</v>
      </c>
      <c r="GC37" s="47" t="n">
        <v>1300</v>
      </c>
      <c r="GD37" s="47" t="n">
        <v>1300</v>
      </c>
      <c r="GE37" s="47" t="n">
        <v>1300</v>
      </c>
      <c r="GF37" s="47" t="n">
        <v>1300</v>
      </c>
      <c r="GG37" s="47" t="n">
        <v>1300</v>
      </c>
      <c r="GH37" s="47" t="n">
        <v>1300</v>
      </c>
      <c r="GI37" s="47" t="n">
        <v>1300</v>
      </c>
      <c r="GJ37" s="47" t="n">
        <v>1300</v>
      </c>
      <c r="GK37" s="47" t="n">
        <v>1300</v>
      </c>
      <c r="GL37" s="47" t="n">
        <v>1300</v>
      </c>
      <c r="GM37" s="47" t="n">
        <v>1300</v>
      </c>
      <c r="GN37" s="47" t="n">
        <v>1200</v>
      </c>
      <c r="GO37" s="47" t="n">
        <v>1200</v>
      </c>
      <c r="GP37" s="47" t="n">
        <v>1200</v>
      </c>
      <c r="GQ37" s="47" t="n">
        <v>1200</v>
      </c>
      <c r="GR37" s="47" t="n">
        <v>1200</v>
      </c>
      <c r="GS37" s="47" t="n">
        <v>1200</v>
      </c>
      <c r="GT37" s="47" t="n">
        <v>1200</v>
      </c>
      <c r="GU37" s="47" t="n">
        <v>1200</v>
      </c>
      <c r="GV37" s="47" t="n">
        <v>1200</v>
      </c>
      <c r="GW37" s="47" t="n">
        <v>1200</v>
      </c>
      <c r="GX37" s="47" t="n">
        <v>1200</v>
      </c>
      <c r="GY37" s="47" t="n">
        <v>1200</v>
      </c>
      <c r="GZ37" s="47" t="n">
        <v>900</v>
      </c>
      <c r="HA37" s="47" t="n">
        <v>900</v>
      </c>
      <c r="HB37" s="47" t="n">
        <v>900</v>
      </c>
      <c r="HC37" s="47" t="n">
        <v>900</v>
      </c>
      <c r="HD37" s="47" t="n">
        <v>900</v>
      </c>
      <c r="HE37" s="47" t="n">
        <v>900</v>
      </c>
      <c r="HF37" s="47" t="n">
        <v>900</v>
      </c>
      <c r="HG37" s="47" t="n">
        <v>900</v>
      </c>
      <c r="HH37" s="47" t="n">
        <v>900</v>
      </c>
      <c r="HI37" s="48" t="n">
        <v>900</v>
      </c>
      <c r="HJ37" s="47" t="n">
        <v>900</v>
      </c>
      <c r="HK37" s="47" t="n">
        <v>900</v>
      </c>
      <c r="HL37" s="47" t="n">
        <v>900</v>
      </c>
      <c r="HM37" s="47" t="n">
        <v>900</v>
      </c>
      <c r="HN37" s="47" t="n">
        <v>900</v>
      </c>
      <c r="HO37" s="47" t="n">
        <v>900</v>
      </c>
      <c r="HP37" s="47" t="n">
        <v>900</v>
      </c>
      <c r="HQ37" s="47" t="n">
        <v>900</v>
      </c>
      <c r="HS37" s="47" t="n">
        <v>400</v>
      </c>
      <c r="HT37" s="47" t="n">
        <v>400</v>
      </c>
      <c r="HU37" s="47" t="n">
        <v>400</v>
      </c>
      <c r="HV37" s="47" t="n">
        <v>400</v>
      </c>
      <c r="HW37" s="47" t="n">
        <v>400</v>
      </c>
      <c r="HX37" s="47" t="n">
        <v>400</v>
      </c>
      <c r="HY37" s="47" t="n">
        <v>400</v>
      </c>
      <c r="HZ37" s="47" t="n">
        <v>400</v>
      </c>
      <c r="IA37" s="47" t="n">
        <v>400</v>
      </c>
      <c r="IB37" s="47" t="n">
        <v>400</v>
      </c>
      <c r="IC37" s="47" t="n">
        <v>400</v>
      </c>
      <c r="ID37" s="47" t="n">
        <v>400</v>
      </c>
      <c r="IE37" s="47" t="n">
        <v>400</v>
      </c>
      <c r="IF37" s="47" t="n">
        <v>400</v>
      </c>
      <c r="IG37" s="47" t="n">
        <v>400</v>
      </c>
      <c r="IH37" s="47" t="n">
        <v>400</v>
      </c>
      <c r="II37" s="47" t="n">
        <v>400</v>
      </c>
      <c r="IJ37" s="47" t="n">
        <v>400</v>
      </c>
      <c r="IK37" s="47" t="n">
        <v>900</v>
      </c>
      <c r="IL37" s="47" t="n">
        <v>900</v>
      </c>
      <c r="IM37" s="47" t="n">
        <v>900</v>
      </c>
      <c r="IN37" s="47" t="n">
        <v>900</v>
      </c>
      <c r="IO37" s="47" t="n">
        <v>900</v>
      </c>
      <c r="IP37" s="47" t="n">
        <v>900</v>
      </c>
      <c r="IQ37" s="47" t="n">
        <v>900</v>
      </c>
      <c r="IR37" s="47" t="n">
        <v>900</v>
      </c>
      <c r="IS37" s="47" t="n">
        <v>900</v>
      </c>
      <c r="IT37" s="47" t="n">
        <v>900</v>
      </c>
      <c r="IU37" s="47" t="n">
        <v>900</v>
      </c>
      <c r="IV37" s="47" t="n">
        <v>900</v>
      </c>
      <c r="IW37" s="47" t="n">
        <v>1300</v>
      </c>
      <c r="IX37" s="47" t="n">
        <v>1300</v>
      </c>
      <c r="IY37" s="47" t="n">
        <v>1300</v>
      </c>
      <c r="IZ37" s="47" t="n">
        <v>1300</v>
      </c>
      <c r="JA37" s="47" t="n">
        <v>1300</v>
      </c>
      <c r="JB37" s="47" t="n">
        <v>1300</v>
      </c>
      <c r="JC37" s="47" t="n">
        <v>1300</v>
      </c>
      <c r="JD37" s="47" t="n">
        <v>1300</v>
      </c>
      <c r="JE37" s="47" t="n">
        <v>1300</v>
      </c>
      <c r="JF37" s="47" t="n">
        <v>1300</v>
      </c>
      <c r="JG37" s="47" t="n">
        <v>1300</v>
      </c>
      <c r="JH37" s="47" t="n">
        <v>1300</v>
      </c>
      <c r="JI37" s="47" t="n">
        <v>1200</v>
      </c>
      <c r="JJ37" s="47" t="n">
        <v>1200</v>
      </c>
      <c r="JK37" s="47" t="n">
        <v>1200</v>
      </c>
      <c r="JL37" s="47" t="n">
        <v>1200</v>
      </c>
      <c r="JM37" s="47" t="n">
        <v>1200</v>
      </c>
      <c r="JN37" s="47" t="n">
        <v>1200</v>
      </c>
      <c r="JO37" s="47" t="n">
        <v>1200</v>
      </c>
      <c r="JP37" s="47" t="n">
        <v>1200</v>
      </c>
      <c r="JQ37" s="47" t="n">
        <v>1200</v>
      </c>
      <c r="JR37" s="47" t="n">
        <v>1200</v>
      </c>
      <c r="JS37" s="47" t="n">
        <v>1200</v>
      </c>
      <c r="JT37" s="47" t="n">
        <v>1200</v>
      </c>
      <c r="JU37" s="47" t="n">
        <v>900</v>
      </c>
      <c r="JV37" s="47" t="n">
        <v>900</v>
      </c>
      <c r="JW37" s="47" t="n">
        <v>900</v>
      </c>
      <c r="JX37" s="47" t="n">
        <v>900</v>
      </c>
      <c r="JY37" s="47" t="n">
        <v>900</v>
      </c>
      <c r="JZ37" s="47" t="n">
        <v>900</v>
      </c>
      <c r="KA37" s="47" t="n">
        <v>900</v>
      </c>
      <c r="KB37" s="47" t="n">
        <v>900</v>
      </c>
      <c r="KC37" s="47" t="n">
        <v>900</v>
      </c>
      <c r="KD37" s="48" t="n">
        <v>900</v>
      </c>
      <c r="KE37" s="47" t="n">
        <v>900</v>
      </c>
      <c r="KF37" s="47" t="n">
        <v>900</v>
      </c>
      <c r="KG37" s="47" t="n">
        <v>900</v>
      </c>
      <c r="KH37" s="47" t="n">
        <v>900</v>
      </c>
      <c r="KI37" s="47" t="n">
        <v>900</v>
      </c>
      <c r="KJ37" s="47" t="n">
        <v>900</v>
      </c>
      <c r="KK37" s="47" t="n">
        <v>900</v>
      </c>
      <c r="KL37" s="47" t="n">
        <v>900</v>
      </c>
    </row>
    <row r="38" customFormat="false" ht="15.75" hidden="false" customHeight="true" outlineLevel="0" collapsed="false">
      <c r="A38" s="35" t="s">
        <v>236</v>
      </c>
      <c r="B38" s="35" t="s">
        <v>237</v>
      </c>
      <c r="C38" s="35" t="s">
        <v>164</v>
      </c>
      <c r="D38" s="35" t="s">
        <v>165</v>
      </c>
      <c r="E38" s="35" t="s">
        <v>166</v>
      </c>
      <c r="G38" s="44" t="n">
        <v>2725</v>
      </c>
      <c r="H38" s="44" t="n">
        <v>2725</v>
      </c>
      <c r="I38" s="44" t="n">
        <v>2725</v>
      </c>
      <c r="J38" s="44" t="n">
        <v>2725</v>
      </c>
      <c r="K38" s="44" t="n">
        <v>2725</v>
      </c>
      <c r="L38" s="44" t="n">
        <v>2725</v>
      </c>
      <c r="M38" s="44" t="n">
        <v>900</v>
      </c>
      <c r="N38" s="44" t="n">
        <v>900</v>
      </c>
      <c r="O38" s="44" t="n">
        <v>900</v>
      </c>
      <c r="P38" s="44" t="n">
        <v>900</v>
      </c>
      <c r="Q38" s="44" t="n">
        <v>900</v>
      </c>
      <c r="R38" s="44" t="n">
        <v>900</v>
      </c>
      <c r="S38" s="44" t="n">
        <v>900</v>
      </c>
      <c r="T38" s="44" t="n">
        <v>900</v>
      </c>
      <c r="U38" s="44" t="n">
        <v>900</v>
      </c>
      <c r="V38" s="44" t="n">
        <v>900</v>
      </c>
      <c r="W38" s="44" t="n">
        <v>900</v>
      </c>
      <c r="X38" s="44" t="n">
        <v>900</v>
      </c>
      <c r="Y38" s="44" t="n">
        <v>700</v>
      </c>
      <c r="Z38" s="44" t="n">
        <v>700</v>
      </c>
      <c r="AA38" s="44" t="n">
        <v>700</v>
      </c>
      <c r="AB38" s="44" t="n">
        <v>700</v>
      </c>
      <c r="AC38" s="44" t="n">
        <v>700</v>
      </c>
      <c r="AD38" s="44" t="n">
        <v>700</v>
      </c>
      <c r="AE38" s="44" t="n">
        <v>700</v>
      </c>
      <c r="AF38" s="44" t="n">
        <v>700</v>
      </c>
      <c r="AG38" s="44" t="n">
        <v>700</v>
      </c>
      <c r="AH38" s="44" t="n">
        <v>700</v>
      </c>
      <c r="AI38" s="44" t="n">
        <v>700</v>
      </c>
      <c r="AJ38" s="44" t="n">
        <v>700</v>
      </c>
      <c r="AK38" s="44" t="n">
        <v>600</v>
      </c>
      <c r="AL38" s="44" t="n">
        <v>600</v>
      </c>
      <c r="AM38" s="44" t="n">
        <v>600</v>
      </c>
      <c r="AN38" s="44" t="n">
        <v>600</v>
      </c>
      <c r="AO38" s="44" t="n">
        <v>600</v>
      </c>
      <c r="AP38" s="44" t="n">
        <v>600</v>
      </c>
      <c r="AQ38" s="44" t="n">
        <v>600</v>
      </c>
      <c r="AR38" s="44" t="n">
        <v>600</v>
      </c>
      <c r="AS38" s="44" t="n">
        <v>600</v>
      </c>
      <c r="AT38" s="44" t="n">
        <v>600</v>
      </c>
      <c r="AU38" s="44" t="n">
        <v>600</v>
      </c>
      <c r="AV38" s="44" t="n">
        <v>600</v>
      </c>
      <c r="AW38" s="44" t="n">
        <v>3904.16666666667</v>
      </c>
      <c r="AX38" s="44" t="n">
        <v>3904.16666666667</v>
      </c>
      <c r="AY38" s="44" t="n">
        <v>3904.16666666667</v>
      </c>
      <c r="AZ38" s="44" t="n">
        <v>3904.16666666667</v>
      </c>
      <c r="BA38" s="44" t="n">
        <v>3904.16666666667</v>
      </c>
      <c r="BB38" s="44" t="n">
        <v>3904.16666666667</v>
      </c>
      <c r="BC38" s="44" t="n">
        <v>3904.16666666667</v>
      </c>
      <c r="BD38" s="44" t="n">
        <v>3904.16666666667</v>
      </c>
      <c r="BE38" s="44" t="n">
        <v>3904.16666666667</v>
      </c>
      <c r="BF38" s="44" t="n">
        <v>3904.16666666667</v>
      </c>
      <c r="BG38" s="44" t="n">
        <v>3904.16666666667</v>
      </c>
      <c r="BH38" s="44" t="n">
        <v>3904.16666666667</v>
      </c>
      <c r="BI38" s="44" t="n">
        <v>150</v>
      </c>
      <c r="BJ38" s="44" t="n">
        <v>150</v>
      </c>
      <c r="BK38" s="44" t="n">
        <v>150</v>
      </c>
      <c r="BL38" s="44" t="n">
        <v>150</v>
      </c>
      <c r="BM38" s="44" t="n">
        <v>150</v>
      </c>
      <c r="BN38" s="44" t="n">
        <v>150</v>
      </c>
      <c r="BO38" s="44" t="n">
        <v>150</v>
      </c>
      <c r="BP38" s="44" t="n">
        <v>150</v>
      </c>
      <c r="BQ38" s="44" t="n">
        <v>150</v>
      </c>
      <c r="BR38" s="45" t="n">
        <v>150</v>
      </c>
      <c r="BS38" s="46" t="n">
        <v>150</v>
      </c>
      <c r="BT38" s="46" t="n">
        <v>150</v>
      </c>
      <c r="BU38" s="46" t="n">
        <v>150</v>
      </c>
      <c r="BV38" s="46" t="n">
        <v>150</v>
      </c>
      <c r="BW38" s="46" t="n">
        <v>150</v>
      </c>
      <c r="BX38" s="46" t="n">
        <v>150</v>
      </c>
      <c r="BY38" s="46" t="n">
        <v>150</v>
      </c>
      <c r="BZ38" s="46" t="n">
        <v>150</v>
      </c>
      <c r="EX38" s="47" t="n">
        <v>2725</v>
      </c>
      <c r="EY38" s="47" t="n">
        <v>2725</v>
      </c>
      <c r="EZ38" s="47" t="n">
        <v>2725</v>
      </c>
      <c r="FA38" s="47" t="n">
        <v>2725</v>
      </c>
      <c r="FB38" s="47" t="n">
        <v>2725</v>
      </c>
      <c r="FC38" s="47" t="n">
        <v>2725</v>
      </c>
      <c r="FD38" s="47" t="n">
        <v>900</v>
      </c>
      <c r="FE38" s="47" t="n">
        <v>900</v>
      </c>
      <c r="FF38" s="47" t="n">
        <v>900</v>
      </c>
      <c r="FG38" s="47" t="n">
        <v>900</v>
      </c>
      <c r="FH38" s="47" t="n">
        <v>900</v>
      </c>
      <c r="FI38" s="47" t="n">
        <v>900</v>
      </c>
      <c r="FJ38" s="47" t="n">
        <v>900</v>
      </c>
      <c r="FK38" s="47" t="n">
        <v>900</v>
      </c>
      <c r="FL38" s="47" t="n">
        <v>900</v>
      </c>
      <c r="FM38" s="47" t="n">
        <v>900</v>
      </c>
      <c r="FN38" s="47" t="n">
        <v>900</v>
      </c>
      <c r="FO38" s="47" t="n">
        <v>900</v>
      </c>
      <c r="FP38" s="47" t="n">
        <v>700</v>
      </c>
      <c r="FQ38" s="47" t="n">
        <v>700</v>
      </c>
      <c r="FR38" s="47" t="n">
        <v>700</v>
      </c>
      <c r="FS38" s="47" t="n">
        <v>700</v>
      </c>
      <c r="FT38" s="47" t="n">
        <v>700</v>
      </c>
      <c r="FU38" s="47" t="n">
        <v>700</v>
      </c>
      <c r="FV38" s="47" t="n">
        <v>700</v>
      </c>
      <c r="FW38" s="47" t="n">
        <v>700</v>
      </c>
      <c r="FX38" s="47" t="n">
        <v>700</v>
      </c>
      <c r="FY38" s="47" t="n">
        <v>700</v>
      </c>
      <c r="FZ38" s="47" t="n">
        <v>700</v>
      </c>
      <c r="GA38" s="47" t="n">
        <v>700</v>
      </c>
      <c r="GB38" s="47" t="n">
        <v>600</v>
      </c>
      <c r="GC38" s="47" t="n">
        <v>600</v>
      </c>
      <c r="GD38" s="47" t="n">
        <v>600</v>
      </c>
      <c r="GE38" s="47" t="n">
        <v>600</v>
      </c>
      <c r="GF38" s="47" t="n">
        <v>600</v>
      </c>
      <c r="GG38" s="47" t="n">
        <v>600</v>
      </c>
      <c r="GH38" s="47" t="n">
        <v>600</v>
      </c>
      <c r="GI38" s="47" t="n">
        <v>600</v>
      </c>
      <c r="GJ38" s="47" t="n">
        <v>600</v>
      </c>
      <c r="GK38" s="47" t="n">
        <v>600</v>
      </c>
      <c r="GL38" s="47" t="n">
        <v>600</v>
      </c>
      <c r="GM38" s="47" t="n">
        <v>600</v>
      </c>
      <c r="GN38" s="47" t="n">
        <v>3904.16666666667</v>
      </c>
      <c r="GO38" s="47" t="n">
        <v>3904.16666666667</v>
      </c>
      <c r="GP38" s="47" t="n">
        <v>3904.16666666667</v>
      </c>
      <c r="GQ38" s="47" t="n">
        <v>3904.16666666667</v>
      </c>
      <c r="GR38" s="47" t="n">
        <v>3904.16666666667</v>
      </c>
      <c r="GS38" s="47" t="n">
        <v>3904.16666666667</v>
      </c>
      <c r="GT38" s="47" t="n">
        <v>3904.16666666667</v>
      </c>
      <c r="GU38" s="47" t="n">
        <v>3904.16666666667</v>
      </c>
      <c r="GV38" s="47" t="n">
        <v>3904.16666666667</v>
      </c>
      <c r="GW38" s="47" t="n">
        <v>3904.16666666667</v>
      </c>
      <c r="GX38" s="47" t="n">
        <v>3904.16666666667</v>
      </c>
      <c r="GY38" s="47" t="n">
        <v>3904.16666666667</v>
      </c>
      <c r="GZ38" s="47" t="n">
        <v>150</v>
      </c>
      <c r="HA38" s="47" t="n">
        <v>150</v>
      </c>
      <c r="HB38" s="47" t="n">
        <v>150</v>
      </c>
      <c r="HC38" s="47" t="n">
        <v>150</v>
      </c>
      <c r="HD38" s="47" t="n">
        <v>150</v>
      </c>
      <c r="HE38" s="47" t="n">
        <v>150</v>
      </c>
      <c r="HF38" s="47" t="n">
        <v>150</v>
      </c>
      <c r="HG38" s="47" t="n">
        <v>150</v>
      </c>
      <c r="HH38" s="47" t="n">
        <v>150</v>
      </c>
      <c r="HI38" s="48" t="n">
        <v>150</v>
      </c>
      <c r="HJ38" s="47" t="n">
        <v>150</v>
      </c>
      <c r="HK38" s="47" t="n">
        <v>150</v>
      </c>
      <c r="HL38" s="47" t="n">
        <v>150</v>
      </c>
      <c r="HM38" s="47" t="n">
        <v>150</v>
      </c>
      <c r="HN38" s="47" t="n">
        <v>150</v>
      </c>
      <c r="HO38" s="47" t="n">
        <v>150</v>
      </c>
      <c r="HP38" s="47" t="n">
        <v>150</v>
      </c>
      <c r="HQ38" s="47" t="n">
        <v>150</v>
      </c>
      <c r="HS38" s="47" t="n">
        <v>2725</v>
      </c>
      <c r="HT38" s="47" t="n">
        <v>2725</v>
      </c>
      <c r="HU38" s="47" t="n">
        <v>2725</v>
      </c>
      <c r="HV38" s="47" t="n">
        <v>2725</v>
      </c>
      <c r="HW38" s="47" t="n">
        <v>2725</v>
      </c>
      <c r="HX38" s="47" t="n">
        <v>2725</v>
      </c>
      <c r="HY38" s="47" t="n">
        <v>900</v>
      </c>
      <c r="HZ38" s="47" t="n">
        <v>900</v>
      </c>
      <c r="IA38" s="47" t="n">
        <v>900</v>
      </c>
      <c r="IB38" s="47" t="n">
        <v>900</v>
      </c>
      <c r="IC38" s="47" t="n">
        <v>900</v>
      </c>
      <c r="ID38" s="47" t="n">
        <v>900</v>
      </c>
      <c r="IE38" s="47" t="n">
        <v>900</v>
      </c>
      <c r="IF38" s="47" t="n">
        <v>900</v>
      </c>
      <c r="IG38" s="47" t="n">
        <v>900</v>
      </c>
      <c r="IH38" s="47" t="n">
        <v>900</v>
      </c>
      <c r="II38" s="47" t="n">
        <v>900</v>
      </c>
      <c r="IJ38" s="47" t="n">
        <v>900</v>
      </c>
      <c r="IK38" s="47" t="n">
        <v>700</v>
      </c>
      <c r="IL38" s="47" t="n">
        <v>700</v>
      </c>
      <c r="IM38" s="47" t="n">
        <v>700</v>
      </c>
      <c r="IN38" s="47" t="n">
        <v>700</v>
      </c>
      <c r="IO38" s="47" t="n">
        <v>700</v>
      </c>
      <c r="IP38" s="47" t="n">
        <v>700</v>
      </c>
      <c r="IQ38" s="47" t="n">
        <v>700</v>
      </c>
      <c r="IR38" s="47" t="n">
        <v>700</v>
      </c>
      <c r="IS38" s="47" t="n">
        <v>700</v>
      </c>
      <c r="IT38" s="47" t="n">
        <v>700</v>
      </c>
      <c r="IU38" s="47" t="n">
        <v>700</v>
      </c>
      <c r="IV38" s="47" t="n">
        <v>700</v>
      </c>
      <c r="IW38" s="47" t="n">
        <v>600</v>
      </c>
      <c r="IX38" s="47" t="n">
        <v>600</v>
      </c>
      <c r="IY38" s="47" t="n">
        <v>600</v>
      </c>
      <c r="IZ38" s="47" t="n">
        <v>600</v>
      </c>
      <c r="JA38" s="47" t="n">
        <v>600</v>
      </c>
      <c r="JB38" s="47" t="n">
        <v>600</v>
      </c>
      <c r="JC38" s="47" t="n">
        <v>600</v>
      </c>
      <c r="JD38" s="47" t="n">
        <v>600</v>
      </c>
      <c r="JE38" s="47" t="n">
        <v>600</v>
      </c>
      <c r="JF38" s="47" t="n">
        <v>600</v>
      </c>
      <c r="JG38" s="47" t="n">
        <v>600</v>
      </c>
      <c r="JH38" s="47" t="n">
        <v>600</v>
      </c>
      <c r="JI38" s="47" t="n">
        <v>3904.16666666667</v>
      </c>
      <c r="JJ38" s="47" t="n">
        <v>3904.16666666667</v>
      </c>
      <c r="JK38" s="47" t="n">
        <v>3904.16666666667</v>
      </c>
      <c r="JL38" s="47" t="n">
        <v>3904.16666666667</v>
      </c>
      <c r="JM38" s="47" t="n">
        <v>3904.16666666667</v>
      </c>
      <c r="JN38" s="47" t="n">
        <v>3904.16666666667</v>
      </c>
      <c r="JO38" s="47" t="n">
        <v>3904.16666666667</v>
      </c>
      <c r="JP38" s="47" t="n">
        <v>3904.16666666667</v>
      </c>
      <c r="JQ38" s="47" t="n">
        <v>3904.16666666667</v>
      </c>
      <c r="JR38" s="47" t="n">
        <v>3904.16666666667</v>
      </c>
      <c r="JS38" s="47" t="n">
        <v>3904.16666666667</v>
      </c>
      <c r="JT38" s="47" t="n">
        <v>3904.16666666667</v>
      </c>
      <c r="JU38" s="47" t="n">
        <v>150</v>
      </c>
      <c r="JV38" s="47" t="n">
        <v>150</v>
      </c>
      <c r="JW38" s="47" t="n">
        <v>150</v>
      </c>
      <c r="JX38" s="47" t="n">
        <v>150</v>
      </c>
      <c r="JY38" s="47" t="n">
        <v>150</v>
      </c>
      <c r="JZ38" s="47" t="n">
        <v>150</v>
      </c>
      <c r="KA38" s="47" t="n">
        <v>150</v>
      </c>
      <c r="KB38" s="47" t="n">
        <v>150</v>
      </c>
      <c r="KC38" s="47" t="n">
        <v>150</v>
      </c>
      <c r="KD38" s="48" t="n">
        <v>150</v>
      </c>
      <c r="KE38" s="47" t="n">
        <v>150</v>
      </c>
      <c r="KF38" s="47" t="n">
        <v>150</v>
      </c>
      <c r="KG38" s="47" t="n">
        <v>150</v>
      </c>
      <c r="KH38" s="47" t="n">
        <v>150</v>
      </c>
      <c r="KI38" s="47" t="n">
        <v>150</v>
      </c>
      <c r="KJ38" s="47" t="n">
        <v>150</v>
      </c>
      <c r="KK38" s="47" t="n">
        <v>150</v>
      </c>
      <c r="KL38" s="47" t="n">
        <v>150</v>
      </c>
    </row>
    <row r="39" customFormat="false" ht="15.75" hidden="false" customHeight="true" outlineLevel="0" collapsed="false">
      <c r="A39" s="52" t="s">
        <v>238</v>
      </c>
      <c r="B39" s="35" t="s">
        <v>237</v>
      </c>
      <c r="C39" s="35" t="s">
        <v>164</v>
      </c>
      <c r="D39" s="35" t="s">
        <v>165</v>
      </c>
      <c r="E39" s="35" t="s">
        <v>166</v>
      </c>
      <c r="S39" s="44" t="n">
        <v>0</v>
      </c>
      <c r="T39" s="44" t="n">
        <v>0</v>
      </c>
      <c r="U39" s="44" t="n">
        <v>0</v>
      </c>
      <c r="V39" s="44" t="n">
        <v>0</v>
      </c>
      <c r="W39" s="44" t="n">
        <v>0</v>
      </c>
      <c r="X39" s="44" t="n">
        <v>0</v>
      </c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</v>
      </c>
      <c r="AD39" s="44" t="n">
        <v>0</v>
      </c>
      <c r="AE39" s="44" t="n">
        <v>0</v>
      </c>
      <c r="AF39" s="44" t="n">
        <v>0</v>
      </c>
      <c r="AG39" s="44" t="n">
        <v>0</v>
      </c>
      <c r="AH39" s="44" t="n">
        <v>0</v>
      </c>
      <c r="AI39" s="44" t="n">
        <v>0</v>
      </c>
      <c r="AJ39" s="44" t="n">
        <v>0</v>
      </c>
      <c r="AK39" s="44" t="n">
        <v>0</v>
      </c>
      <c r="AL39" s="44" t="n">
        <v>0</v>
      </c>
      <c r="AM39" s="44" t="n">
        <v>0</v>
      </c>
      <c r="AN39" s="44" t="n">
        <v>0</v>
      </c>
      <c r="AO39" s="44" t="n">
        <v>0</v>
      </c>
      <c r="AP39" s="44" t="n">
        <v>0</v>
      </c>
      <c r="AQ39" s="44" t="n">
        <v>0</v>
      </c>
      <c r="AR39" s="44" t="n">
        <v>0</v>
      </c>
      <c r="AS39" s="44" t="n">
        <v>0</v>
      </c>
      <c r="AT39" s="44" t="n">
        <v>0</v>
      </c>
      <c r="AU39" s="44" t="n">
        <v>0</v>
      </c>
      <c r="AV39" s="44" t="n">
        <v>0</v>
      </c>
      <c r="AW39" s="44" t="n">
        <v>0</v>
      </c>
      <c r="AX39" s="44" t="n">
        <v>0</v>
      </c>
      <c r="AY39" s="44" t="n">
        <v>0</v>
      </c>
      <c r="AZ39" s="44" t="n">
        <v>0</v>
      </c>
      <c r="BA39" s="44" t="n">
        <v>0</v>
      </c>
      <c r="BB39" s="44" t="n">
        <v>0</v>
      </c>
      <c r="BC39" s="44" t="n">
        <v>0</v>
      </c>
      <c r="BD39" s="44" t="n">
        <v>0</v>
      </c>
      <c r="BE39" s="44" t="n">
        <v>0</v>
      </c>
      <c r="BF39" s="44" t="n">
        <v>0</v>
      </c>
      <c r="BG39" s="44" t="n">
        <v>15383.3333333333</v>
      </c>
      <c r="BH39" s="44" t="n">
        <v>15383.3333333333</v>
      </c>
      <c r="BI39" s="44" t="n">
        <v>15383.3333333333</v>
      </c>
      <c r="BJ39" s="44" t="n">
        <v>15383.3333333333</v>
      </c>
      <c r="BK39" s="44" t="n">
        <v>15383.3333333333</v>
      </c>
      <c r="BL39" s="44" t="n">
        <v>15383.3333333333</v>
      </c>
      <c r="BM39" s="44" t="n">
        <v>15383.3333333333</v>
      </c>
      <c r="BN39" s="44" t="n">
        <v>15383.3333333333</v>
      </c>
      <c r="BO39" s="44" t="n">
        <v>15383.3333333333</v>
      </c>
      <c r="BP39" s="44" t="n">
        <v>15383.3333333333</v>
      </c>
      <c r="BQ39" s="44" t="n">
        <v>15383.3333333333</v>
      </c>
      <c r="BR39" s="45" t="n">
        <v>15383.3333333333</v>
      </c>
      <c r="BS39" s="46" t="n">
        <v>15383.3333333333</v>
      </c>
      <c r="BT39" s="46" t="n">
        <v>15383.3333333333</v>
      </c>
      <c r="BU39" s="46" t="n">
        <v>15383.3333333333</v>
      </c>
      <c r="BV39" s="46" t="n">
        <v>15383.3333333333</v>
      </c>
      <c r="BW39" s="46" t="n">
        <v>15383.3333333333</v>
      </c>
      <c r="BX39" s="46" t="n">
        <v>15383.3333333333</v>
      </c>
      <c r="BY39" s="46" t="n">
        <v>15383.3333333333</v>
      </c>
      <c r="BZ39" s="46" t="n">
        <v>15383.3333333333</v>
      </c>
      <c r="EX39" s="47" t="n">
        <v>0</v>
      </c>
      <c r="EY39" s="47" t="n">
        <v>0</v>
      </c>
      <c r="EZ39" s="47" t="n">
        <v>0</v>
      </c>
      <c r="FA39" s="47" t="n">
        <v>0</v>
      </c>
      <c r="FB39" s="47" t="n">
        <v>0</v>
      </c>
      <c r="FC39" s="47" t="n">
        <v>0</v>
      </c>
      <c r="FD39" s="47" t="n">
        <v>0</v>
      </c>
      <c r="FE39" s="47" t="n">
        <v>0</v>
      </c>
      <c r="FF39" s="47" t="n">
        <v>0</v>
      </c>
      <c r="FG39" s="47" t="n">
        <v>0</v>
      </c>
      <c r="FH39" s="47" t="n">
        <v>0</v>
      </c>
      <c r="FI39" s="47" t="n">
        <v>0</v>
      </c>
      <c r="FJ39" s="47" t="n">
        <v>0</v>
      </c>
      <c r="FK39" s="47" t="n">
        <v>0</v>
      </c>
      <c r="FL39" s="47" t="n">
        <v>0</v>
      </c>
      <c r="FM39" s="47" t="n">
        <v>0</v>
      </c>
      <c r="FN39" s="47" t="n">
        <v>0</v>
      </c>
      <c r="FO39" s="47" t="n">
        <v>0</v>
      </c>
      <c r="FP39" s="47" t="n">
        <v>0</v>
      </c>
      <c r="FQ39" s="47" t="n">
        <v>0</v>
      </c>
      <c r="FR39" s="47" t="n">
        <v>0</v>
      </c>
      <c r="FS39" s="47" t="n">
        <v>0</v>
      </c>
      <c r="FT39" s="47" t="n">
        <v>0</v>
      </c>
      <c r="FU39" s="47" t="n">
        <v>0</v>
      </c>
      <c r="FV39" s="47" t="n">
        <v>0</v>
      </c>
      <c r="FW39" s="47" t="n">
        <v>0</v>
      </c>
      <c r="FX39" s="47" t="n">
        <v>0</v>
      </c>
      <c r="FY39" s="47" t="n">
        <v>0</v>
      </c>
      <c r="FZ39" s="47" t="n">
        <v>0</v>
      </c>
      <c r="GA39" s="47" t="n">
        <v>0</v>
      </c>
      <c r="GB39" s="47" t="n">
        <v>0</v>
      </c>
      <c r="GC39" s="47" t="n">
        <v>0</v>
      </c>
      <c r="GD39" s="47" t="n">
        <v>0</v>
      </c>
      <c r="GE39" s="47" t="n">
        <v>0</v>
      </c>
      <c r="GF39" s="47" t="n">
        <v>0</v>
      </c>
      <c r="GG39" s="47" t="n">
        <v>0</v>
      </c>
      <c r="GH39" s="47" t="n">
        <v>0</v>
      </c>
      <c r="GI39" s="47" t="n">
        <v>0</v>
      </c>
      <c r="GJ39" s="47" t="n">
        <v>0</v>
      </c>
      <c r="GK39" s="47" t="n">
        <v>0</v>
      </c>
      <c r="GL39" s="47" t="n">
        <v>0</v>
      </c>
      <c r="GM39" s="47" t="n">
        <v>0</v>
      </c>
      <c r="GN39" s="47" t="n">
        <v>0</v>
      </c>
      <c r="GO39" s="47" t="n">
        <v>0</v>
      </c>
      <c r="GP39" s="47" t="n">
        <v>0</v>
      </c>
      <c r="GQ39" s="47" t="n">
        <v>0</v>
      </c>
      <c r="GR39" s="47" t="n">
        <v>0</v>
      </c>
      <c r="GS39" s="47" t="n">
        <v>0</v>
      </c>
      <c r="GT39" s="47" t="n">
        <v>0</v>
      </c>
      <c r="GU39" s="47" t="n">
        <v>0</v>
      </c>
      <c r="GV39" s="47" t="n">
        <v>0</v>
      </c>
      <c r="GW39" s="47" t="n">
        <v>0</v>
      </c>
      <c r="GX39" s="47" t="n">
        <v>15383.3333333333</v>
      </c>
      <c r="GY39" s="47" t="n">
        <v>15383.3333333333</v>
      </c>
      <c r="GZ39" s="47" t="n">
        <v>15383.3333333333</v>
      </c>
      <c r="HA39" s="47" t="n">
        <v>15383.3333333333</v>
      </c>
      <c r="HB39" s="47" t="n">
        <v>15383.3333333333</v>
      </c>
      <c r="HC39" s="47" t="n">
        <v>15383.3333333333</v>
      </c>
      <c r="HD39" s="47" t="n">
        <v>15383.3333333333</v>
      </c>
      <c r="HE39" s="47" t="n">
        <v>15383.3333333333</v>
      </c>
      <c r="HF39" s="47" t="n">
        <v>15383.3333333333</v>
      </c>
      <c r="HG39" s="47" t="n">
        <v>15383.3333333333</v>
      </c>
      <c r="HH39" s="47" t="n">
        <v>15383.3333333333</v>
      </c>
      <c r="HI39" s="48" t="n">
        <v>15383.3333333333</v>
      </c>
      <c r="HJ39" s="47" t="n">
        <v>15383.3333333333</v>
      </c>
      <c r="HK39" s="47" t="n">
        <v>15383.3333333333</v>
      </c>
      <c r="HL39" s="47" t="n">
        <v>15383.3333333333</v>
      </c>
      <c r="HM39" s="47" t="n">
        <v>15383.3333333333</v>
      </c>
      <c r="HN39" s="47" t="n">
        <v>15383.3333333333</v>
      </c>
      <c r="HO39" s="47" t="n">
        <v>15383.3333333333</v>
      </c>
      <c r="HP39" s="47" t="n">
        <v>15383.3333333333</v>
      </c>
      <c r="HQ39" s="47" t="n">
        <v>15383.3333333333</v>
      </c>
      <c r="HS39" s="47" t="n">
        <v>0</v>
      </c>
      <c r="HT39" s="47" t="n">
        <v>0</v>
      </c>
      <c r="HU39" s="47" t="n">
        <v>0</v>
      </c>
      <c r="HV39" s="47" t="n">
        <v>0</v>
      </c>
      <c r="HW39" s="47" t="n">
        <v>0</v>
      </c>
      <c r="HX39" s="47" t="n">
        <v>0</v>
      </c>
      <c r="HY39" s="47" t="n">
        <v>0</v>
      </c>
      <c r="HZ39" s="47" t="n">
        <v>0</v>
      </c>
      <c r="IA39" s="47" t="n">
        <v>0</v>
      </c>
      <c r="IB39" s="47" t="n">
        <v>0</v>
      </c>
      <c r="IC39" s="47" t="n">
        <v>0</v>
      </c>
      <c r="ID39" s="47" t="n">
        <v>0</v>
      </c>
      <c r="IE39" s="47" t="n">
        <v>0</v>
      </c>
      <c r="IF39" s="47" t="n">
        <v>0</v>
      </c>
      <c r="IG39" s="47" t="n">
        <v>0</v>
      </c>
      <c r="IH39" s="47" t="n">
        <v>0</v>
      </c>
      <c r="II39" s="47" t="n">
        <v>0</v>
      </c>
      <c r="IJ39" s="47" t="n">
        <v>0</v>
      </c>
      <c r="IK39" s="47" t="n">
        <v>0</v>
      </c>
      <c r="IL39" s="47" t="n">
        <v>0</v>
      </c>
      <c r="IM39" s="47" t="n">
        <v>0</v>
      </c>
      <c r="IN39" s="47" t="n">
        <v>0</v>
      </c>
      <c r="IO39" s="47" t="n">
        <v>0</v>
      </c>
      <c r="IP39" s="47" t="n">
        <v>0</v>
      </c>
      <c r="IQ39" s="47" t="n">
        <v>0</v>
      </c>
      <c r="IR39" s="47" t="n">
        <v>0</v>
      </c>
      <c r="IS39" s="47" t="n">
        <v>0</v>
      </c>
      <c r="IT39" s="47" t="n">
        <v>0</v>
      </c>
      <c r="IU39" s="47" t="n">
        <v>0</v>
      </c>
      <c r="IV39" s="47" t="n">
        <v>0</v>
      </c>
      <c r="IW39" s="47" t="n">
        <v>0</v>
      </c>
      <c r="IX39" s="47" t="n">
        <v>0</v>
      </c>
      <c r="IY39" s="47" t="n">
        <v>0</v>
      </c>
      <c r="IZ39" s="47" t="n">
        <v>0</v>
      </c>
      <c r="JA39" s="47" t="n">
        <v>0</v>
      </c>
      <c r="JB39" s="47" t="n">
        <v>0</v>
      </c>
      <c r="JC39" s="47" t="n">
        <v>0</v>
      </c>
      <c r="JD39" s="47" t="n">
        <v>0</v>
      </c>
      <c r="JE39" s="47" t="n">
        <v>0</v>
      </c>
      <c r="JF39" s="47" t="n">
        <v>0</v>
      </c>
      <c r="JG39" s="47" t="n">
        <v>0</v>
      </c>
      <c r="JH39" s="47" t="n">
        <v>0</v>
      </c>
      <c r="JI39" s="47" t="n">
        <v>0</v>
      </c>
      <c r="JJ39" s="47" t="n">
        <v>0</v>
      </c>
      <c r="JK39" s="47" t="n">
        <v>0</v>
      </c>
      <c r="JL39" s="47" t="n">
        <v>0</v>
      </c>
      <c r="JM39" s="47" t="n">
        <v>0</v>
      </c>
      <c r="JN39" s="47" t="n">
        <v>0</v>
      </c>
      <c r="JO39" s="47" t="n">
        <v>0</v>
      </c>
      <c r="JP39" s="47" t="n">
        <v>0</v>
      </c>
      <c r="JQ39" s="47" t="n">
        <v>0</v>
      </c>
      <c r="JR39" s="47" t="n">
        <v>0</v>
      </c>
      <c r="JS39" s="47" t="n">
        <v>15383.3333333333</v>
      </c>
      <c r="JT39" s="47" t="n">
        <v>15383.3333333333</v>
      </c>
      <c r="JU39" s="47" t="n">
        <v>15383.3333333333</v>
      </c>
      <c r="JV39" s="47" t="n">
        <v>15383.3333333333</v>
      </c>
      <c r="JW39" s="47" t="n">
        <v>15383.3333333333</v>
      </c>
      <c r="JX39" s="47" t="n">
        <v>15383.3333333333</v>
      </c>
      <c r="JY39" s="47" t="n">
        <v>15383.3333333333</v>
      </c>
      <c r="JZ39" s="47" t="n">
        <v>15383.3333333333</v>
      </c>
      <c r="KA39" s="47" t="n">
        <v>15383.3333333333</v>
      </c>
      <c r="KB39" s="47" t="n">
        <v>15383.3333333333</v>
      </c>
      <c r="KC39" s="47" t="n">
        <v>15383.3333333333</v>
      </c>
      <c r="KD39" s="48" t="n">
        <v>15383.3333333333</v>
      </c>
      <c r="KE39" s="47" t="n">
        <v>15383.3333333333</v>
      </c>
      <c r="KF39" s="47" t="n">
        <v>15383.3333333333</v>
      </c>
      <c r="KG39" s="47" t="n">
        <v>15383.3333333333</v>
      </c>
      <c r="KH39" s="47" t="n">
        <v>15383.3333333333</v>
      </c>
      <c r="KI39" s="47" t="n">
        <v>15383.3333333333</v>
      </c>
      <c r="KJ39" s="47" t="n">
        <v>15383.3333333333</v>
      </c>
      <c r="KK39" s="47" t="n">
        <v>15383.3333333333</v>
      </c>
      <c r="KL39" s="47" t="n">
        <v>15383.3333333333</v>
      </c>
    </row>
    <row r="40" customFormat="false" ht="15.75" hidden="false" customHeight="true" outlineLevel="0" collapsed="false">
      <c r="A40" s="35" t="s">
        <v>239</v>
      </c>
      <c r="B40" s="35" t="s">
        <v>240</v>
      </c>
      <c r="C40" s="35" t="s">
        <v>164</v>
      </c>
      <c r="D40" s="35" t="s">
        <v>241</v>
      </c>
      <c r="E40" s="35" t="s">
        <v>174</v>
      </c>
      <c r="G40" s="44" t="n">
        <v>0</v>
      </c>
      <c r="H40" s="44" t="n">
        <v>0</v>
      </c>
      <c r="I40" s="44" t="n">
        <v>0</v>
      </c>
      <c r="J40" s="44" t="n">
        <v>0</v>
      </c>
      <c r="K40" s="44" t="n">
        <v>0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0</v>
      </c>
      <c r="Q40" s="44" t="n">
        <v>0</v>
      </c>
      <c r="R40" s="44" t="n">
        <v>0</v>
      </c>
      <c r="S40" s="44" t="n">
        <v>0</v>
      </c>
      <c r="T40" s="44" t="n">
        <v>0</v>
      </c>
      <c r="U40" s="44" t="n">
        <v>0</v>
      </c>
      <c r="V40" s="44" t="n">
        <v>0</v>
      </c>
      <c r="W40" s="44" t="n">
        <v>0</v>
      </c>
      <c r="X40" s="44" t="n">
        <v>0</v>
      </c>
      <c r="Y40" s="44" t="n">
        <v>0</v>
      </c>
      <c r="Z40" s="44" t="n">
        <v>541.666666666667</v>
      </c>
      <c r="AA40" s="44" t="n">
        <v>541.666666666667</v>
      </c>
      <c r="AB40" s="44" t="n">
        <v>541.666666666667</v>
      </c>
      <c r="AC40" s="44" t="n">
        <v>541.666666666667</v>
      </c>
      <c r="AD40" s="44" t="n">
        <v>541.666666666667</v>
      </c>
      <c r="AE40" s="44" t="n">
        <v>541.666666666667</v>
      </c>
      <c r="AF40" s="44" t="n">
        <v>541.666666666667</v>
      </c>
      <c r="AG40" s="44" t="n">
        <v>541.666666666667</v>
      </c>
      <c r="AH40" s="44" t="n">
        <v>541.666666666667</v>
      </c>
      <c r="AI40" s="44" t="n">
        <v>541.666666666667</v>
      </c>
      <c r="AJ40" s="44" t="n">
        <v>541.666666666667</v>
      </c>
      <c r="AK40" s="44" t="n">
        <v>541.666666666667</v>
      </c>
      <c r="AL40" s="44" t="n">
        <v>541.666666666667</v>
      </c>
      <c r="AM40" s="44" t="n">
        <v>541.666666666667</v>
      </c>
      <c r="AN40" s="44" t="n">
        <v>541.666666666667</v>
      </c>
      <c r="AO40" s="44" t="n">
        <v>541.666666666667</v>
      </c>
      <c r="AP40" s="44" t="n">
        <v>541.666666666667</v>
      </c>
      <c r="AQ40" s="44" t="n">
        <v>541.666666666667</v>
      </c>
      <c r="AR40" s="44" t="n">
        <v>550</v>
      </c>
      <c r="AS40" s="44" t="n">
        <v>550</v>
      </c>
      <c r="AT40" s="44" t="n">
        <v>550</v>
      </c>
      <c r="AU40" s="44" t="n">
        <v>550</v>
      </c>
      <c r="AV40" s="44" t="n">
        <v>550</v>
      </c>
      <c r="AW40" s="44" t="n">
        <v>550</v>
      </c>
      <c r="AX40" s="44" t="n">
        <v>550</v>
      </c>
      <c r="AY40" s="44" t="n">
        <v>550</v>
      </c>
      <c r="AZ40" s="44" t="n">
        <v>550</v>
      </c>
      <c r="BA40" s="44" t="n">
        <v>550</v>
      </c>
      <c r="BB40" s="44" t="n">
        <v>550</v>
      </c>
      <c r="BC40" s="44" t="n">
        <v>550</v>
      </c>
      <c r="BD40" s="44" t="n">
        <v>550</v>
      </c>
      <c r="BE40" s="44" t="n">
        <v>550</v>
      </c>
      <c r="BF40" s="44" t="n">
        <v>550</v>
      </c>
      <c r="BG40" s="44" t="n">
        <v>550</v>
      </c>
      <c r="BH40" s="44" t="n">
        <v>550</v>
      </c>
      <c r="BI40" s="44" t="n">
        <v>550</v>
      </c>
      <c r="BJ40" s="44" t="n">
        <v>550</v>
      </c>
      <c r="BK40" s="44" t="n">
        <v>550</v>
      </c>
      <c r="BL40" s="44" t="n">
        <v>550</v>
      </c>
      <c r="BM40" s="44" t="n">
        <v>550</v>
      </c>
      <c r="BN40" s="44" t="n">
        <v>550</v>
      </c>
      <c r="BO40" s="44" t="n">
        <v>550</v>
      </c>
      <c r="BP40" s="44" t="n">
        <v>137.5</v>
      </c>
      <c r="BQ40" s="44" t="n">
        <v>137.5</v>
      </c>
      <c r="BR40" s="45" t="n">
        <v>137.5</v>
      </c>
      <c r="BS40" s="46" t="n">
        <v>137.5</v>
      </c>
      <c r="BT40" s="46" t="n">
        <v>137.5</v>
      </c>
      <c r="BU40" s="46" t="n">
        <v>137.5</v>
      </c>
      <c r="BV40" s="46" t="n">
        <v>137.5</v>
      </c>
      <c r="BW40" s="46" t="n">
        <v>137.5</v>
      </c>
      <c r="BX40" s="46" t="n">
        <v>137.5</v>
      </c>
      <c r="BY40" s="46" t="n">
        <v>137.5</v>
      </c>
      <c r="BZ40" s="46" t="n">
        <v>137.5</v>
      </c>
      <c r="EX40" s="47" t="n">
        <v>0</v>
      </c>
      <c r="EY40" s="47" t="n">
        <v>0</v>
      </c>
      <c r="EZ40" s="47" t="n">
        <v>0</v>
      </c>
      <c r="FA40" s="47" t="n">
        <v>0</v>
      </c>
      <c r="FB40" s="47" t="n">
        <v>0</v>
      </c>
      <c r="FC40" s="47" t="n">
        <v>0</v>
      </c>
      <c r="FD40" s="47" t="n">
        <v>0</v>
      </c>
      <c r="FE40" s="47" t="n">
        <v>0</v>
      </c>
      <c r="FF40" s="47" t="n">
        <v>0</v>
      </c>
      <c r="FG40" s="47" t="n">
        <v>0</v>
      </c>
      <c r="FH40" s="47" t="n">
        <v>0</v>
      </c>
      <c r="FI40" s="47" t="n">
        <v>0</v>
      </c>
      <c r="FJ40" s="47" t="n">
        <v>0</v>
      </c>
      <c r="FK40" s="47" t="n">
        <v>0</v>
      </c>
      <c r="FL40" s="47" t="n">
        <v>0</v>
      </c>
      <c r="FM40" s="47" t="n">
        <v>0</v>
      </c>
      <c r="FN40" s="47" t="n">
        <v>0</v>
      </c>
      <c r="FO40" s="47" t="n">
        <v>0</v>
      </c>
      <c r="FP40" s="47" t="n">
        <v>0</v>
      </c>
      <c r="FQ40" s="47" t="n">
        <v>541.666666666667</v>
      </c>
      <c r="FR40" s="47" t="n">
        <v>541.666666666667</v>
      </c>
      <c r="FS40" s="47" t="n">
        <v>541.666666666667</v>
      </c>
      <c r="FT40" s="47" t="n">
        <v>541.666666666667</v>
      </c>
      <c r="FU40" s="47" t="n">
        <v>541.666666666667</v>
      </c>
      <c r="FV40" s="47" t="n">
        <v>541.666666666667</v>
      </c>
      <c r="FW40" s="47" t="n">
        <v>541.666666666667</v>
      </c>
      <c r="FX40" s="47" t="n">
        <v>541.666666666667</v>
      </c>
      <c r="FY40" s="47" t="n">
        <v>541.666666666667</v>
      </c>
      <c r="FZ40" s="47" t="n">
        <v>541.666666666667</v>
      </c>
      <c r="GA40" s="47" t="n">
        <v>541.666666666667</v>
      </c>
      <c r="GB40" s="47" t="n">
        <v>541.666666666667</v>
      </c>
      <c r="GC40" s="47" t="n">
        <v>541.666666666667</v>
      </c>
      <c r="GD40" s="47" t="n">
        <v>541.666666666667</v>
      </c>
      <c r="GE40" s="47" t="n">
        <v>541.666666666667</v>
      </c>
      <c r="GF40" s="47" t="n">
        <v>541.666666666667</v>
      </c>
      <c r="GG40" s="47" t="n">
        <v>541.666666666667</v>
      </c>
      <c r="GH40" s="47" t="n">
        <v>541.666666666667</v>
      </c>
      <c r="GI40" s="47" t="n">
        <v>550</v>
      </c>
      <c r="GJ40" s="47" t="n">
        <v>550</v>
      </c>
      <c r="GK40" s="47" t="n">
        <v>550</v>
      </c>
      <c r="GL40" s="47" t="n">
        <v>550</v>
      </c>
      <c r="GM40" s="47" t="n">
        <v>550</v>
      </c>
      <c r="GN40" s="47" t="n">
        <v>550</v>
      </c>
      <c r="GO40" s="47" t="n">
        <v>550</v>
      </c>
      <c r="GP40" s="47" t="n">
        <v>550</v>
      </c>
      <c r="GQ40" s="47" t="n">
        <v>550</v>
      </c>
      <c r="GR40" s="47" t="n">
        <v>550</v>
      </c>
      <c r="GS40" s="47" t="n">
        <v>550</v>
      </c>
      <c r="GT40" s="47" t="n">
        <v>550</v>
      </c>
      <c r="GU40" s="47" t="n">
        <v>550</v>
      </c>
      <c r="GV40" s="47" t="n">
        <v>550</v>
      </c>
      <c r="GW40" s="47" t="n">
        <v>550</v>
      </c>
      <c r="GX40" s="47" t="n">
        <v>550</v>
      </c>
      <c r="GY40" s="47" t="n">
        <v>550</v>
      </c>
      <c r="GZ40" s="47" t="n">
        <v>550</v>
      </c>
      <c r="HA40" s="47" t="n">
        <v>550</v>
      </c>
      <c r="HB40" s="47" t="n">
        <v>550</v>
      </c>
      <c r="HC40" s="47" t="n">
        <v>550</v>
      </c>
      <c r="HD40" s="47" t="n">
        <v>550</v>
      </c>
      <c r="HE40" s="47" t="n">
        <v>550</v>
      </c>
      <c r="HF40" s="47" t="n">
        <v>550</v>
      </c>
      <c r="HG40" s="47" t="n">
        <v>137.5</v>
      </c>
      <c r="HH40" s="47" t="n">
        <v>137.5</v>
      </c>
      <c r="HI40" s="48" t="n">
        <v>137.5</v>
      </c>
      <c r="HJ40" s="47" t="n">
        <v>137.5</v>
      </c>
      <c r="HK40" s="47" t="n">
        <v>137.5</v>
      </c>
      <c r="HL40" s="47" t="n">
        <v>137.5</v>
      </c>
      <c r="HM40" s="47" t="n">
        <v>137.5</v>
      </c>
      <c r="HN40" s="47" t="n">
        <v>137.5</v>
      </c>
      <c r="HO40" s="47" t="n">
        <v>137.5</v>
      </c>
      <c r="HP40" s="47" t="n">
        <v>137.5</v>
      </c>
      <c r="HQ40" s="47" t="n">
        <v>137.5</v>
      </c>
      <c r="HS40" s="47" t="n">
        <v>0</v>
      </c>
      <c r="HT40" s="47" t="n">
        <v>0</v>
      </c>
      <c r="HU40" s="47" t="n">
        <v>0</v>
      </c>
      <c r="HV40" s="47" t="n">
        <v>0</v>
      </c>
      <c r="HW40" s="47" t="n">
        <v>0</v>
      </c>
      <c r="HX40" s="47" t="n">
        <v>0</v>
      </c>
      <c r="HY40" s="47" t="n">
        <v>0</v>
      </c>
      <c r="HZ40" s="47" t="n">
        <v>0</v>
      </c>
      <c r="IA40" s="47" t="n">
        <v>0</v>
      </c>
      <c r="IB40" s="47" t="n">
        <v>0</v>
      </c>
      <c r="IC40" s="47" t="n">
        <v>0</v>
      </c>
      <c r="ID40" s="47" t="n">
        <v>0</v>
      </c>
      <c r="IE40" s="47" t="n">
        <v>0</v>
      </c>
      <c r="IF40" s="47" t="n">
        <v>0</v>
      </c>
      <c r="IG40" s="47" t="n">
        <v>0</v>
      </c>
      <c r="IH40" s="47" t="n">
        <v>0</v>
      </c>
      <c r="II40" s="47" t="n">
        <v>0</v>
      </c>
      <c r="IJ40" s="47" t="n">
        <v>0</v>
      </c>
      <c r="IK40" s="47" t="n">
        <v>0</v>
      </c>
      <c r="IL40" s="47" t="n">
        <v>541.666666666667</v>
      </c>
      <c r="IM40" s="47" t="n">
        <v>541.666666666667</v>
      </c>
      <c r="IN40" s="47" t="n">
        <v>541.666666666667</v>
      </c>
      <c r="IO40" s="47" t="n">
        <v>541.666666666667</v>
      </c>
      <c r="IP40" s="47" t="n">
        <v>541.666666666667</v>
      </c>
      <c r="IQ40" s="47" t="n">
        <v>541.666666666667</v>
      </c>
      <c r="IR40" s="47" t="n">
        <v>541.666666666667</v>
      </c>
      <c r="IS40" s="47" t="n">
        <v>541.666666666667</v>
      </c>
      <c r="IT40" s="47" t="n">
        <v>541.666666666667</v>
      </c>
      <c r="IU40" s="47" t="n">
        <v>541.666666666667</v>
      </c>
      <c r="IV40" s="47" t="n">
        <v>541.666666666667</v>
      </c>
      <c r="IW40" s="47" t="n">
        <v>541.666666666667</v>
      </c>
      <c r="IX40" s="47" t="n">
        <v>541.666666666667</v>
      </c>
      <c r="IY40" s="47" t="n">
        <v>541.666666666667</v>
      </c>
      <c r="IZ40" s="47" t="n">
        <v>541.666666666667</v>
      </c>
      <c r="JA40" s="47" t="n">
        <v>541.666666666667</v>
      </c>
      <c r="JB40" s="47" t="n">
        <v>541.666666666667</v>
      </c>
      <c r="JC40" s="47" t="n">
        <v>541.666666666667</v>
      </c>
      <c r="JD40" s="47" t="n">
        <v>550</v>
      </c>
      <c r="JE40" s="47" t="n">
        <v>550</v>
      </c>
      <c r="JF40" s="47" t="n">
        <v>550</v>
      </c>
      <c r="JG40" s="47" t="n">
        <v>550</v>
      </c>
      <c r="JH40" s="47" t="n">
        <v>550</v>
      </c>
      <c r="JI40" s="47" t="n">
        <v>550</v>
      </c>
      <c r="JJ40" s="47" t="n">
        <v>550</v>
      </c>
      <c r="JK40" s="47" t="n">
        <v>550</v>
      </c>
      <c r="JL40" s="47" t="n">
        <v>550</v>
      </c>
      <c r="JM40" s="47" t="n">
        <v>550</v>
      </c>
      <c r="JN40" s="47" t="n">
        <v>550</v>
      </c>
      <c r="JO40" s="47" t="n">
        <v>550</v>
      </c>
      <c r="JP40" s="47" t="n">
        <v>550</v>
      </c>
      <c r="JQ40" s="47" t="n">
        <v>550</v>
      </c>
      <c r="JR40" s="47" t="n">
        <v>550</v>
      </c>
      <c r="JS40" s="47" t="n">
        <v>550</v>
      </c>
      <c r="JT40" s="47" t="n">
        <v>550</v>
      </c>
      <c r="JU40" s="47" t="n">
        <v>550</v>
      </c>
      <c r="JV40" s="47" t="n">
        <v>550</v>
      </c>
      <c r="JW40" s="47" t="n">
        <v>550</v>
      </c>
      <c r="JX40" s="47" t="n">
        <v>550</v>
      </c>
      <c r="JY40" s="47" t="n">
        <v>550</v>
      </c>
      <c r="JZ40" s="47" t="n">
        <v>550</v>
      </c>
      <c r="KA40" s="47" t="n">
        <v>550</v>
      </c>
      <c r="KB40" s="47" t="n">
        <v>137.5</v>
      </c>
      <c r="KC40" s="47" t="n">
        <v>137.5</v>
      </c>
      <c r="KD40" s="48" t="n">
        <v>137.5</v>
      </c>
      <c r="KE40" s="47" t="n">
        <v>137.5</v>
      </c>
      <c r="KF40" s="47" t="n">
        <v>137.5</v>
      </c>
      <c r="KG40" s="47" t="n">
        <v>137.5</v>
      </c>
      <c r="KH40" s="47" t="n">
        <v>137.5</v>
      </c>
      <c r="KI40" s="47" t="n">
        <v>137.5</v>
      </c>
      <c r="KJ40" s="47" t="n">
        <v>137.5</v>
      </c>
      <c r="KK40" s="47" t="n">
        <v>137.5</v>
      </c>
      <c r="KL40" s="47" t="n">
        <v>137.5</v>
      </c>
    </row>
    <row r="41" customFormat="false" ht="15.75" hidden="false" customHeight="true" outlineLevel="0" collapsed="false">
      <c r="A41" s="35" t="s">
        <v>242</v>
      </c>
      <c r="B41" s="35" t="s">
        <v>243</v>
      </c>
      <c r="C41" s="35" t="s">
        <v>164</v>
      </c>
      <c r="D41" s="35" t="s">
        <v>165</v>
      </c>
      <c r="E41" s="35" t="s">
        <v>177</v>
      </c>
      <c r="G41" s="44" t="n">
        <v>0</v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0</v>
      </c>
      <c r="Q41" s="44" t="n">
        <v>0</v>
      </c>
      <c r="R41" s="44" t="n">
        <v>0</v>
      </c>
      <c r="S41" s="44" t="n">
        <v>0</v>
      </c>
      <c r="T41" s="44" t="n">
        <v>0</v>
      </c>
      <c r="U41" s="44" t="n">
        <v>0</v>
      </c>
      <c r="V41" s="44" t="n">
        <v>0</v>
      </c>
      <c r="W41" s="44" t="n">
        <v>0</v>
      </c>
      <c r="X41" s="44" t="n">
        <v>0</v>
      </c>
      <c r="Y41" s="44" t="n">
        <v>500</v>
      </c>
      <c r="Z41" s="44" t="n">
        <v>500</v>
      </c>
      <c r="AA41" s="44" t="n">
        <v>500</v>
      </c>
      <c r="AB41" s="44" t="n">
        <v>500</v>
      </c>
      <c r="AC41" s="44" t="n">
        <v>500</v>
      </c>
      <c r="AD41" s="44" t="n">
        <v>500</v>
      </c>
      <c r="AE41" s="44" t="n">
        <v>500</v>
      </c>
      <c r="AF41" s="44" t="n">
        <v>500</v>
      </c>
      <c r="AG41" s="44" t="n">
        <v>500</v>
      </c>
      <c r="AH41" s="44" t="n">
        <v>500</v>
      </c>
      <c r="AI41" s="44" t="n">
        <v>500</v>
      </c>
      <c r="AJ41" s="44" t="n">
        <v>500</v>
      </c>
      <c r="AK41" s="44" t="n">
        <v>500</v>
      </c>
      <c r="AL41" s="44" t="n">
        <v>500</v>
      </c>
      <c r="AM41" s="44" t="n">
        <v>500</v>
      </c>
      <c r="AN41" s="44" t="n">
        <v>500</v>
      </c>
      <c r="AO41" s="44" t="n">
        <v>500</v>
      </c>
      <c r="AP41" s="44" t="n">
        <v>500</v>
      </c>
      <c r="AQ41" s="44" t="n">
        <v>500</v>
      </c>
      <c r="AR41" s="44" t="n">
        <v>500</v>
      </c>
      <c r="AS41" s="44" t="n">
        <v>500</v>
      </c>
      <c r="AT41" s="44" t="n">
        <v>500</v>
      </c>
      <c r="AU41" s="44" t="n">
        <v>500</v>
      </c>
      <c r="AV41" s="44" t="n">
        <v>500</v>
      </c>
      <c r="AW41" s="44" t="n">
        <v>900</v>
      </c>
      <c r="AX41" s="44" t="n">
        <v>900</v>
      </c>
      <c r="AY41" s="44" t="n">
        <v>900</v>
      </c>
      <c r="AZ41" s="44" t="n">
        <v>900</v>
      </c>
      <c r="BA41" s="44" t="n">
        <v>900</v>
      </c>
      <c r="BB41" s="44" t="n">
        <v>900</v>
      </c>
      <c r="BC41" s="44" t="n">
        <v>900</v>
      </c>
      <c r="BD41" s="44" t="n">
        <v>900</v>
      </c>
      <c r="BE41" s="44" t="n">
        <v>900</v>
      </c>
      <c r="BF41" s="44" t="n">
        <v>900</v>
      </c>
      <c r="BG41" s="44" t="n">
        <v>900</v>
      </c>
      <c r="BH41" s="44" t="n">
        <v>900</v>
      </c>
      <c r="BI41" s="44" t="n">
        <v>1500</v>
      </c>
      <c r="BJ41" s="44" t="n">
        <v>1500</v>
      </c>
      <c r="BK41" s="44" t="n">
        <v>1500</v>
      </c>
      <c r="BL41" s="44" t="n">
        <v>1500</v>
      </c>
      <c r="BM41" s="44" t="n">
        <v>1500</v>
      </c>
      <c r="BN41" s="44" t="n">
        <v>1500</v>
      </c>
      <c r="BO41" s="44" t="n">
        <v>1500</v>
      </c>
      <c r="BP41" s="44" t="n">
        <v>1500</v>
      </c>
      <c r="BQ41" s="44" t="n">
        <v>1500</v>
      </c>
      <c r="BR41" s="45" t="n">
        <v>1500</v>
      </c>
      <c r="BS41" s="46" t="n">
        <v>1500</v>
      </c>
      <c r="BT41" s="46" t="n">
        <v>1500</v>
      </c>
      <c r="BU41" s="46" t="n">
        <v>1500</v>
      </c>
      <c r="BV41" s="46" t="n">
        <v>1500</v>
      </c>
      <c r="BW41" s="46" t="n">
        <v>1500</v>
      </c>
      <c r="BX41" s="46" t="n">
        <v>1500</v>
      </c>
      <c r="BY41" s="46" t="n">
        <v>1500</v>
      </c>
      <c r="BZ41" s="46" t="n">
        <v>1500</v>
      </c>
      <c r="EX41" s="47" t="n">
        <v>0</v>
      </c>
      <c r="EY41" s="47" t="n">
        <v>0</v>
      </c>
      <c r="EZ41" s="47" t="n">
        <v>0</v>
      </c>
      <c r="FA41" s="47" t="n">
        <v>0</v>
      </c>
      <c r="FB41" s="47" t="n">
        <v>0</v>
      </c>
      <c r="FC41" s="47" t="n">
        <v>0</v>
      </c>
      <c r="FD41" s="47" t="n">
        <v>0</v>
      </c>
      <c r="FE41" s="47" t="n">
        <v>0</v>
      </c>
      <c r="FF41" s="47" t="n">
        <v>0</v>
      </c>
      <c r="FG41" s="47" t="n">
        <v>0</v>
      </c>
      <c r="FH41" s="47" t="n">
        <v>0</v>
      </c>
      <c r="FI41" s="47" t="n">
        <v>0</v>
      </c>
      <c r="FJ41" s="47" t="n">
        <v>0</v>
      </c>
      <c r="FK41" s="47" t="n">
        <v>0</v>
      </c>
      <c r="FL41" s="47" t="n">
        <v>0</v>
      </c>
      <c r="FM41" s="47" t="n">
        <v>0</v>
      </c>
      <c r="FN41" s="47" t="n">
        <v>0</v>
      </c>
      <c r="FO41" s="47" t="n">
        <v>0</v>
      </c>
      <c r="FP41" s="47" t="n">
        <v>500</v>
      </c>
      <c r="FQ41" s="47" t="n">
        <v>500</v>
      </c>
      <c r="FR41" s="47" t="n">
        <v>500</v>
      </c>
      <c r="FS41" s="47" t="n">
        <v>500</v>
      </c>
      <c r="FT41" s="47" t="n">
        <v>500</v>
      </c>
      <c r="FU41" s="47" t="n">
        <v>500</v>
      </c>
      <c r="FV41" s="47" t="n">
        <v>500</v>
      </c>
      <c r="FW41" s="47" t="n">
        <v>500</v>
      </c>
      <c r="FX41" s="47" t="n">
        <v>500</v>
      </c>
      <c r="FY41" s="47" t="n">
        <v>500</v>
      </c>
      <c r="FZ41" s="47" t="n">
        <v>500</v>
      </c>
      <c r="GA41" s="47" t="n">
        <v>500</v>
      </c>
      <c r="GB41" s="47" t="n">
        <v>500</v>
      </c>
      <c r="GC41" s="47" t="n">
        <v>500</v>
      </c>
      <c r="GD41" s="47" t="n">
        <v>500</v>
      </c>
      <c r="GE41" s="47" t="n">
        <v>500</v>
      </c>
      <c r="GF41" s="47" t="n">
        <v>500</v>
      </c>
      <c r="GG41" s="47" t="n">
        <v>500</v>
      </c>
      <c r="GH41" s="47" t="n">
        <v>500</v>
      </c>
      <c r="GI41" s="47" t="n">
        <v>500</v>
      </c>
      <c r="GJ41" s="47" t="n">
        <v>500</v>
      </c>
      <c r="GK41" s="47" t="n">
        <v>500</v>
      </c>
      <c r="GL41" s="47" t="n">
        <v>500</v>
      </c>
      <c r="GM41" s="47" t="n">
        <v>500</v>
      </c>
      <c r="GN41" s="47" t="n">
        <v>900</v>
      </c>
      <c r="GO41" s="47" t="n">
        <v>900</v>
      </c>
      <c r="GP41" s="47" t="n">
        <v>900</v>
      </c>
      <c r="GQ41" s="47" t="n">
        <v>900</v>
      </c>
      <c r="GR41" s="47" t="n">
        <v>900</v>
      </c>
      <c r="GS41" s="47" t="n">
        <v>900</v>
      </c>
      <c r="GT41" s="47" t="n">
        <v>900</v>
      </c>
      <c r="GU41" s="47" t="n">
        <v>900</v>
      </c>
      <c r="GV41" s="47" t="n">
        <v>900</v>
      </c>
      <c r="GW41" s="47" t="n">
        <v>900</v>
      </c>
      <c r="GX41" s="47" t="n">
        <v>900</v>
      </c>
      <c r="GY41" s="47" t="n">
        <v>900</v>
      </c>
      <c r="GZ41" s="47" t="n">
        <v>1500</v>
      </c>
      <c r="HA41" s="47" t="n">
        <v>1500</v>
      </c>
      <c r="HB41" s="47" t="n">
        <v>1500</v>
      </c>
      <c r="HC41" s="47" t="n">
        <v>1500</v>
      </c>
      <c r="HD41" s="47" t="n">
        <v>1500</v>
      </c>
      <c r="HE41" s="47" t="n">
        <v>1500</v>
      </c>
      <c r="HF41" s="47" t="n">
        <v>1500</v>
      </c>
      <c r="HG41" s="47" t="n">
        <v>1500</v>
      </c>
      <c r="HH41" s="47" t="n">
        <v>1500</v>
      </c>
      <c r="HI41" s="48" t="n">
        <v>1500</v>
      </c>
      <c r="HJ41" s="47" t="n">
        <v>1500</v>
      </c>
      <c r="HK41" s="47" t="n">
        <v>1500</v>
      </c>
      <c r="HL41" s="47" t="n">
        <v>1500</v>
      </c>
      <c r="HM41" s="47" t="n">
        <v>1500</v>
      </c>
      <c r="HN41" s="47" t="n">
        <v>1500</v>
      </c>
      <c r="HO41" s="47" t="n">
        <v>1500</v>
      </c>
      <c r="HP41" s="47" t="n">
        <v>1500</v>
      </c>
      <c r="HQ41" s="47" t="n">
        <v>1500</v>
      </c>
      <c r="HS41" s="47" t="n">
        <v>0</v>
      </c>
      <c r="HT41" s="47" t="n">
        <v>0</v>
      </c>
      <c r="HU41" s="47" t="n">
        <v>0</v>
      </c>
      <c r="HV41" s="47" t="n">
        <v>0</v>
      </c>
      <c r="HW41" s="47" t="n">
        <v>0</v>
      </c>
      <c r="HX41" s="47" t="n">
        <v>0</v>
      </c>
      <c r="HY41" s="47" t="n">
        <v>0</v>
      </c>
      <c r="HZ41" s="47" t="n">
        <v>0</v>
      </c>
      <c r="IA41" s="47" t="n">
        <v>0</v>
      </c>
      <c r="IB41" s="47" t="n">
        <v>0</v>
      </c>
      <c r="IC41" s="47" t="n">
        <v>0</v>
      </c>
      <c r="ID41" s="47" t="n">
        <v>0</v>
      </c>
      <c r="IE41" s="47" t="n">
        <v>0</v>
      </c>
      <c r="IF41" s="47" t="n">
        <v>0</v>
      </c>
      <c r="IG41" s="47" t="n">
        <v>0</v>
      </c>
      <c r="IH41" s="47" t="n">
        <v>0</v>
      </c>
      <c r="II41" s="47" t="n">
        <v>0</v>
      </c>
      <c r="IJ41" s="47" t="n">
        <v>0</v>
      </c>
      <c r="IK41" s="47" t="n">
        <v>500</v>
      </c>
      <c r="IL41" s="47" t="n">
        <v>500</v>
      </c>
      <c r="IM41" s="47" t="n">
        <v>500</v>
      </c>
      <c r="IN41" s="47" t="n">
        <v>500</v>
      </c>
      <c r="IO41" s="47" t="n">
        <v>500</v>
      </c>
      <c r="IP41" s="47" t="n">
        <v>500</v>
      </c>
      <c r="IQ41" s="47" t="n">
        <v>500</v>
      </c>
      <c r="IR41" s="47" t="n">
        <v>500</v>
      </c>
      <c r="IS41" s="47" t="n">
        <v>500</v>
      </c>
      <c r="IT41" s="47" t="n">
        <v>500</v>
      </c>
      <c r="IU41" s="47" t="n">
        <v>500</v>
      </c>
      <c r="IV41" s="47" t="n">
        <v>500</v>
      </c>
      <c r="IW41" s="47" t="n">
        <v>500</v>
      </c>
      <c r="IX41" s="47" t="n">
        <v>500</v>
      </c>
      <c r="IY41" s="47" t="n">
        <v>500</v>
      </c>
      <c r="IZ41" s="47" t="n">
        <v>500</v>
      </c>
      <c r="JA41" s="47" t="n">
        <v>500</v>
      </c>
      <c r="JB41" s="47" t="n">
        <v>500</v>
      </c>
      <c r="JC41" s="47" t="n">
        <v>500</v>
      </c>
      <c r="JD41" s="47" t="n">
        <v>500</v>
      </c>
      <c r="JE41" s="47" t="n">
        <v>500</v>
      </c>
      <c r="JF41" s="47" t="n">
        <v>500</v>
      </c>
      <c r="JG41" s="47" t="n">
        <v>500</v>
      </c>
      <c r="JH41" s="47" t="n">
        <v>500</v>
      </c>
      <c r="JI41" s="47" t="n">
        <v>900</v>
      </c>
      <c r="JJ41" s="47" t="n">
        <v>900</v>
      </c>
      <c r="JK41" s="47" t="n">
        <v>900</v>
      </c>
      <c r="JL41" s="47" t="n">
        <v>900</v>
      </c>
      <c r="JM41" s="47" t="n">
        <v>900</v>
      </c>
      <c r="JN41" s="47" t="n">
        <v>900</v>
      </c>
      <c r="JO41" s="47" t="n">
        <v>900</v>
      </c>
      <c r="JP41" s="47" t="n">
        <v>900</v>
      </c>
      <c r="JQ41" s="47" t="n">
        <v>900</v>
      </c>
      <c r="JR41" s="47" t="n">
        <v>900</v>
      </c>
      <c r="JS41" s="47" t="n">
        <v>900</v>
      </c>
      <c r="JT41" s="47" t="n">
        <v>900</v>
      </c>
      <c r="JU41" s="47" t="n">
        <v>1500</v>
      </c>
      <c r="JV41" s="47" t="n">
        <v>1500</v>
      </c>
      <c r="JW41" s="47" t="n">
        <v>1500</v>
      </c>
      <c r="JX41" s="47" t="n">
        <v>1500</v>
      </c>
      <c r="JY41" s="47" t="n">
        <v>1500</v>
      </c>
      <c r="JZ41" s="47" t="n">
        <v>1500</v>
      </c>
      <c r="KA41" s="47" t="n">
        <v>1500</v>
      </c>
      <c r="KB41" s="47" t="n">
        <v>1500</v>
      </c>
      <c r="KC41" s="47" t="n">
        <v>1500</v>
      </c>
      <c r="KD41" s="48" t="n">
        <v>1500</v>
      </c>
      <c r="KE41" s="47" t="n">
        <v>1500</v>
      </c>
      <c r="KF41" s="47" t="n">
        <v>1500</v>
      </c>
      <c r="KG41" s="47" t="n">
        <v>1500</v>
      </c>
      <c r="KH41" s="47" t="n">
        <v>1500</v>
      </c>
      <c r="KI41" s="47" t="n">
        <v>1500</v>
      </c>
      <c r="KJ41" s="47" t="n">
        <v>1500</v>
      </c>
      <c r="KK41" s="47" t="n">
        <v>1500</v>
      </c>
      <c r="KL41" s="47" t="n">
        <v>1500</v>
      </c>
    </row>
    <row r="42" customFormat="false" ht="15.75" hidden="false" customHeight="true" outlineLevel="0" collapsed="false">
      <c r="A42" s="35" t="s">
        <v>244</v>
      </c>
      <c r="B42" s="35" t="s">
        <v>245</v>
      </c>
      <c r="C42" s="35" t="s">
        <v>164</v>
      </c>
      <c r="D42" s="35" t="s">
        <v>165</v>
      </c>
      <c r="E42" s="35" t="s">
        <v>166</v>
      </c>
      <c r="S42" s="44" t="n">
        <v>0</v>
      </c>
      <c r="T42" s="44" t="n">
        <v>0</v>
      </c>
      <c r="U42" s="44" t="n">
        <v>0</v>
      </c>
      <c r="V42" s="44" t="n">
        <v>0</v>
      </c>
      <c r="W42" s="44" t="n">
        <v>0</v>
      </c>
      <c r="X42" s="44" t="n">
        <v>0</v>
      </c>
      <c r="Y42" s="44" t="n">
        <v>0</v>
      </c>
      <c r="Z42" s="44" t="n">
        <v>0</v>
      </c>
      <c r="AA42" s="44" t="n">
        <v>0</v>
      </c>
      <c r="AB42" s="44" t="n">
        <v>0</v>
      </c>
      <c r="AC42" s="44" t="n">
        <v>0</v>
      </c>
      <c r="AD42" s="44" t="n">
        <v>0</v>
      </c>
      <c r="AE42" s="44" t="n">
        <v>0</v>
      </c>
      <c r="AF42" s="44" t="n">
        <v>0</v>
      </c>
      <c r="AG42" s="44" t="n">
        <v>0</v>
      </c>
      <c r="AH42" s="44" t="n">
        <v>0</v>
      </c>
      <c r="AI42" s="44" t="n">
        <v>0</v>
      </c>
      <c r="AJ42" s="44" t="n">
        <v>0</v>
      </c>
      <c r="AK42" s="44" t="n">
        <v>0</v>
      </c>
      <c r="AL42" s="44" t="n">
        <v>0</v>
      </c>
      <c r="AM42" s="44" t="n">
        <v>0</v>
      </c>
      <c r="AN42" s="44" t="n">
        <v>0</v>
      </c>
      <c r="AO42" s="44" t="n">
        <v>0</v>
      </c>
      <c r="AP42" s="44" t="n">
        <v>0</v>
      </c>
      <c r="AQ42" s="44" t="n">
        <v>0</v>
      </c>
      <c r="AR42" s="44" t="n">
        <v>0</v>
      </c>
      <c r="AS42" s="44" t="n">
        <v>0</v>
      </c>
      <c r="AT42" s="44" t="n">
        <v>0</v>
      </c>
      <c r="AU42" s="44" t="n">
        <v>0</v>
      </c>
      <c r="AV42" s="44" t="n">
        <v>0</v>
      </c>
      <c r="AW42" s="44" t="n">
        <v>0</v>
      </c>
      <c r="AX42" s="44" t="n">
        <v>0</v>
      </c>
      <c r="AY42" s="44" t="n">
        <v>0</v>
      </c>
      <c r="AZ42" s="44" t="n">
        <v>0</v>
      </c>
      <c r="BA42" s="44" t="n">
        <v>0</v>
      </c>
      <c r="BB42" s="44" t="n">
        <v>144.444166666667</v>
      </c>
      <c r="BC42" s="44" t="n">
        <v>144.444166666667</v>
      </c>
      <c r="BD42" s="44" t="n">
        <v>144.444166666667</v>
      </c>
      <c r="BE42" s="44" t="n">
        <v>144.444166666667</v>
      </c>
      <c r="BF42" s="44" t="n">
        <v>144.444166666667</v>
      </c>
      <c r="BG42" s="44" t="n">
        <v>144.444166666667</v>
      </c>
      <c r="BH42" s="44" t="n">
        <v>144.444166666667</v>
      </c>
      <c r="BI42" s="44" t="n">
        <v>144.444166666667</v>
      </c>
      <c r="BJ42" s="44" t="n">
        <v>144.444166666667</v>
      </c>
      <c r="BK42" s="44" t="n">
        <v>144.444166666667</v>
      </c>
      <c r="BL42" s="44" t="n">
        <v>144.444166666667</v>
      </c>
      <c r="BM42" s="44" t="n">
        <v>144.444166666667</v>
      </c>
      <c r="BN42" s="44" t="n">
        <v>122.2225</v>
      </c>
      <c r="BO42" s="44" t="n">
        <v>122.2225</v>
      </c>
      <c r="BP42" s="44" t="n">
        <v>122.2225</v>
      </c>
      <c r="BQ42" s="44" t="n">
        <v>122.2225</v>
      </c>
      <c r="BR42" s="45" t="n">
        <v>122.2225</v>
      </c>
      <c r="BS42" s="46" t="n">
        <v>122.2225</v>
      </c>
      <c r="BT42" s="46" t="n">
        <v>122.2225</v>
      </c>
      <c r="BU42" s="46" t="n">
        <v>122.2225</v>
      </c>
      <c r="BV42" s="46" t="n">
        <v>122.2225</v>
      </c>
      <c r="BW42" s="46" t="n">
        <v>122.2225</v>
      </c>
      <c r="BX42" s="46" t="n">
        <v>122.2225</v>
      </c>
      <c r="BY42" s="46" t="n">
        <v>122.2225</v>
      </c>
      <c r="BZ42" s="46" t="n">
        <v>122.2225</v>
      </c>
      <c r="EX42" s="47" t="n">
        <v>0</v>
      </c>
      <c r="EY42" s="47" t="n">
        <v>0</v>
      </c>
      <c r="EZ42" s="47" t="n">
        <v>0</v>
      </c>
      <c r="FA42" s="47" t="n">
        <v>0</v>
      </c>
      <c r="FB42" s="47" t="n">
        <v>0</v>
      </c>
      <c r="FC42" s="47" t="n">
        <v>0</v>
      </c>
      <c r="FD42" s="47" t="n">
        <v>0</v>
      </c>
      <c r="FE42" s="47" t="n">
        <v>0</v>
      </c>
      <c r="FF42" s="47" t="n">
        <v>0</v>
      </c>
      <c r="FG42" s="47" t="n">
        <v>0</v>
      </c>
      <c r="FH42" s="47" t="n">
        <v>0</v>
      </c>
      <c r="FI42" s="47" t="n">
        <v>0</v>
      </c>
      <c r="FJ42" s="47" t="n">
        <v>0</v>
      </c>
      <c r="FK42" s="47" t="n">
        <v>0</v>
      </c>
      <c r="FL42" s="47" t="n">
        <v>0</v>
      </c>
      <c r="FM42" s="47" t="n">
        <v>0</v>
      </c>
      <c r="FN42" s="47" t="n">
        <v>0</v>
      </c>
      <c r="FO42" s="47" t="n">
        <v>0</v>
      </c>
      <c r="FP42" s="47" t="n">
        <v>0</v>
      </c>
      <c r="FQ42" s="47" t="n">
        <v>0</v>
      </c>
      <c r="FR42" s="47" t="n">
        <v>0</v>
      </c>
      <c r="FS42" s="47" t="n">
        <v>0</v>
      </c>
      <c r="FT42" s="47" t="n">
        <v>0</v>
      </c>
      <c r="FU42" s="47" t="n">
        <v>0</v>
      </c>
      <c r="FV42" s="47" t="n">
        <v>0</v>
      </c>
      <c r="FW42" s="47" t="n">
        <v>0</v>
      </c>
      <c r="FX42" s="47" t="n">
        <v>0</v>
      </c>
      <c r="FY42" s="47" t="n">
        <v>0</v>
      </c>
      <c r="FZ42" s="47" t="n">
        <v>0</v>
      </c>
      <c r="GA42" s="47" t="n">
        <v>0</v>
      </c>
      <c r="GB42" s="47" t="n">
        <v>0</v>
      </c>
      <c r="GC42" s="47" t="n">
        <v>0</v>
      </c>
      <c r="GD42" s="47" t="n">
        <v>0</v>
      </c>
      <c r="GE42" s="47" t="n">
        <v>0</v>
      </c>
      <c r="GF42" s="47" t="n">
        <v>0</v>
      </c>
      <c r="GG42" s="47" t="n">
        <v>0</v>
      </c>
      <c r="GH42" s="47" t="n">
        <v>0</v>
      </c>
      <c r="GI42" s="47" t="n">
        <v>0</v>
      </c>
      <c r="GJ42" s="47" t="n">
        <v>0</v>
      </c>
      <c r="GK42" s="47" t="n">
        <v>0</v>
      </c>
      <c r="GL42" s="47" t="n">
        <v>0</v>
      </c>
      <c r="GM42" s="47" t="n">
        <v>0</v>
      </c>
      <c r="GN42" s="47" t="n">
        <v>0</v>
      </c>
      <c r="GO42" s="47" t="n">
        <v>0</v>
      </c>
      <c r="GP42" s="47" t="n">
        <v>0</v>
      </c>
      <c r="GQ42" s="47" t="n">
        <v>0</v>
      </c>
      <c r="GR42" s="47" t="n">
        <v>0</v>
      </c>
      <c r="GS42" s="47" t="n">
        <v>144.444166666667</v>
      </c>
      <c r="GT42" s="47" t="n">
        <v>144.444166666667</v>
      </c>
      <c r="GU42" s="47" t="n">
        <v>144.444166666667</v>
      </c>
      <c r="GV42" s="47" t="n">
        <v>144.444166666667</v>
      </c>
      <c r="GW42" s="47" t="n">
        <v>144.444166666667</v>
      </c>
      <c r="GX42" s="47" t="n">
        <v>144.444166666667</v>
      </c>
      <c r="GY42" s="47" t="n">
        <v>144.444166666667</v>
      </c>
      <c r="GZ42" s="47" t="n">
        <v>144.444166666667</v>
      </c>
      <c r="HA42" s="47" t="n">
        <v>144.444166666667</v>
      </c>
      <c r="HB42" s="47" t="n">
        <v>144.444166666667</v>
      </c>
      <c r="HC42" s="47" t="n">
        <v>144.444166666667</v>
      </c>
      <c r="HD42" s="47" t="n">
        <v>144.444166666667</v>
      </c>
      <c r="HE42" s="47" t="n">
        <v>122.2225</v>
      </c>
      <c r="HF42" s="47" t="n">
        <v>122.2225</v>
      </c>
      <c r="HG42" s="47" t="n">
        <v>122.2225</v>
      </c>
      <c r="HH42" s="47" t="n">
        <v>122.2225</v>
      </c>
      <c r="HI42" s="48" t="n">
        <v>122.2225</v>
      </c>
      <c r="HJ42" s="47" t="n">
        <v>122.2225</v>
      </c>
      <c r="HK42" s="47" t="n">
        <v>122.2225</v>
      </c>
      <c r="HL42" s="47" t="n">
        <v>122.2225</v>
      </c>
      <c r="HM42" s="47" t="n">
        <v>122.2225</v>
      </c>
      <c r="HN42" s="47" t="n">
        <v>122.2225</v>
      </c>
      <c r="HO42" s="47" t="n">
        <v>122.2225</v>
      </c>
      <c r="HP42" s="47" t="n">
        <v>122.2225</v>
      </c>
      <c r="HQ42" s="47" t="n">
        <v>122.2225</v>
      </c>
      <c r="HS42" s="47" t="n">
        <v>0</v>
      </c>
      <c r="HT42" s="47" t="n">
        <v>0</v>
      </c>
      <c r="HU42" s="47" t="n">
        <v>0</v>
      </c>
      <c r="HV42" s="47" t="n">
        <v>0</v>
      </c>
      <c r="HW42" s="47" t="n">
        <v>0</v>
      </c>
      <c r="HX42" s="47" t="n">
        <v>0</v>
      </c>
      <c r="HY42" s="47" t="n">
        <v>0</v>
      </c>
      <c r="HZ42" s="47" t="n">
        <v>0</v>
      </c>
      <c r="IA42" s="47" t="n">
        <v>0</v>
      </c>
      <c r="IB42" s="47" t="n">
        <v>0</v>
      </c>
      <c r="IC42" s="47" t="n">
        <v>0</v>
      </c>
      <c r="ID42" s="47" t="n">
        <v>0</v>
      </c>
      <c r="IE42" s="47" t="n">
        <v>0</v>
      </c>
      <c r="IF42" s="47" t="n">
        <v>0</v>
      </c>
      <c r="IG42" s="47" t="n">
        <v>0</v>
      </c>
      <c r="IH42" s="47" t="n">
        <v>0</v>
      </c>
      <c r="II42" s="47" t="n">
        <v>0</v>
      </c>
      <c r="IJ42" s="47" t="n">
        <v>0</v>
      </c>
      <c r="IK42" s="47" t="n">
        <v>0</v>
      </c>
      <c r="IL42" s="47" t="n">
        <v>0</v>
      </c>
      <c r="IM42" s="47" t="n">
        <v>0</v>
      </c>
      <c r="IN42" s="47" t="n">
        <v>0</v>
      </c>
      <c r="IO42" s="47" t="n">
        <v>0</v>
      </c>
      <c r="IP42" s="47" t="n">
        <v>0</v>
      </c>
      <c r="IQ42" s="47" t="n">
        <v>0</v>
      </c>
      <c r="IR42" s="47" t="n">
        <v>0</v>
      </c>
      <c r="IS42" s="47" t="n">
        <v>0</v>
      </c>
      <c r="IT42" s="47" t="n">
        <v>0</v>
      </c>
      <c r="IU42" s="47" t="n">
        <v>0</v>
      </c>
      <c r="IV42" s="47" t="n">
        <v>0</v>
      </c>
      <c r="IW42" s="47" t="n">
        <v>0</v>
      </c>
      <c r="IX42" s="47" t="n">
        <v>0</v>
      </c>
      <c r="IY42" s="47" t="n">
        <v>0</v>
      </c>
      <c r="IZ42" s="47" t="n">
        <v>0</v>
      </c>
      <c r="JA42" s="47" t="n">
        <v>0</v>
      </c>
      <c r="JB42" s="47" t="n">
        <v>0</v>
      </c>
      <c r="JC42" s="47" t="n">
        <v>0</v>
      </c>
      <c r="JD42" s="47" t="n">
        <v>0</v>
      </c>
      <c r="JE42" s="47" t="n">
        <v>0</v>
      </c>
      <c r="JF42" s="47" t="n">
        <v>0</v>
      </c>
      <c r="JG42" s="47" t="n">
        <v>0</v>
      </c>
      <c r="JH42" s="47" t="n">
        <v>0</v>
      </c>
      <c r="JI42" s="47" t="n">
        <v>0</v>
      </c>
      <c r="JJ42" s="47" t="n">
        <v>0</v>
      </c>
      <c r="JK42" s="47" t="n">
        <v>0</v>
      </c>
      <c r="JL42" s="47" t="n">
        <v>0</v>
      </c>
      <c r="JM42" s="47" t="n">
        <v>0</v>
      </c>
      <c r="JN42" s="47" t="n">
        <v>144.444166666667</v>
      </c>
      <c r="JO42" s="47" t="n">
        <v>144.444166666667</v>
      </c>
      <c r="JP42" s="47" t="n">
        <v>144.444166666667</v>
      </c>
      <c r="JQ42" s="47" t="n">
        <v>144.444166666667</v>
      </c>
      <c r="JR42" s="47" t="n">
        <v>144.444166666667</v>
      </c>
      <c r="JS42" s="47" t="n">
        <v>144.444166666667</v>
      </c>
      <c r="JT42" s="47" t="n">
        <v>144.444166666667</v>
      </c>
      <c r="JU42" s="47" t="n">
        <v>144.444166666667</v>
      </c>
      <c r="JV42" s="47" t="n">
        <v>144.444166666667</v>
      </c>
      <c r="JW42" s="47" t="n">
        <v>144.444166666667</v>
      </c>
      <c r="JX42" s="47" t="n">
        <v>144.444166666667</v>
      </c>
      <c r="JY42" s="47" t="n">
        <v>144.444166666667</v>
      </c>
      <c r="JZ42" s="47" t="n">
        <v>122.2225</v>
      </c>
      <c r="KA42" s="47" t="n">
        <v>122.2225</v>
      </c>
      <c r="KB42" s="47" t="n">
        <v>122.2225</v>
      </c>
      <c r="KC42" s="47" t="n">
        <v>122.2225</v>
      </c>
      <c r="KD42" s="48" t="n">
        <v>122.2225</v>
      </c>
      <c r="KE42" s="47" t="n">
        <v>122.2225</v>
      </c>
      <c r="KF42" s="47" t="n">
        <v>122.2225</v>
      </c>
      <c r="KG42" s="47" t="n">
        <v>122.2225</v>
      </c>
      <c r="KH42" s="47" t="n">
        <v>122.2225</v>
      </c>
      <c r="KI42" s="47" t="n">
        <v>122.2225</v>
      </c>
      <c r="KJ42" s="47" t="n">
        <v>122.2225</v>
      </c>
      <c r="KK42" s="47" t="n">
        <v>122.2225</v>
      </c>
      <c r="KL42" s="47" t="n">
        <v>122.2225</v>
      </c>
    </row>
    <row r="43" customFormat="false" ht="15.75" hidden="false" customHeight="true" outlineLevel="0" collapsed="false">
      <c r="A43" s="35" t="s">
        <v>246</v>
      </c>
      <c r="B43" s="35" t="s">
        <v>247</v>
      </c>
      <c r="C43" s="35" t="s">
        <v>164</v>
      </c>
      <c r="D43" s="35" t="s">
        <v>165</v>
      </c>
      <c r="E43" s="35" t="s">
        <v>174</v>
      </c>
      <c r="G43" s="44" t="n">
        <v>0</v>
      </c>
      <c r="H43" s="44" t="n">
        <v>0</v>
      </c>
      <c r="I43" s="44" t="n">
        <v>0</v>
      </c>
      <c r="J43" s="44" t="n">
        <v>0</v>
      </c>
      <c r="K43" s="44" t="n">
        <v>0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0</v>
      </c>
      <c r="Q43" s="44" t="n">
        <v>0</v>
      </c>
      <c r="R43" s="44" t="n">
        <v>0</v>
      </c>
      <c r="S43" s="44" t="n">
        <v>0</v>
      </c>
      <c r="T43" s="44" t="n">
        <v>0</v>
      </c>
      <c r="U43" s="44" t="n">
        <v>0</v>
      </c>
      <c r="V43" s="44" t="n">
        <v>0</v>
      </c>
      <c r="W43" s="44" t="n">
        <v>0</v>
      </c>
      <c r="X43" s="44" t="n">
        <v>0</v>
      </c>
      <c r="Y43" s="44" t="n">
        <v>0</v>
      </c>
      <c r="Z43" s="44" t="n">
        <v>0</v>
      </c>
      <c r="AA43" s="44" t="n">
        <v>0</v>
      </c>
      <c r="AB43" s="44" t="n">
        <v>0</v>
      </c>
      <c r="AC43" s="44" t="n">
        <v>0</v>
      </c>
      <c r="AD43" s="44" t="n">
        <v>0</v>
      </c>
      <c r="AE43" s="44" t="n">
        <v>0</v>
      </c>
      <c r="AF43" s="44" t="n">
        <v>0</v>
      </c>
      <c r="AG43" s="44" t="n">
        <v>0</v>
      </c>
      <c r="AH43" s="44" t="n">
        <v>0</v>
      </c>
      <c r="AI43" s="44" t="n">
        <v>0</v>
      </c>
      <c r="AJ43" s="44" t="n">
        <v>0</v>
      </c>
      <c r="AK43" s="44" t="n">
        <v>0</v>
      </c>
      <c r="AL43" s="44" t="n">
        <v>1077.7775</v>
      </c>
      <c r="AM43" s="44" t="n">
        <v>1077.7775</v>
      </c>
      <c r="AN43" s="44" t="n">
        <v>1077.7775</v>
      </c>
      <c r="AO43" s="44" t="n">
        <v>1077.7775</v>
      </c>
      <c r="AP43" s="44" t="n">
        <v>1077.7775</v>
      </c>
      <c r="AQ43" s="44" t="n">
        <v>1077.7775</v>
      </c>
      <c r="AR43" s="44" t="n">
        <v>1077.7775</v>
      </c>
      <c r="AS43" s="44" t="n">
        <v>1077.7775</v>
      </c>
      <c r="AT43" s="44" t="n">
        <v>1077.7775</v>
      </c>
      <c r="AU43" s="44" t="n">
        <v>1077.7775</v>
      </c>
      <c r="AV43" s="44" t="n">
        <v>1077.7775</v>
      </c>
      <c r="AW43" s="44" t="n">
        <v>1077.7775</v>
      </c>
      <c r="AX43" s="44" t="n">
        <v>1333.33333333333</v>
      </c>
      <c r="AY43" s="44" t="n">
        <v>1333.33333333333</v>
      </c>
      <c r="AZ43" s="44" t="n">
        <v>1333.33333333333</v>
      </c>
      <c r="BA43" s="44" t="n">
        <v>1333.33333333333</v>
      </c>
      <c r="BB43" s="44" t="n">
        <v>1333.33333333333</v>
      </c>
      <c r="BC43" s="44" t="n">
        <v>1333.33333333333</v>
      </c>
      <c r="BD43" s="44" t="n">
        <v>1333.33333333333</v>
      </c>
      <c r="BE43" s="44" t="n">
        <v>1333.33333333333</v>
      </c>
      <c r="BF43" s="44" t="n">
        <v>1333.33333333333</v>
      </c>
      <c r="BG43" s="44" t="n">
        <v>1333.33333333333</v>
      </c>
      <c r="BH43" s="44" t="n">
        <v>1333.33333333333</v>
      </c>
      <c r="BI43" s="44" t="n">
        <v>1333.33333333333</v>
      </c>
      <c r="BJ43" s="44" t="n">
        <v>1266.66666666667</v>
      </c>
      <c r="BK43" s="44" t="n">
        <v>1266.66666666667</v>
      </c>
      <c r="BL43" s="44" t="n">
        <v>1266.66666666667</v>
      </c>
      <c r="BM43" s="44" t="n">
        <v>1266.66666666667</v>
      </c>
      <c r="BN43" s="44" t="n">
        <v>1266.66666666667</v>
      </c>
      <c r="BO43" s="44" t="n">
        <v>1266.66666666667</v>
      </c>
      <c r="BP43" s="44" t="n">
        <v>1266.66666666667</v>
      </c>
      <c r="BQ43" s="44" t="n">
        <v>1266.66666666667</v>
      </c>
      <c r="BR43" s="45" t="n">
        <v>1266.66666666667</v>
      </c>
      <c r="BS43" s="46" t="n">
        <v>1266.66666666667</v>
      </c>
      <c r="BT43" s="46" t="n">
        <v>1266.66666666667</v>
      </c>
      <c r="BU43" s="46" t="n">
        <v>1266.66666666667</v>
      </c>
      <c r="BV43" s="46" t="n">
        <v>1266.66666666667</v>
      </c>
      <c r="BW43" s="46" t="n">
        <v>1266.66666666667</v>
      </c>
      <c r="BX43" s="46" t="n">
        <v>1266.66666666667</v>
      </c>
      <c r="BY43" s="46" t="n">
        <v>1266.66666666667</v>
      </c>
      <c r="BZ43" s="46" t="n">
        <v>1266.66666666667</v>
      </c>
      <c r="EX43" s="47" t="n">
        <v>0</v>
      </c>
      <c r="EY43" s="47" t="n">
        <v>0</v>
      </c>
      <c r="EZ43" s="47" t="n">
        <v>0</v>
      </c>
      <c r="FA43" s="47" t="n">
        <v>0</v>
      </c>
      <c r="FB43" s="47" t="n">
        <v>0</v>
      </c>
      <c r="FC43" s="47" t="n">
        <v>0</v>
      </c>
      <c r="FD43" s="47" t="n">
        <v>0</v>
      </c>
      <c r="FE43" s="47" t="n">
        <v>0</v>
      </c>
      <c r="FF43" s="47" t="n">
        <v>0</v>
      </c>
      <c r="FG43" s="47" t="n">
        <v>0</v>
      </c>
      <c r="FH43" s="47" t="n">
        <v>0</v>
      </c>
      <c r="FI43" s="47" t="n">
        <v>0</v>
      </c>
      <c r="FJ43" s="47" t="n">
        <v>0</v>
      </c>
      <c r="FK43" s="47" t="n">
        <v>0</v>
      </c>
      <c r="FL43" s="47" t="n">
        <v>0</v>
      </c>
      <c r="FM43" s="47" t="n">
        <v>0</v>
      </c>
      <c r="FN43" s="47" t="n">
        <v>0</v>
      </c>
      <c r="FO43" s="47" t="n">
        <v>0</v>
      </c>
      <c r="FP43" s="47" t="n">
        <v>0</v>
      </c>
      <c r="FQ43" s="47" t="n">
        <v>0</v>
      </c>
      <c r="FR43" s="47" t="n">
        <v>0</v>
      </c>
      <c r="FS43" s="47" t="n">
        <v>0</v>
      </c>
      <c r="FT43" s="47" t="n">
        <v>0</v>
      </c>
      <c r="FU43" s="47" t="n">
        <v>0</v>
      </c>
      <c r="FV43" s="47" t="n">
        <v>0</v>
      </c>
      <c r="FW43" s="47" t="n">
        <v>0</v>
      </c>
      <c r="FX43" s="47" t="n">
        <v>0</v>
      </c>
      <c r="FY43" s="47" t="n">
        <v>0</v>
      </c>
      <c r="FZ43" s="47" t="n">
        <v>0</v>
      </c>
      <c r="GA43" s="47" t="n">
        <v>0</v>
      </c>
      <c r="GB43" s="47" t="n">
        <v>0</v>
      </c>
      <c r="GC43" s="47" t="n">
        <v>1077.7775</v>
      </c>
      <c r="GD43" s="47" t="n">
        <v>1077.7775</v>
      </c>
      <c r="GE43" s="47" t="n">
        <v>1077.7775</v>
      </c>
      <c r="GF43" s="47" t="n">
        <v>1077.7775</v>
      </c>
      <c r="GG43" s="47" t="n">
        <v>1077.7775</v>
      </c>
      <c r="GH43" s="47" t="n">
        <v>1077.7775</v>
      </c>
      <c r="GI43" s="47" t="n">
        <v>1077.7775</v>
      </c>
      <c r="GJ43" s="47" t="n">
        <v>1077.7775</v>
      </c>
      <c r="GK43" s="47" t="n">
        <v>1077.7775</v>
      </c>
      <c r="GL43" s="47" t="n">
        <v>1077.7775</v>
      </c>
      <c r="GM43" s="47" t="n">
        <v>1077.7775</v>
      </c>
      <c r="GN43" s="47" t="n">
        <v>1077.7775</v>
      </c>
      <c r="GO43" s="47" t="n">
        <v>1333.33333333333</v>
      </c>
      <c r="GP43" s="47" t="n">
        <v>1333.33333333333</v>
      </c>
      <c r="GQ43" s="47" t="n">
        <v>1333.33333333333</v>
      </c>
      <c r="GR43" s="47" t="n">
        <v>1333.33333333333</v>
      </c>
      <c r="GS43" s="47" t="n">
        <v>1333.33333333333</v>
      </c>
      <c r="GT43" s="47" t="n">
        <v>1333.33333333333</v>
      </c>
      <c r="GU43" s="47" t="n">
        <v>1333.33333333333</v>
      </c>
      <c r="GV43" s="47" t="n">
        <v>1333.33333333333</v>
      </c>
      <c r="GW43" s="47" t="n">
        <v>1333.33333333333</v>
      </c>
      <c r="GX43" s="47" t="n">
        <v>1333.33333333333</v>
      </c>
      <c r="GY43" s="47" t="n">
        <v>1333.33333333333</v>
      </c>
      <c r="GZ43" s="47" t="n">
        <v>1333.33333333333</v>
      </c>
      <c r="HA43" s="47" t="n">
        <v>1266.66666666667</v>
      </c>
      <c r="HB43" s="47" t="n">
        <v>1266.66666666667</v>
      </c>
      <c r="HC43" s="47" t="n">
        <v>1266.66666666667</v>
      </c>
      <c r="HD43" s="47" t="n">
        <v>1266.66666666667</v>
      </c>
      <c r="HE43" s="47" t="n">
        <v>1266.66666666667</v>
      </c>
      <c r="HF43" s="47" t="n">
        <v>1266.66666666667</v>
      </c>
      <c r="HG43" s="47" t="n">
        <v>1266.66666666667</v>
      </c>
      <c r="HH43" s="47" t="n">
        <v>1266.66666666667</v>
      </c>
      <c r="HI43" s="48" t="n">
        <v>1266.66666666667</v>
      </c>
      <c r="HJ43" s="47" t="n">
        <v>1266.66666666667</v>
      </c>
      <c r="HK43" s="47" t="n">
        <v>1266.66666666667</v>
      </c>
      <c r="HL43" s="47" t="n">
        <v>1266.66666666667</v>
      </c>
      <c r="HM43" s="47" t="n">
        <v>1266.66666666667</v>
      </c>
      <c r="HN43" s="47" t="n">
        <v>1266.66666666667</v>
      </c>
      <c r="HO43" s="47" t="n">
        <v>1266.66666666667</v>
      </c>
      <c r="HP43" s="47" t="n">
        <v>1266.66666666667</v>
      </c>
      <c r="HQ43" s="47" t="n">
        <v>1266.66666666667</v>
      </c>
      <c r="HS43" s="47" t="n">
        <v>0</v>
      </c>
      <c r="HT43" s="47" t="n">
        <v>0</v>
      </c>
      <c r="HU43" s="47" t="n">
        <v>0</v>
      </c>
      <c r="HV43" s="47" t="n">
        <v>0</v>
      </c>
      <c r="HW43" s="47" t="n">
        <v>0</v>
      </c>
      <c r="HX43" s="47" t="n">
        <v>0</v>
      </c>
      <c r="HY43" s="47" t="n">
        <v>0</v>
      </c>
      <c r="HZ43" s="47" t="n">
        <v>0</v>
      </c>
      <c r="IA43" s="47" t="n">
        <v>0</v>
      </c>
      <c r="IB43" s="47" t="n">
        <v>0</v>
      </c>
      <c r="IC43" s="47" t="n">
        <v>0</v>
      </c>
      <c r="ID43" s="47" t="n">
        <v>0</v>
      </c>
      <c r="IE43" s="47" t="n">
        <v>0</v>
      </c>
      <c r="IF43" s="47" t="n">
        <v>0</v>
      </c>
      <c r="IG43" s="47" t="n">
        <v>0</v>
      </c>
      <c r="IH43" s="47" t="n">
        <v>0</v>
      </c>
      <c r="II43" s="47" t="n">
        <v>0</v>
      </c>
      <c r="IJ43" s="47" t="n">
        <v>0</v>
      </c>
      <c r="IK43" s="47" t="n">
        <v>0</v>
      </c>
      <c r="IL43" s="47" t="n">
        <v>0</v>
      </c>
      <c r="IM43" s="47" t="n">
        <v>0</v>
      </c>
      <c r="IN43" s="47" t="n">
        <v>0</v>
      </c>
      <c r="IO43" s="47" t="n">
        <v>0</v>
      </c>
      <c r="IP43" s="47" t="n">
        <v>0</v>
      </c>
      <c r="IQ43" s="47" t="n">
        <v>0</v>
      </c>
      <c r="IR43" s="47" t="n">
        <v>0</v>
      </c>
      <c r="IS43" s="47" t="n">
        <v>0</v>
      </c>
      <c r="IT43" s="47" t="n">
        <v>0</v>
      </c>
      <c r="IU43" s="47" t="n">
        <v>0</v>
      </c>
      <c r="IV43" s="47" t="n">
        <v>0</v>
      </c>
      <c r="IW43" s="47" t="n">
        <v>0</v>
      </c>
      <c r="IX43" s="47" t="n">
        <v>1077.7775</v>
      </c>
      <c r="IY43" s="47" t="n">
        <v>1077.7775</v>
      </c>
      <c r="IZ43" s="47" t="n">
        <v>1077.7775</v>
      </c>
      <c r="JA43" s="47" t="n">
        <v>1077.7775</v>
      </c>
      <c r="JB43" s="47" t="n">
        <v>1077.7775</v>
      </c>
      <c r="JC43" s="47" t="n">
        <v>1077.7775</v>
      </c>
      <c r="JD43" s="47" t="n">
        <v>1077.7775</v>
      </c>
      <c r="JE43" s="47" t="n">
        <v>1077.7775</v>
      </c>
      <c r="JF43" s="47" t="n">
        <v>1077.7775</v>
      </c>
      <c r="JG43" s="47" t="n">
        <v>1077.7775</v>
      </c>
      <c r="JH43" s="47" t="n">
        <v>1077.7775</v>
      </c>
      <c r="JI43" s="47" t="n">
        <v>1077.7775</v>
      </c>
      <c r="JJ43" s="47" t="n">
        <v>1333.33333333333</v>
      </c>
      <c r="JK43" s="47" t="n">
        <v>1333.33333333333</v>
      </c>
      <c r="JL43" s="47" t="n">
        <v>1333.33333333333</v>
      </c>
      <c r="JM43" s="47" t="n">
        <v>1333.33333333333</v>
      </c>
      <c r="JN43" s="47" t="n">
        <v>1333.33333333333</v>
      </c>
      <c r="JO43" s="47" t="n">
        <v>1333.33333333333</v>
      </c>
      <c r="JP43" s="47" t="n">
        <v>1333.33333333333</v>
      </c>
      <c r="JQ43" s="47" t="n">
        <v>1333.33333333333</v>
      </c>
      <c r="JR43" s="47" t="n">
        <v>1333.33333333333</v>
      </c>
      <c r="JS43" s="47" t="n">
        <v>1333.33333333333</v>
      </c>
      <c r="JT43" s="47" t="n">
        <v>1333.33333333333</v>
      </c>
      <c r="JU43" s="47" t="n">
        <v>1333.33333333333</v>
      </c>
      <c r="JV43" s="47" t="n">
        <v>1266.66666666667</v>
      </c>
      <c r="JW43" s="47" t="n">
        <v>1266.66666666667</v>
      </c>
      <c r="JX43" s="47" t="n">
        <v>1266.66666666667</v>
      </c>
      <c r="JY43" s="47" t="n">
        <v>1266.66666666667</v>
      </c>
      <c r="JZ43" s="47" t="n">
        <v>1266.66666666667</v>
      </c>
      <c r="KA43" s="47" t="n">
        <v>1266.66666666667</v>
      </c>
      <c r="KB43" s="47" t="n">
        <v>1266.66666666667</v>
      </c>
      <c r="KC43" s="47" t="n">
        <v>1266.66666666667</v>
      </c>
      <c r="KD43" s="48" t="n">
        <v>1266.66666666667</v>
      </c>
      <c r="KE43" s="47" t="n">
        <v>1266.66666666667</v>
      </c>
      <c r="KF43" s="47" t="n">
        <v>1266.66666666667</v>
      </c>
      <c r="KG43" s="47" t="n">
        <v>1266.66666666667</v>
      </c>
      <c r="KH43" s="47" t="n">
        <v>1266.66666666667</v>
      </c>
      <c r="KI43" s="47" t="n">
        <v>1266.66666666667</v>
      </c>
      <c r="KJ43" s="47" t="n">
        <v>1266.66666666667</v>
      </c>
      <c r="KK43" s="47" t="n">
        <v>1266.66666666667</v>
      </c>
      <c r="KL43" s="47" t="n">
        <v>1266.66666666667</v>
      </c>
    </row>
    <row r="44" customFormat="false" ht="15.75" hidden="false" customHeight="true" outlineLevel="0" collapsed="false">
      <c r="A44" s="35" t="s">
        <v>248</v>
      </c>
      <c r="B44" s="35" t="s">
        <v>249</v>
      </c>
      <c r="C44" s="35" t="s">
        <v>164</v>
      </c>
      <c r="D44" s="35" t="s">
        <v>173</v>
      </c>
      <c r="E44" s="35" t="s">
        <v>174</v>
      </c>
      <c r="G44" s="44" t="n">
        <v>12737.9833333333</v>
      </c>
      <c r="H44" s="44" t="n">
        <v>12737.9833333333</v>
      </c>
      <c r="I44" s="44" t="n">
        <v>12737.9833333333</v>
      </c>
      <c r="J44" s="44" t="n">
        <v>12737.9833333333</v>
      </c>
      <c r="K44" s="44" t="n">
        <v>12737.9833333333</v>
      </c>
      <c r="L44" s="44" t="n">
        <v>12737.9833333333</v>
      </c>
      <c r="M44" s="44" t="n">
        <v>14875.4833333333</v>
      </c>
      <c r="N44" s="44" t="n">
        <v>14875.4833333333</v>
      </c>
      <c r="O44" s="44" t="n">
        <v>14875.4833333333</v>
      </c>
      <c r="P44" s="44" t="n">
        <v>14875.4833333333</v>
      </c>
      <c r="Q44" s="44" t="n">
        <v>14875.4833333333</v>
      </c>
      <c r="R44" s="44" t="n">
        <v>14875.4833333333</v>
      </c>
      <c r="S44" s="44" t="n">
        <v>14875.4833333333</v>
      </c>
      <c r="T44" s="44" t="n">
        <v>14875.4833333333</v>
      </c>
      <c r="U44" s="44" t="n">
        <v>14875.4833333333</v>
      </c>
      <c r="V44" s="44" t="n">
        <v>14875.4833333333</v>
      </c>
      <c r="W44" s="44" t="n">
        <v>14875.4833333333</v>
      </c>
      <c r="X44" s="44" t="n">
        <v>14875.4833333333</v>
      </c>
      <c r="Y44" s="44" t="n">
        <v>15961.9383333333</v>
      </c>
      <c r="Z44" s="44" t="n">
        <v>15961.9383333333</v>
      </c>
      <c r="AA44" s="44" t="n">
        <v>15961.9383333333</v>
      </c>
      <c r="AB44" s="44" t="n">
        <v>15961.9383333333</v>
      </c>
      <c r="AC44" s="44" t="n">
        <v>15961.9383333333</v>
      </c>
      <c r="AD44" s="44" t="n">
        <v>15961.9383333333</v>
      </c>
      <c r="AE44" s="44" t="n">
        <v>15961.9383333333</v>
      </c>
      <c r="AF44" s="44" t="n">
        <v>15961.9383333333</v>
      </c>
      <c r="AG44" s="44" t="n">
        <v>15961.9383333333</v>
      </c>
      <c r="AH44" s="44" t="n">
        <v>15961.9383333333</v>
      </c>
      <c r="AI44" s="44" t="n">
        <v>15961.9383333333</v>
      </c>
      <c r="AJ44" s="44" t="n">
        <v>15961.9383333333</v>
      </c>
      <c r="AK44" s="44" t="n">
        <v>16604.9966666667</v>
      </c>
      <c r="AL44" s="44" t="n">
        <v>16604.9966666667</v>
      </c>
      <c r="AM44" s="44" t="n">
        <v>16604.9966666667</v>
      </c>
      <c r="AN44" s="44" t="n">
        <v>16604.9966666667</v>
      </c>
      <c r="AO44" s="44" t="n">
        <v>16604.9966666667</v>
      </c>
      <c r="AP44" s="44" t="n">
        <v>16604.9966666667</v>
      </c>
      <c r="AQ44" s="44" t="n">
        <v>16604.9966666667</v>
      </c>
      <c r="AR44" s="44" t="n">
        <v>16604.9966666667</v>
      </c>
      <c r="AS44" s="44" t="n">
        <v>16604.9966666667</v>
      </c>
      <c r="AT44" s="44" t="n">
        <v>16604.9966666667</v>
      </c>
      <c r="AU44" s="44" t="n">
        <v>16604.9966666667</v>
      </c>
      <c r="AV44" s="44" t="n">
        <v>16604.9966666667</v>
      </c>
      <c r="AW44" s="44" t="n">
        <v>18485.33</v>
      </c>
      <c r="AX44" s="44" t="n">
        <v>18485.33</v>
      </c>
      <c r="AY44" s="44" t="n">
        <v>18485.33</v>
      </c>
      <c r="AZ44" s="44" t="n">
        <v>18485.33</v>
      </c>
      <c r="BA44" s="44" t="n">
        <v>18485.33</v>
      </c>
      <c r="BB44" s="44" t="n">
        <v>18485.33</v>
      </c>
      <c r="BC44" s="44" t="n">
        <v>18485.33</v>
      </c>
      <c r="BD44" s="44" t="n">
        <v>18485.33</v>
      </c>
      <c r="BE44" s="44" t="n">
        <v>18485.33</v>
      </c>
      <c r="BF44" s="44" t="n">
        <v>18485.33</v>
      </c>
      <c r="BG44" s="44" t="n">
        <v>18485.33</v>
      </c>
      <c r="BH44" s="44" t="n">
        <v>18485.33</v>
      </c>
      <c r="BI44" s="44" t="n">
        <v>20475</v>
      </c>
      <c r="BJ44" s="44" t="n">
        <v>20475</v>
      </c>
      <c r="BK44" s="44" t="n">
        <v>20475</v>
      </c>
      <c r="BL44" s="44" t="n">
        <v>20475</v>
      </c>
      <c r="BM44" s="44" t="n">
        <v>20475</v>
      </c>
      <c r="BN44" s="44" t="n">
        <v>20475</v>
      </c>
      <c r="BO44" s="44" t="n">
        <v>20475</v>
      </c>
      <c r="BP44" s="44" t="n">
        <v>20475</v>
      </c>
      <c r="BQ44" s="44" t="n">
        <v>20475</v>
      </c>
      <c r="BR44" s="45" t="n">
        <v>20475</v>
      </c>
      <c r="BS44" s="46" t="n">
        <v>20475</v>
      </c>
      <c r="BT44" s="46" t="n">
        <v>20475</v>
      </c>
      <c r="BU44" s="46" t="n">
        <v>20475</v>
      </c>
      <c r="BV44" s="46" t="n">
        <v>20475</v>
      </c>
      <c r="BW44" s="46" t="n">
        <v>20475</v>
      </c>
      <c r="BX44" s="46" t="n">
        <v>20475</v>
      </c>
      <c r="BY44" s="46" t="n">
        <v>20475</v>
      </c>
      <c r="BZ44" s="46" t="n">
        <v>20475</v>
      </c>
      <c r="EX44" s="47" t="n">
        <v>12737.9833333333</v>
      </c>
      <c r="EY44" s="47" t="n">
        <v>12737.9833333333</v>
      </c>
      <c r="EZ44" s="47" t="n">
        <v>12737.9833333333</v>
      </c>
      <c r="FA44" s="47" t="n">
        <v>12737.9833333333</v>
      </c>
      <c r="FB44" s="47" t="n">
        <v>12737.9833333333</v>
      </c>
      <c r="FC44" s="47" t="n">
        <v>12737.9833333333</v>
      </c>
      <c r="FD44" s="47" t="n">
        <v>14875.4833333333</v>
      </c>
      <c r="FE44" s="47" t="n">
        <v>14875.4833333333</v>
      </c>
      <c r="FF44" s="47" t="n">
        <v>14875.4833333333</v>
      </c>
      <c r="FG44" s="47" t="n">
        <v>14875.4833333333</v>
      </c>
      <c r="FH44" s="47" t="n">
        <v>14875.4833333333</v>
      </c>
      <c r="FI44" s="47" t="n">
        <v>14875.4833333333</v>
      </c>
      <c r="FJ44" s="47" t="n">
        <v>14875.4833333333</v>
      </c>
      <c r="FK44" s="47" t="n">
        <v>14875.4833333333</v>
      </c>
      <c r="FL44" s="47" t="n">
        <v>14875.4833333333</v>
      </c>
      <c r="FM44" s="47" t="n">
        <v>14875.4833333333</v>
      </c>
      <c r="FN44" s="47" t="n">
        <v>14875.4833333333</v>
      </c>
      <c r="FO44" s="47" t="n">
        <v>14875.4833333333</v>
      </c>
      <c r="FP44" s="47" t="n">
        <v>15961.9383333333</v>
      </c>
      <c r="FQ44" s="47" t="n">
        <v>15961.9383333333</v>
      </c>
      <c r="FR44" s="47" t="n">
        <v>15961.9383333333</v>
      </c>
      <c r="FS44" s="47" t="n">
        <v>15961.9383333333</v>
      </c>
      <c r="FT44" s="47" t="n">
        <v>15961.9383333333</v>
      </c>
      <c r="FU44" s="47" t="n">
        <v>15961.9383333333</v>
      </c>
      <c r="FV44" s="47" t="n">
        <v>15961.9383333333</v>
      </c>
      <c r="FW44" s="47" t="n">
        <v>15961.9383333333</v>
      </c>
      <c r="FX44" s="47" t="n">
        <v>15961.9383333333</v>
      </c>
      <c r="FY44" s="47" t="n">
        <v>15961.9383333333</v>
      </c>
      <c r="FZ44" s="47" t="n">
        <v>15961.9383333333</v>
      </c>
      <c r="GA44" s="47" t="n">
        <v>15961.9383333333</v>
      </c>
      <c r="GB44" s="47" t="n">
        <v>16604.9966666667</v>
      </c>
      <c r="GC44" s="47" t="n">
        <v>16604.9966666667</v>
      </c>
      <c r="GD44" s="47" t="n">
        <v>16604.9966666667</v>
      </c>
      <c r="GE44" s="47" t="n">
        <v>16604.9966666667</v>
      </c>
      <c r="GF44" s="47" t="n">
        <v>16604.9966666667</v>
      </c>
      <c r="GG44" s="47" t="n">
        <v>16604.9966666667</v>
      </c>
      <c r="GH44" s="47" t="n">
        <v>16604.9966666667</v>
      </c>
      <c r="GI44" s="47" t="n">
        <v>16604.9966666667</v>
      </c>
      <c r="GJ44" s="47" t="n">
        <v>16604.9966666667</v>
      </c>
      <c r="GK44" s="47" t="n">
        <v>16604.9966666667</v>
      </c>
      <c r="GL44" s="47" t="n">
        <v>16604.9966666667</v>
      </c>
      <c r="GM44" s="47" t="n">
        <v>16604.9966666667</v>
      </c>
      <c r="GN44" s="47" t="n">
        <v>18485.33</v>
      </c>
      <c r="GO44" s="47" t="n">
        <v>18485.33</v>
      </c>
      <c r="GP44" s="47" t="n">
        <v>18485.33</v>
      </c>
      <c r="GQ44" s="47" t="n">
        <v>18485.33</v>
      </c>
      <c r="GR44" s="47" t="n">
        <v>18485.33</v>
      </c>
      <c r="GS44" s="47" t="n">
        <v>18485.33</v>
      </c>
      <c r="GT44" s="47" t="n">
        <v>18485.33</v>
      </c>
      <c r="GU44" s="47" t="n">
        <v>18485.33</v>
      </c>
      <c r="GV44" s="47" t="n">
        <v>18485.33</v>
      </c>
      <c r="GW44" s="47" t="n">
        <v>18485.33</v>
      </c>
      <c r="GX44" s="47" t="n">
        <v>18485.33</v>
      </c>
      <c r="GY44" s="47" t="n">
        <v>18485.33</v>
      </c>
      <c r="GZ44" s="47" t="n">
        <v>20475</v>
      </c>
      <c r="HA44" s="47" t="n">
        <v>20475</v>
      </c>
      <c r="HB44" s="47" t="n">
        <v>20475</v>
      </c>
      <c r="HC44" s="47" t="n">
        <v>20475</v>
      </c>
      <c r="HD44" s="47" t="n">
        <v>20475</v>
      </c>
      <c r="HE44" s="47" t="n">
        <v>20475</v>
      </c>
      <c r="HF44" s="47" t="n">
        <v>20475</v>
      </c>
      <c r="HG44" s="47" t="n">
        <v>20475</v>
      </c>
      <c r="HH44" s="47" t="n">
        <v>20475</v>
      </c>
      <c r="HI44" s="48" t="n">
        <v>20475</v>
      </c>
      <c r="HJ44" s="47" t="n">
        <v>20475</v>
      </c>
      <c r="HK44" s="47" t="n">
        <v>20475</v>
      </c>
      <c r="HL44" s="47" t="n">
        <v>20475</v>
      </c>
      <c r="HM44" s="47" t="n">
        <v>20475</v>
      </c>
      <c r="HN44" s="47" t="n">
        <v>20475</v>
      </c>
      <c r="HO44" s="47" t="n">
        <v>20475</v>
      </c>
      <c r="HP44" s="47" t="n">
        <v>20475</v>
      </c>
      <c r="HQ44" s="47" t="n">
        <v>20475</v>
      </c>
      <c r="HS44" s="47" t="n">
        <v>12737.9833333333</v>
      </c>
      <c r="HT44" s="47" t="n">
        <v>12737.9833333333</v>
      </c>
      <c r="HU44" s="47" t="n">
        <v>12737.9833333333</v>
      </c>
      <c r="HV44" s="47" t="n">
        <v>12737.9833333333</v>
      </c>
      <c r="HW44" s="47" t="n">
        <v>12737.9833333333</v>
      </c>
      <c r="HX44" s="47" t="n">
        <v>12737.9833333333</v>
      </c>
      <c r="HY44" s="47" t="n">
        <v>14875.4833333333</v>
      </c>
      <c r="HZ44" s="47" t="n">
        <v>14875.4833333333</v>
      </c>
      <c r="IA44" s="47" t="n">
        <v>14875.4833333333</v>
      </c>
      <c r="IB44" s="47" t="n">
        <v>14875.4833333333</v>
      </c>
      <c r="IC44" s="47" t="n">
        <v>14875.4833333333</v>
      </c>
      <c r="ID44" s="47" t="n">
        <v>14875.4833333333</v>
      </c>
      <c r="IE44" s="47" t="n">
        <v>14875.4833333333</v>
      </c>
      <c r="IF44" s="47" t="n">
        <v>14875.4833333333</v>
      </c>
      <c r="IG44" s="47" t="n">
        <v>14875.4833333333</v>
      </c>
      <c r="IH44" s="47" t="n">
        <v>14875.4833333333</v>
      </c>
      <c r="II44" s="47" t="n">
        <v>14875.4833333333</v>
      </c>
      <c r="IJ44" s="47" t="n">
        <v>14875.4833333333</v>
      </c>
      <c r="IK44" s="47" t="n">
        <v>15961.9383333333</v>
      </c>
      <c r="IL44" s="47" t="n">
        <v>15961.9383333333</v>
      </c>
      <c r="IM44" s="47" t="n">
        <v>15961.9383333333</v>
      </c>
      <c r="IN44" s="47" t="n">
        <v>15961.9383333333</v>
      </c>
      <c r="IO44" s="47" t="n">
        <v>15961.9383333333</v>
      </c>
      <c r="IP44" s="47" t="n">
        <v>15961.9383333333</v>
      </c>
      <c r="IQ44" s="47" t="n">
        <v>15961.9383333333</v>
      </c>
      <c r="IR44" s="47" t="n">
        <v>15961.9383333333</v>
      </c>
      <c r="IS44" s="47" t="n">
        <v>15961.9383333333</v>
      </c>
      <c r="IT44" s="47" t="n">
        <v>15961.9383333333</v>
      </c>
      <c r="IU44" s="47" t="n">
        <v>15961.9383333333</v>
      </c>
      <c r="IV44" s="47" t="n">
        <v>15961.9383333333</v>
      </c>
      <c r="IW44" s="47" t="n">
        <v>16604.9966666667</v>
      </c>
      <c r="IX44" s="47" t="n">
        <v>16604.9966666667</v>
      </c>
      <c r="IY44" s="47" t="n">
        <v>16604.9966666667</v>
      </c>
      <c r="IZ44" s="47" t="n">
        <v>16604.9966666667</v>
      </c>
      <c r="JA44" s="47" t="n">
        <v>16604.9966666667</v>
      </c>
      <c r="JB44" s="47" t="n">
        <v>16604.9966666667</v>
      </c>
      <c r="JC44" s="47" t="n">
        <v>16604.9966666667</v>
      </c>
      <c r="JD44" s="47" t="n">
        <v>16604.9966666667</v>
      </c>
      <c r="JE44" s="47" t="n">
        <v>16604.9966666667</v>
      </c>
      <c r="JF44" s="47" t="n">
        <v>16604.9966666667</v>
      </c>
      <c r="JG44" s="47" t="n">
        <v>16604.9966666667</v>
      </c>
      <c r="JH44" s="47" t="n">
        <v>16604.9966666667</v>
      </c>
      <c r="JI44" s="47" t="n">
        <v>18485.33</v>
      </c>
      <c r="JJ44" s="47" t="n">
        <v>18485.33</v>
      </c>
      <c r="JK44" s="47" t="n">
        <v>18485.33</v>
      </c>
      <c r="JL44" s="47" t="n">
        <v>18485.33</v>
      </c>
      <c r="JM44" s="47" t="n">
        <v>18485.33</v>
      </c>
      <c r="JN44" s="47" t="n">
        <v>18485.33</v>
      </c>
      <c r="JO44" s="47" t="n">
        <v>18485.33</v>
      </c>
      <c r="JP44" s="47" t="n">
        <v>18485.33</v>
      </c>
      <c r="JQ44" s="47" t="n">
        <v>18485.33</v>
      </c>
      <c r="JR44" s="47" t="n">
        <v>18485.33</v>
      </c>
      <c r="JS44" s="47" t="n">
        <v>18485.33</v>
      </c>
      <c r="JT44" s="47" t="n">
        <v>18485.33</v>
      </c>
      <c r="JU44" s="47" t="n">
        <v>20475</v>
      </c>
      <c r="JV44" s="47" t="n">
        <v>20475</v>
      </c>
      <c r="JW44" s="47" t="n">
        <v>20475</v>
      </c>
      <c r="JX44" s="47" t="n">
        <v>20475</v>
      </c>
      <c r="JY44" s="47" t="n">
        <v>20475</v>
      </c>
      <c r="JZ44" s="47" t="n">
        <v>20475</v>
      </c>
      <c r="KA44" s="47" t="n">
        <v>20475</v>
      </c>
      <c r="KB44" s="47" t="n">
        <v>20475</v>
      </c>
      <c r="KC44" s="47" t="n">
        <v>20475</v>
      </c>
      <c r="KD44" s="48" t="n">
        <v>20475</v>
      </c>
      <c r="KE44" s="47" t="n">
        <v>20475</v>
      </c>
      <c r="KF44" s="47" t="n">
        <v>20475</v>
      </c>
      <c r="KG44" s="47" t="n">
        <v>20475</v>
      </c>
      <c r="KH44" s="47" t="n">
        <v>20475</v>
      </c>
      <c r="KI44" s="47" t="n">
        <v>20475</v>
      </c>
      <c r="KJ44" s="47" t="n">
        <v>20475</v>
      </c>
      <c r="KK44" s="47" t="n">
        <v>20475</v>
      </c>
      <c r="KL44" s="47" t="n">
        <v>20475</v>
      </c>
    </row>
    <row r="45" customFormat="false" ht="15.75" hidden="false" customHeight="true" outlineLevel="0" collapsed="false">
      <c r="A45" s="35" t="s">
        <v>250</v>
      </c>
      <c r="B45" s="35" t="s">
        <v>251</v>
      </c>
      <c r="C45" s="35" t="s">
        <v>164</v>
      </c>
      <c r="D45" s="35" t="s">
        <v>241</v>
      </c>
      <c r="E45" s="35" t="s">
        <v>174</v>
      </c>
      <c r="G45" s="44" t="n">
        <v>0</v>
      </c>
      <c r="H45" s="44" t="n">
        <v>0</v>
      </c>
      <c r="I45" s="44" t="n">
        <v>0</v>
      </c>
      <c r="J45" s="44" t="n">
        <v>0</v>
      </c>
      <c r="K45" s="44" t="n">
        <v>0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0</v>
      </c>
      <c r="Q45" s="44" t="n">
        <v>0</v>
      </c>
      <c r="R45" s="44" t="n">
        <v>0</v>
      </c>
      <c r="S45" s="44" t="n">
        <v>0</v>
      </c>
      <c r="T45" s="44" t="n">
        <v>0</v>
      </c>
      <c r="U45" s="44" t="n">
        <v>0</v>
      </c>
      <c r="V45" s="44" t="n">
        <v>0</v>
      </c>
      <c r="W45" s="44" t="n">
        <v>0</v>
      </c>
      <c r="X45" s="44" t="n">
        <v>0</v>
      </c>
      <c r="Y45" s="44" t="n">
        <v>0</v>
      </c>
      <c r="Z45" s="44" t="n">
        <v>0</v>
      </c>
      <c r="AA45" s="44" t="n">
        <v>0</v>
      </c>
      <c r="AB45" s="44" t="n">
        <v>0</v>
      </c>
      <c r="AC45" s="44" t="n">
        <v>0</v>
      </c>
      <c r="AD45" s="44" t="n">
        <v>0</v>
      </c>
      <c r="AE45" s="44" t="n">
        <v>0</v>
      </c>
      <c r="AF45" s="44" t="n">
        <v>0</v>
      </c>
      <c r="AG45" s="44" t="n">
        <v>0</v>
      </c>
      <c r="AH45" s="44" t="n">
        <v>0</v>
      </c>
      <c r="AI45" s="44" t="n">
        <v>920.834</v>
      </c>
      <c r="AJ45" s="44" t="n">
        <v>920.834</v>
      </c>
      <c r="AK45" s="44" t="n">
        <v>920.834</v>
      </c>
      <c r="AL45" s="44" t="n">
        <v>920.834</v>
      </c>
      <c r="AM45" s="44" t="n">
        <v>920.834</v>
      </c>
      <c r="AN45" s="44" t="n">
        <v>920.833333333333</v>
      </c>
      <c r="AO45" s="44" t="n">
        <v>920.833333333333</v>
      </c>
      <c r="AP45" s="44" t="n">
        <v>920.833333333333</v>
      </c>
      <c r="AQ45" s="44" t="n">
        <v>920.833333333333</v>
      </c>
      <c r="AR45" s="44" t="n">
        <v>920.833333333333</v>
      </c>
      <c r="AS45" s="44" t="n">
        <v>920.833333333333</v>
      </c>
      <c r="AT45" s="44" t="n">
        <v>920.833333333333</v>
      </c>
      <c r="AU45" s="44" t="n">
        <v>920.833333333333</v>
      </c>
      <c r="AV45" s="44" t="n">
        <v>920.833333333333</v>
      </c>
      <c r="AW45" s="44" t="n">
        <v>920.833333333333</v>
      </c>
      <c r="AX45" s="44" t="n">
        <v>1070.83333333333</v>
      </c>
      <c r="AY45" s="44" t="n">
        <v>1070.83333333333</v>
      </c>
      <c r="AZ45" s="44" t="n">
        <v>1170.83333333333</v>
      </c>
      <c r="BA45" s="44" t="n">
        <v>1170.83333333333</v>
      </c>
      <c r="BB45" s="44" t="n">
        <v>1445.83333333333</v>
      </c>
      <c r="BC45" s="44" t="n">
        <v>1445.83333333333</v>
      </c>
      <c r="BD45" s="44" t="n">
        <v>1820.83333333333</v>
      </c>
      <c r="BE45" s="44" t="n">
        <v>1820.83333333333</v>
      </c>
      <c r="BF45" s="44" t="n">
        <v>1820.83333333333</v>
      </c>
      <c r="BG45" s="44" t="n">
        <v>1850.83333333333</v>
      </c>
      <c r="BH45" s="44" t="n">
        <v>1850.83333333333</v>
      </c>
      <c r="BI45" s="44" t="n">
        <v>1850.83333333333</v>
      </c>
      <c r="BJ45" s="44" t="n">
        <v>1850.83333333333</v>
      </c>
      <c r="BK45" s="44" t="n">
        <v>1850.83333333333</v>
      </c>
      <c r="BL45" s="44" t="n">
        <v>122.666666666667</v>
      </c>
      <c r="BM45" s="44" t="n">
        <v>122.666666666667</v>
      </c>
      <c r="BN45" s="44" t="n">
        <v>122.666666666667</v>
      </c>
      <c r="BO45" s="44" t="n">
        <v>122.666666666667</v>
      </c>
      <c r="BP45" s="44" t="n">
        <v>122.666666666667</v>
      </c>
      <c r="BQ45" s="44" t="n">
        <v>122.666666666667</v>
      </c>
      <c r="BR45" s="45" t="n">
        <v>122.666666666667</v>
      </c>
      <c r="BS45" s="46" t="n">
        <v>122.666666666667</v>
      </c>
      <c r="BT45" s="46" t="n">
        <v>122.666666666667</v>
      </c>
      <c r="BU45" s="46" t="n">
        <v>122.666666666667</v>
      </c>
      <c r="BV45" s="46" t="n">
        <v>122.666666666667</v>
      </c>
      <c r="BW45" s="46" t="n">
        <v>122.666666666667</v>
      </c>
      <c r="BX45" s="46" t="n">
        <v>122.666666666667</v>
      </c>
      <c r="BY45" s="46" t="n">
        <v>122.666666666667</v>
      </c>
      <c r="BZ45" s="46" t="n">
        <v>122.666666666667</v>
      </c>
      <c r="CB45" s="52" t="s">
        <v>184</v>
      </c>
      <c r="CC45" s="50" t="n">
        <v>0</v>
      </c>
      <c r="CD45" s="50" t="n">
        <v>0</v>
      </c>
      <c r="CE45" s="50" t="n">
        <v>0</v>
      </c>
      <c r="CF45" s="50" t="n">
        <v>0</v>
      </c>
      <c r="CG45" s="50" t="n">
        <v>0</v>
      </c>
      <c r="CH45" s="50" t="n">
        <v>0</v>
      </c>
      <c r="CI45" s="50" t="n">
        <v>0</v>
      </c>
      <c r="CJ45" s="50" t="n">
        <v>0</v>
      </c>
      <c r="CK45" s="50" t="n">
        <v>0</v>
      </c>
      <c r="CL45" s="50" t="n">
        <v>0</v>
      </c>
      <c r="CM45" s="50" t="n">
        <v>0</v>
      </c>
      <c r="CN45" s="50" t="n">
        <v>0</v>
      </c>
      <c r="CO45" s="50" t="n">
        <v>0</v>
      </c>
      <c r="CP45" s="50" t="n">
        <v>0</v>
      </c>
      <c r="CQ45" s="50" t="n">
        <v>0</v>
      </c>
      <c r="CR45" s="50" t="n">
        <v>0</v>
      </c>
      <c r="CS45" s="50" t="n">
        <v>0</v>
      </c>
      <c r="CT45" s="50" t="n">
        <v>0</v>
      </c>
      <c r="CU45" s="50" t="n">
        <v>0</v>
      </c>
      <c r="CV45" s="50" t="n">
        <v>0</v>
      </c>
      <c r="CW45" s="50" t="n">
        <v>0</v>
      </c>
      <c r="CX45" s="50" t="n">
        <v>0</v>
      </c>
      <c r="CY45" s="50" t="n">
        <v>0</v>
      </c>
      <c r="CZ45" s="50" t="n">
        <v>0</v>
      </c>
      <c r="DA45" s="50" t="n">
        <v>0</v>
      </c>
      <c r="DB45" s="50" t="n">
        <v>0</v>
      </c>
      <c r="DC45" s="50" t="n">
        <v>0</v>
      </c>
      <c r="DD45" s="50" t="n">
        <v>0</v>
      </c>
      <c r="DE45" s="50" t="n">
        <v>-798.166666666667</v>
      </c>
      <c r="DF45" s="50" t="n">
        <v>-798.166666666667</v>
      </c>
      <c r="DG45" s="50" t="n">
        <v>-798.166666666667</v>
      </c>
      <c r="DH45" s="50" t="n">
        <v>-798.166666666667</v>
      </c>
      <c r="DI45" s="50" t="n">
        <v>-798.166666666667</v>
      </c>
      <c r="DJ45" s="50" t="n">
        <v>-798.166666666667</v>
      </c>
      <c r="DK45" s="50" t="n">
        <v>-798.166666666667</v>
      </c>
      <c r="DL45" s="50" t="n">
        <v>-798.166666666667</v>
      </c>
      <c r="DM45" s="50" t="n">
        <v>-798.166666666667</v>
      </c>
      <c r="DN45" s="50" t="n">
        <v>-798.166666666667</v>
      </c>
      <c r="DO45" s="50" t="n">
        <v>-798.166666666667</v>
      </c>
      <c r="DP45" s="50" t="n">
        <v>-798.166666666667</v>
      </c>
      <c r="DQ45" s="50" t="n">
        <v>-798.166666666667</v>
      </c>
      <c r="DR45" s="50" t="n">
        <v>-798.166666666667</v>
      </c>
      <c r="DS45" s="50" t="n">
        <v>-798.166666666667</v>
      </c>
      <c r="DT45" s="50" t="n">
        <v>-948.166666666667</v>
      </c>
      <c r="DU45" s="50" t="n">
        <v>-948.166666666667</v>
      </c>
      <c r="DV45" s="50" t="n">
        <v>-1048.16666666667</v>
      </c>
      <c r="DW45" s="50" t="n">
        <v>-1048.16666666667</v>
      </c>
      <c r="DX45" s="50" t="n">
        <v>-1323.16666666667</v>
      </c>
      <c r="DY45" s="50" t="n">
        <v>-1323.16666666667</v>
      </c>
      <c r="DZ45" s="50" t="n">
        <v>-1698.16666666667</v>
      </c>
      <c r="EA45" s="50" t="n">
        <v>-1698.16666666667</v>
      </c>
      <c r="EB45" s="50" t="n">
        <v>-1698.16666666667</v>
      </c>
      <c r="EC45" s="50" t="n">
        <v>-1728.16666666667</v>
      </c>
      <c r="ED45" s="50" t="n">
        <v>-1728.16666666667</v>
      </c>
      <c r="EE45" s="50" t="n">
        <v>-1728.16666666667</v>
      </c>
      <c r="EF45" s="50" t="n">
        <v>-1728.16666666667</v>
      </c>
      <c r="EG45" s="50" t="n">
        <v>-1728.16666666667</v>
      </c>
      <c r="EH45" s="50" t="n">
        <v>0</v>
      </c>
      <c r="EI45" s="50" t="n">
        <v>0</v>
      </c>
      <c r="EJ45" s="50" t="n">
        <v>0</v>
      </c>
      <c r="EK45" s="50" t="n">
        <v>0</v>
      </c>
      <c r="EL45" s="50" t="n">
        <v>0</v>
      </c>
      <c r="EM45" s="50" t="n">
        <v>0</v>
      </c>
      <c r="EN45" s="51" t="n">
        <v>0</v>
      </c>
      <c r="EO45" s="50" t="n">
        <v>0</v>
      </c>
      <c r="EP45" s="50" t="n">
        <v>0</v>
      </c>
      <c r="EQ45" s="50" t="n">
        <v>0</v>
      </c>
      <c r="ER45" s="50" t="n">
        <v>0</v>
      </c>
      <c r="ES45" s="50" t="n">
        <v>0</v>
      </c>
      <c r="ET45" s="50" t="n">
        <v>0</v>
      </c>
      <c r="EU45" s="50" t="n">
        <v>0</v>
      </c>
      <c r="EV45" s="50" t="n">
        <v>0</v>
      </c>
      <c r="EX45" s="47" t="n">
        <v>0</v>
      </c>
      <c r="EY45" s="47" t="n">
        <v>0</v>
      </c>
      <c r="EZ45" s="47" t="n">
        <v>0</v>
      </c>
      <c r="FA45" s="47" t="n">
        <v>0</v>
      </c>
      <c r="FB45" s="47" t="n">
        <v>0</v>
      </c>
      <c r="FC45" s="47" t="n">
        <v>0</v>
      </c>
      <c r="FD45" s="47" t="n">
        <v>0</v>
      </c>
      <c r="FE45" s="47" t="n">
        <v>0</v>
      </c>
      <c r="FF45" s="47" t="n">
        <v>0</v>
      </c>
      <c r="FG45" s="47" t="n">
        <v>0</v>
      </c>
      <c r="FH45" s="47" t="n">
        <v>0</v>
      </c>
      <c r="FI45" s="47" t="n">
        <v>0</v>
      </c>
      <c r="FJ45" s="47" t="n">
        <v>0</v>
      </c>
      <c r="FK45" s="47" t="n">
        <v>0</v>
      </c>
      <c r="FL45" s="47" t="n">
        <v>0</v>
      </c>
      <c r="FM45" s="47" t="n">
        <v>0</v>
      </c>
      <c r="FN45" s="47" t="n">
        <v>0</v>
      </c>
      <c r="FO45" s="47" t="n">
        <v>0</v>
      </c>
      <c r="FP45" s="47" t="n">
        <v>0</v>
      </c>
      <c r="FQ45" s="47" t="n">
        <v>0</v>
      </c>
      <c r="FR45" s="47" t="n">
        <v>0</v>
      </c>
      <c r="FS45" s="47" t="n">
        <v>0</v>
      </c>
      <c r="FT45" s="47" t="n">
        <v>0</v>
      </c>
      <c r="FU45" s="47" t="n">
        <v>0</v>
      </c>
      <c r="FV45" s="47" t="n">
        <v>0</v>
      </c>
      <c r="FW45" s="47" t="n">
        <v>0</v>
      </c>
      <c r="FX45" s="47" t="n">
        <v>0</v>
      </c>
      <c r="FY45" s="47" t="n">
        <v>0</v>
      </c>
      <c r="FZ45" s="47" t="n">
        <v>920.834</v>
      </c>
      <c r="GA45" s="47" t="n">
        <v>920.834</v>
      </c>
      <c r="GB45" s="47" t="n">
        <v>920.834</v>
      </c>
      <c r="GC45" s="47" t="n">
        <v>920.834</v>
      </c>
      <c r="GD45" s="47" t="n">
        <v>920.834</v>
      </c>
      <c r="GE45" s="47" t="n">
        <v>920.833333333333</v>
      </c>
      <c r="GF45" s="47" t="n">
        <v>920.833333333333</v>
      </c>
      <c r="GG45" s="47" t="n">
        <v>920.833333333333</v>
      </c>
      <c r="GH45" s="47" t="n">
        <v>920.833333333333</v>
      </c>
      <c r="GI45" s="47" t="n">
        <v>920.833333333333</v>
      </c>
      <c r="GJ45" s="47" t="n">
        <v>920.833333333333</v>
      </c>
      <c r="GK45" s="47" t="n">
        <v>920.833333333333</v>
      </c>
      <c r="GL45" s="47" t="n">
        <v>920.833333333333</v>
      </c>
      <c r="GM45" s="47" t="n">
        <v>920.833333333333</v>
      </c>
      <c r="GN45" s="47" t="n">
        <v>920.833333333333</v>
      </c>
      <c r="GO45" s="47" t="n">
        <v>1070.83333333333</v>
      </c>
      <c r="GP45" s="47" t="n">
        <v>1070.83333333333</v>
      </c>
      <c r="GQ45" s="47" t="n">
        <v>1170.83333333333</v>
      </c>
      <c r="GR45" s="47" t="n">
        <v>1170.83333333333</v>
      </c>
      <c r="GS45" s="47" t="n">
        <v>1445.83333333333</v>
      </c>
      <c r="GT45" s="47" t="n">
        <v>1445.83333333333</v>
      </c>
      <c r="GU45" s="47" t="n">
        <v>1820.83333333333</v>
      </c>
      <c r="GV45" s="47" t="n">
        <v>1820.83333333333</v>
      </c>
      <c r="GW45" s="47" t="n">
        <v>1820.83333333333</v>
      </c>
      <c r="GX45" s="47" t="n">
        <v>1850.83333333333</v>
      </c>
      <c r="GY45" s="47" t="n">
        <v>1850.83333333333</v>
      </c>
      <c r="GZ45" s="47" t="n">
        <v>1850.83333333333</v>
      </c>
      <c r="HA45" s="47" t="n">
        <v>1850.83333333333</v>
      </c>
      <c r="HB45" s="47" t="n">
        <v>1850.83333333333</v>
      </c>
      <c r="HC45" s="47" t="n">
        <v>122.666666666667</v>
      </c>
      <c r="HD45" s="47" t="n">
        <v>122.666666666667</v>
      </c>
      <c r="HE45" s="47" t="n">
        <v>122.666666666667</v>
      </c>
      <c r="HF45" s="47" t="n">
        <v>122.666666666667</v>
      </c>
      <c r="HG45" s="47" t="n">
        <v>122.666666666667</v>
      </c>
      <c r="HH45" s="47" t="n">
        <v>122.666666666667</v>
      </c>
      <c r="HI45" s="48" t="n">
        <v>122.666666666667</v>
      </c>
      <c r="HJ45" s="47" t="n">
        <v>122.666666666667</v>
      </c>
      <c r="HK45" s="47" t="n">
        <v>122.666666666667</v>
      </c>
      <c r="HL45" s="47" t="n">
        <v>122.666666666667</v>
      </c>
      <c r="HM45" s="47" t="n">
        <v>122.666666666667</v>
      </c>
      <c r="HN45" s="47" t="n">
        <v>122.666666666667</v>
      </c>
      <c r="HO45" s="47" t="n">
        <v>122.666666666667</v>
      </c>
      <c r="HP45" s="47" t="n">
        <v>122.666666666667</v>
      </c>
      <c r="HQ45" s="47" t="n">
        <v>122.666666666667</v>
      </c>
      <c r="HS45" s="47" t="n">
        <v>0</v>
      </c>
      <c r="HT45" s="47" t="n">
        <v>0</v>
      </c>
      <c r="HU45" s="47" t="n">
        <v>0</v>
      </c>
      <c r="HV45" s="47" t="n">
        <v>0</v>
      </c>
      <c r="HW45" s="47" t="n">
        <v>0</v>
      </c>
      <c r="HX45" s="47" t="n">
        <v>0</v>
      </c>
      <c r="HY45" s="47" t="n">
        <v>0</v>
      </c>
      <c r="HZ45" s="47" t="n">
        <v>0</v>
      </c>
      <c r="IA45" s="47" t="n">
        <v>0</v>
      </c>
      <c r="IB45" s="47" t="n">
        <v>0</v>
      </c>
      <c r="IC45" s="47" t="n">
        <v>0</v>
      </c>
      <c r="ID45" s="47" t="n">
        <v>0</v>
      </c>
      <c r="IE45" s="47" t="n">
        <v>0</v>
      </c>
      <c r="IF45" s="47" t="n">
        <v>0</v>
      </c>
      <c r="IG45" s="47" t="n">
        <v>0</v>
      </c>
      <c r="IH45" s="47" t="n">
        <v>0</v>
      </c>
      <c r="II45" s="47" t="n">
        <v>0</v>
      </c>
      <c r="IJ45" s="47" t="n">
        <v>0</v>
      </c>
      <c r="IK45" s="47" t="n">
        <v>0</v>
      </c>
      <c r="IL45" s="47" t="n">
        <v>0</v>
      </c>
      <c r="IM45" s="47" t="n">
        <v>0</v>
      </c>
      <c r="IN45" s="47" t="n">
        <v>0</v>
      </c>
      <c r="IO45" s="47" t="n">
        <v>0</v>
      </c>
      <c r="IP45" s="47" t="n">
        <v>0</v>
      </c>
      <c r="IQ45" s="47" t="n">
        <v>0</v>
      </c>
      <c r="IR45" s="47" t="n">
        <v>0</v>
      </c>
      <c r="IS45" s="47" t="n">
        <v>0</v>
      </c>
      <c r="IT45" s="47" t="n">
        <v>0</v>
      </c>
      <c r="IU45" s="47" t="n">
        <v>122.667333333333</v>
      </c>
      <c r="IV45" s="47" t="n">
        <v>122.667333333333</v>
      </c>
      <c r="IW45" s="47" t="n">
        <v>122.667333333333</v>
      </c>
      <c r="IX45" s="47" t="n">
        <v>122.667333333333</v>
      </c>
      <c r="IY45" s="47" t="n">
        <v>122.667333333333</v>
      </c>
      <c r="IZ45" s="47" t="n">
        <v>122.666666666666</v>
      </c>
      <c r="JA45" s="47" t="n">
        <v>122.666666666666</v>
      </c>
      <c r="JB45" s="47" t="n">
        <v>122.666666666666</v>
      </c>
      <c r="JC45" s="47" t="n">
        <v>122.666666666666</v>
      </c>
      <c r="JD45" s="47" t="n">
        <v>122.666666666666</v>
      </c>
      <c r="JE45" s="47" t="n">
        <v>122.666666666666</v>
      </c>
      <c r="JF45" s="47" t="n">
        <v>122.666666666666</v>
      </c>
      <c r="JG45" s="47" t="n">
        <v>122.666666666666</v>
      </c>
      <c r="JH45" s="47" t="n">
        <v>122.666666666666</v>
      </c>
      <c r="JI45" s="47" t="n">
        <v>122.666666666666</v>
      </c>
      <c r="JJ45" s="47" t="n">
        <v>122.666666666663</v>
      </c>
      <c r="JK45" s="47" t="n">
        <v>122.666666666663</v>
      </c>
      <c r="JL45" s="47" t="n">
        <v>122.66666666666</v>
      </c>
      <c r="JM45" s="47" t="n">
        <v>122.66666666666</v>
      </c>
      <c r="JN45" s="47" t="n">
        <v>122.66666666666</v>
      </c>
      <c r="JO45" s="47" t="n">
        <v>122.66666666666</v>
      </c>
      <c r="JP45" s="47" t="n">
        <v>122.66666666666</v>
      </c>
      <c r="JQ45" s="47" t="n">
        <v>122.66666666666</v>
      </c>
      <c r="JR45" s="47" t="n">
        <v>122.66666666666</v>
      </c>
      <c r="JS45" s="47" t="n">
        <v>122.66666666666</v>
      </c>
      <c r="JT45" s="47" t="n">
        <v>122.66666666666</v>
      </c>
      <c r="JU45" s="47" t="n">
        <v>122.66666666666</v>
      </c>
      <c r="JV45" s="47" t="n">
        <v>122.66666666666</v>
      </c>
      <c r="JW45" s="47" t="n">
        <v>122.66666666666</v>
      </c>
      <c r="JX45" s="47" t="n">
        <v>122.666666666667</v>
      </c>
      <c r="JY45" s="47" t="n">
        <v>122.666666666667</v>
      </c>
      <c r="JZ45" s="47" t="n">
        <v>122.666666666667</v>
      </c>
      <c r="KA45" s="47" t="n">
        <v>122.666666666667</v>
      </c>
      <c r="KB45" s="47" t="n">
        <v>122.666666666667</v>
      </c>
      <c r="KC45" s="47" t="n">
        <v>122.666666666667</v>
      </c>
      <c r="KD45" s="48" t="n">
        <v>122.666666666667</v>
      </c>
      <c r="KE45" s="47" t="n">
        <v>122.666666666667</v>
      </c>
      <c r="KF45" s="47" t="n">
        <v>122.666666666667</v>
      </c>
      <c r="KG45" s="47" t="n">
        <v>122.666666666667</v>
      </c>
      <c r="KH45" s="47" t="n">
        <v>122.666666666667</v>
      </c>
      <c r="KI45" s="47" t="n">
        <v>122.666666666667</v>
      </c>
      <c r="KJ45" s="47" t="n">
        <v>122.666666666667</v>
      </c>
      <c r="KK45" s="47" t="n">
        <v>122.666666666667</v>
      </c>
      <c r="KL45" s="47" t="n">
        <v>122.666666666667</v>
      </c>
    </row>
    <row r="46" customFormat="false" ht="15.75" hidden="false" customHeight="true" outlineLevel="0" collapsed="false">
      <c r="A46" s="35" t="s">
        <v>252</v>
      </c>
      <c r="B46" s="35" t="s">
        <v>253</v>
      </c>
      <c r="C46" s="35" t="s">
        <v>164</v>
      </c>
      <c r="D46" s="35" t="s">
        <v>165</v>
      </c>
      <c r="E46" s="35" t="s">
        <v>166</v>
      </c>
      <c r="G46" s="44" t="n">
        <v>2537.5</v>
      </c>
      <c r="H46" s="44" t="n">
        <v>2537.5</v>
      </c>
      <c r="I46" s="44" t="n">
        <v>1280</v>
      </c>
      <c r="J46" s="44" t="n">
        <v>1280</v>
      </c>
      <c r="K46" s="44" t="n">
        <v>1280</v>
      </c>
      <c r="L46" s="44" t="n">
        <v>1280</v>
      </c>
      <c r="M46" s="44" t="n">
        <v>1280</v>
      </c>
      <c r="N46" s="44" t="n">
        <v>1280</v>
      </c>
      <c r="O46" s="44" t="n">
        <v>1280</v>
      </c>
      <c r="P46" s="44" t="n">
        <v>1280</v>
      </c>
      <c r="Q46" s="44" t="n">
        <v>1280</v>
      </c>
      <c r="R46" s="44" t="n">
        <v>1280</v>
      </c>
      <c r="S46" s="44" t="n">
        <v>1280</v>
      </c>
      <c r="T46" s="44" t="n">
        <v>1280</v>
      </c>
      <c r="U46" s="44" t="n">
        <v>1430</v>
      </c>
      <c r="V46" s="44" t="n">
        <v>1430</v>
      </c>
      <c r="W46" s="44" t="n">
        <v>1430</v>
      </c>
      <c r="X46" s="44" t="n">
        <v>1430</v>
      </c>
      <c r="Y46" s="44" t="n">
        <v>1430</v>
      </c>
      <c r="Z46" s="44" t="n">
        <v>1430</v>
      </c>
      <c r="AA46" s="44" t="n">
        <v>1430</v>
      </c>
      <c r="AB46" s="44" t="n">
        <v>1430</v>
      </c>
      <c r="AC46" s="44" t="n">
        <v>1430</v>
      </c>
      <c r="AD46" s="44" t="n">
        <v>1430</v>
      </c>
      <c r="AE46" s="44" t="n">
        <v>1430</v>
      </c>
      <c r="AF46" s="44" t="n">
        <v>1430</v>
      </c>
      <c r="AG46" s="44" t="n">
        <v>225</v>
      </c>
      <c r="AH46" s="44" t="n">
        <v>225</v>
      </c>
      <c r="AI46" s="44" t="n">
        <v>225</v>
      </c>
      <c r="AJ46" s="44" t="n">
        <v>225</v>
      </c>
      <c r="AK46" s="44" t="n">
        <v>225</v>
      </c>
      <c r="AL46" s="44" t="n">
        <v>225</v>
      </c>
      <c r="AM46" s="44" t="n">
        <v>225</v>
      </c>
      <c r="AN46" s="44" t="n">
        <v>225</v>
      </c>
      <c r="AO46" s="44" t="n">
        <v>225</v>
      </c>
      <c r="AP46" s="44" t="n">
        <v>225</v>
      </c>
      <c r="AQ46" s="44" t="n">
        <v>225</v>
      </c>
      <c r="AR46" s="44" t="n">
        <v>225</v>
      </c>
      <c r="AS46" s="44" t="n">
        <v>0</v>
      </c>
      <c r="AT46" s="44" t="n">
        <v>0</v>
      </c>
      <c r="AU46" s="44" t="n">
        <v>0</v>
      </c>
      <c r="AV46" s="44" t="n">
        <v>0</v>
      </c>
      <c r="AW46" s="44" t="n">
        <v>0</v>
      </c>
      <c r="AX46" s="44" t="n">
        <v>0</v>
      </c>
      <c r="AY46" s="44" t="n">
        <v>0</v>
      </c>
      <c r="AZ46" s="44" t="n">
        <v>0</v>
      </c>
      <c r="BA46" s="44" t="n">
        <v>0</v>
      </c>
      <c r="BB46" s="44" t="n">
        <v>0</v>
      </c>
      <c r="BC46" s="44" t="n">
        <v>0</v>
      </c>
      <c r="BD46" s="44" t="n">
        <v>0</v>
      </c>
      <c r="BE46" s="44" t="n">
        <v>0</v>
      </c>
      <c r="BF46" s="44" t="n">
        <v>0</v>
      </c>
      <c r="BG46" s="44" t="n">
        <v>0</v>
      </c>
      <c r="BH46" s="44" t="n">
        <v>0</v>
      </c>
      <c r="BI46" s="44" t="n">
        <v>0</v>
      </c>
      <c r="BJ46" s="44" t="n">
        <v>0</v>
      </c>
      <c r="BK46" s="44" t="n">
        <v>0</v>
      </c>
      <c r="BL46" s="44" t="n">
        <v>0</v>
      </c>
      <c r="BM46" s="44" t="n">
        <v>0</v>
      </c>
      <c r="BN46" s="44" t="n">
        <v>0</v>
      </c>
      <c r="BO46" s="44" t="n">
        <v>0</v>
      </c>
      <c r="BP46" s="44" t="n">
        <v>0</v>
      </c>
      <c r="BQ46" s="44" t="n">
        <v>0</v>
      </c>
      <c r="BR46" s="45" t="n">
        <v>0</v>
      </c>
      <c r="BS46" s="46" t="n">
        <v>0</v>
      </c>
      <c r="BT46" s="46" t="n">
        <v>0</v>
      </c>
      <c r="BU46" s="46" t="n">
        <v>0</v>
      </c>
      <c r="BV46" s="46" t="n">
        <v>0</v>
      </c>
      <c r="BW46" s="46" t="n">
        <v>0</v>
      </c>
      <c r="BX46" s="46" t="n">
        <v>0</v>
      </c>
      <c r="BY46" s="46" t="n">
        <v>0</v>
      </c>
      <c r="BZ46" s="46" t="n">
        <v>0</v>
      </c>
      <c r="CB46" s="52" t="s">
        <v>184</v>
      </c>
      <c r="CC46" s="50" t="n">
        <v>-2537.5</v>
      </c>
      <c r="CD46" s="50" t="n">
        <v>-2537.5</v>
      </c>
      <c r="CE46" s="50" t="n">
        <v>-1280</v>
      </c>
      <c r="CF46" s="50" t="n">
        <v>-1280</v>
      </c>
      <c r="CG46" s="50" t="n">
        <v>-1280</v>
      </c>
      <c r="CH46" s="50" t="n">
        <v>-1280</v>
      </c>
      <c r="CI46" s="50" t="n">
        <v>-1280</v>
      </c>
      <c r="CJ46" s="50" t="n">
        <v>-1280</v>
      </c>
      <c r="CK46" s="50" t="n">
        <v>-1280</v>
      </c>
      <c r="CL46" s="50" t="n">
        <v>-1280</v>
      </c>
      <c r="CM46" s="50" t="n">
        <v>-1280</v>
      </c>
      <c r="CN46" s="50" t="n">
        <v>-1280</v>
      </c>
      <c r="CO46" s="50" t="n">
        <v>-1280</v>
      </c>
      <c r="CP46" s="50" t="n">
        <v>-1280</v>
      </c>
      <c r="CQ46" s="50" t="n">
        <v>-1430</v>
      </c>
      <c r="CR46" s="50" t="n">
        <v>-1430</v>
      </c>
      <c r="CS46" s="50" t="n">
        <v>-1430</v>
      </c>
      <c r="CT46" s="50" t="n">
        <v>-1430</v>
      </c>
      <c r="CU46" s="50" t="n">
        <v>-1430</v>
      </c>
      <c r="CV46" s="50" t="n">
        <v>-1430</v>
      </c>
      <c r="CW46" s="50" t="n">
        <v>-1430</v>
      </c>
      <c r="CX46" s="50" t="n">
        <v>-1430</v>
      </c>
      <c r="CY46" s="50" t="n">
        <v>-1430</v>
      </c>
      <c r="CZ46" s="50" t="n">
        <v>-1430</v>
      </c>
      <c r="DA46" s="50" t="n">
        <v>-1430</v>
      </c>
      <c r="DB46" s="50" t="n">
        <v>-1430</v>
      </c>
      <c r="DC46" s="50" t="n">
        <v>-225</v>
      </c>
      <c r="DD46" s="50" t="n">
        <v>-225</v>
      </c>
      <c r="DE46" s="50" t="n">
        <v>-225</v>
      </c>
      <c r="DF46" s="50" t="n">
        <v>-225</v>
      </c>
      <c r="DG46" s="50" t="n">
        <v>-225</v>
      </c>
      <c r="DH46" s="50" t="n">
        <v>-225</v>
      </c>
      <c r="DI46" s="50" t="n">
        <v>-225</v>
      </c>
      <c r="DJ46" s="50" t="n">
        <v>-225</v>
      </c>
      <c r="DK46" s="50" t="n">
        <v>-225</v>
      </c>
      <c r="DL46" s="50" t="n">
        <v>-225</v>
      </c>
      <c r="DM46" s="50" t="n">
        <v>-225</v>
      </c>
      <c r="DN46" s="50" t="n">
        <v>-225</v>
      </c>
      <c r="DO46" s="50" t="n">
        <v>0</v>
      </c>
      <c r="DP46" s="50" t="n">
        <v>0</v>
      </c>
      <c r="DQ46" s="50" t="n">
        <v>0</v>
      </c>
      <c r="DR46" s="50" t="n">
        <v>0</v>
      </c>
      <c r="DS46" s="50" t="n">
        <v>0</v>
      </c>
      <c r="DT46" s="50" t="n">
        <v>0</v>
      </c>
      <c r="DU46" s="50" t="n">
        <v>0</v>
      </c>
      <c r="DV46" s="50" t="n">
        <v>0</v>
      </c>
      <c r="DW46" s="50" t="n">
        <v>0</v>
      </c>
      <c r="DX46" s="50" t="n">
        <v>0</v>
      </c>
      <c r="DY46" s="50" t="n">
        <v>0</v>
      </c>
      <c r="DZ46" s="50" t="n">
        <v>0</v>
      </c>
      <c r="EA46" s="50" t="n">
        <v>0</v>
      </c>
      <c r="EB46" s="50" t="n">
        <v>0</v>
      </c>
      <c r="EC46" s="50" t="n">
        <v>0</v>
      </c>
      <c r="ED46" s="50" t="n">
        <v>0</v>
      </c>
      <c r="EE46" s="50" t="n">
        <v>0</v>
      </c>
      <c r="EF46" s="50" t="n">
        <v>0</v>
      </c>
      <c r="EG46" s="50" t="n">
        <v>0</v>
      </c>
      <c r="EH46" s="50" t="n">
        <v>0</v>
      </c>
      <c r="EI46" s="50" t="n">
        <v>0</v>
      </c>
      <c r="EJ46" s="50" t="n">
        <v>0</v>
      </c>
      <c r="EK46" s="50" t="n">
        <v>0</v>
      </c>
      <c r="EL46" s="50" t="n">
        <v>0</v>
      </c>
      <c r="EM46" s="50" t="n">
        <v>0</v>
      </c>
      <c r="EN46" s="51" t="n">
        <v>0</v>
      </c>
      <c r="EO46" s="50" t="n">
        <v>0</v>
      </c>
      <c r="EP46" s="50" t="n">
        <v>0</v>
      </c>
      <c r="EQ46" s="50" t="n">
        <v>0</v>
      </c>
      <c r="ER46" s="50" t="n">
        <v>0</v>
      </c>
      <c r="ES46" s="50" t="n">
        <v>0</v>
      </c>
      <c r="ET46" s="50" t="n">
        <v>0</v>
      </c>
      <c r="EU46" s="50" t="n">
        <v>0</v>
      </c>
      <c r="EV46" s="50" t="n">
        <v>0</v>
      </c>
      <c r="EX46" s="47" t="n">
        <v>2537.5</v>
      </c>
      <c r="EY46" s="47" t="n">
        <v>2537.5</v>
      </c>
      <c r="EZ46" s="47" t="n">
        <v>1280</v>
      </c>
      <c r="FA46" s="47" t="n">
        <v>1280</v>
      </c>
      <c r="FB46" s="47" t="n">
        <v>1280</v>
      </c>
      <c r="FC46" s="47" t="n">
        <v>1280</v>
      </c>
      <c r="FD46" s="47" t="n">
        <v>1280</v>
      </c>
      <c r="FE46" s="47" t="n">
        <v>1280</v>
      </c>
      <c r="FF46" s="47" t="n">
        <v>1280</v>
      </c>
      <c r="FG46" s="47" t="n">
        <v>1280</v>
      </c>
      <c r="FH46" s="47" t="n">
        <v>1280</v>
      </c>
      <c r="FI46" s="47" t="n">
        <v>1280</v>
      </c>
      <c r="FJ46" s="47" t="n">
        <v>1280</v>
      </c>
      <c r="FK46" s="47" t="n">
        <v>1280</v>
      </c>
      <c r="FL46" s="47" t="n">
        <v>1430</v>
      </c>
      <c r="FM46" s="47" t="n">
        <v>1430</v>
      </c>
      <c r="FN46" s="47" t="n">
        <v>1430</v>
      </c>
      <c r="FO46" s="47" t="n">
        <v>1430</v>
      </c>
      <c r="FP46" s="47" t="n">
        <v>1430</v>
      </c>
      <c r="FQ46" s="47" t="n">
        <v>1430</v>
      </c>
      <c r="FR46" s="47" t="n">
        <v>1430</v>
      </c>
      <c r="FS46" s="47" t="n">
        <v>1430</v>
      </c>
      <c r="FT46" s="47" t="n">
        <v>1430</v>
      </c>
      <c r="FU46" s="47" t="n">
        <v>1430</v>
      </c>
      <c r="FV46" s="47" t="n">
        <v>1430</v>
      </c>
      <c r="FW46" s="47" t="n">
        <v>1430</v>
      </c>
      <c r="FX46" s="47" t="n">
        <v>225</v>
      </c>
      <c r="FY46" s="47" t="n">
        <v>225</v>
      </c>
      <c r="FZ46" s="47" t="n">
        <v>225</v>
      </c>
      <c r="GA46" s="47" t="n">
        <v>225</v>
      </c>
      <c r="GB46" s="47" t="n">
        <v>225</v>
      </c>
      <c r="GC46" s="47" t="n">
        <v>225</v>
      </c>
      <c r="GD46" s="47" t="n">
        <v>225</v>
      </c>
      <c r="GE46" s="47" t="n">
        <v>225</v>
      </c>
      <c r="GF46" s="47" t="n">
        <v>225</v>
      </c>
      <c r="GG46" s="47" t="n">
        <v>225</v>
      </c>
      <c r="GH46" s="47" t="n">
        <v>225</v>
      </c>
      <c r="GI46" s="47" t="n">
        <v>225</v>
      </c>
      <c r="GJ46" s="47" t="n">
        <v>0</v>
      </c>
      <c r="GK46" s="47" t="n">
        <v>0</v>
      </c>
      <c r="GL46" s="47" t="n">
        <v>0</v>
      </c>
      <c r="GM46" s="47" t="n">
        <v>0</v>
      </c>
      <c r="GN46" s="47" t="n">
        <v>0</v>
      </c>
      <c r="GO46" s="47" t="n">
        <v>0</v>
      </c>
      <c r="GP46" s="47" t="n">
        <v>0</v>
      </c>
      <c r="GQ46" s="47" t="n">
        <v>0</v>
      </c>
      <c r="GR46" s="47" t="n">
        <v>0</v>
      </c>
      <c r="GS46" s="47" t="n">
        <v>0</v>
      </c>
      <c r="GT46" s="47" t="n">
        <v>0</v>
      </c>
      <c r="GU46" s="47" t="n">
        <v>0</v>
      </c>
      <c r="GV46" s="47" t="n">
        <v>0</v>
      </c>
      <c r="GW46" s="47" t="n">
        <v>0</v>
      </c>
      <c r="GX46" s="47" t="n">
        <v>0</v>
      </c>
      <c r="GY46" s="47" t="n">
        <v>0</v>
      </c>
      <c r="GZ46" s="47" t="n">
        <v>0</v>
      </c>
      <c r="HA46" s="47" t="n">
        <v>0</v>
      </c>
      <c r="HB46" s="47" t="n">
        <v>0</v>
      </c>
      <c r="HC46" s="47" t="n">
        <v>0</v>
      </c>
      <c r="HD46" s="47" t="n">
        <v>0</v>
      </c>
      <c r="HE46" s="47" t="n">
        <v>0</v>
      </c>
      <c r="HF46" s="47" t="n">
        <v>0</v>
      </c>
      <c r="HG46" s="47" t="n">
        <v>0</v>
      </c>
      <c r="HH46" s="47" t="n">
        <v>0</v>
      </c>
      <c r="HI46" s="48" t="n">
        <v>0</v>
      </c>
      <c r="HJ46" s="47" t="n">
        <v>0</v>
      </c>
      <c r="HK46" s="47" t="n">
        <v>0</v>
      </c>
      <c r="HL46" s="47" t="n">
        <v>0</v>
      </c>
      <c r="HM46" s="47" t="n">
        <v>0</v>
      </c>
      <c r="HN46" s="47" t="n">
        <v>0</v>
      </c>
      <c r="HO46" s="47" t="n">
        <v>0</v>
      </c>
      <c r="HP46" s="47" t="n">
        <v>0</v>
      </c>
      <c r="HQ46" s="47" t="n">
        <v>0</v>
      </c>
      <c r="HS46" s="47" t="n">
        <v>0</v>
      </c>
      <c r="HT46" s="47" t="n">
        <v>0</v>
      </c>
      <c r="HU46" s="47" t="n">
        <v>0</v>
      </c>
      <c r="HV46" s="47" t="n">
        <v>0</v>
      </c>
      <c r="HW46" s="47" t="n">
        <v>0</v>
      </c>
      <c r="HX46" s="47" t="n">
        <v>0</v>
      </c>
      <c r="HY46" s="47" t="n">
        <v>0</v>
      </c>
      <c r="HZ46" s="47" t="n">
        <v>0</v>
      </c>
      <c r="IA46" s="47" t="n">
        <v>0</v>
      </c>
      <c r="IB46" s="47" t="n">
        <v>0</v>
      </c>
      <c r="IC46" s="47" t="n">
        <v>0</v>
      </c>
      <c r="ID46" s="47" t="n">
        <v>0</v>
      </c>
      <c r="IE46" s="47" t="n">
        <v>0</v>
      </c>
      <c r="IF46" s="47" t="n">
        <v>0</v>
      </c>
      <c r="IG46" s="47" t="n">
        <v>0</v>
      </c>
      <c r="IH46" s="47" t="n">
        <v>0</v>
      </c>
      <c r="II46" s="47" t="n">
        <v>0</v>
      </c>
      <c r="IJ46" s="47" t="n">
        <v>0</v>
      </c>
      <c r="IK46" s="47" t="n">
        <v>0</v>
      </c>
      <c r="IL46" s="47" t="n">
        <v>0</v>
      </c>
      <c r="IM46" s="47" t="n">
        <v>0</v>
      </c>
      <c r="IN46" s="47" t="n">
        <v>0</v>
      </c>
      <c r="IO46" s="47" t="n">
        <v>0</v>
      </c>
      <c r="IP46" s="47" t="n">
        <v>0</v>
      </c>
      <c r="IQ46" s="47" t="n">
        <v>0</v>
      </c>
      <c r="IR46" s="47" t="n">
        <v>0</v>
      </c>
      <c r="IS46" s="47" t="n">
        <v>0</v>
      </c>
      <c r="IT46" s="47" t="n">
        <v>0</v>
      </c>
      <c r="IU46" s="47" t="n">
        <v>0</v>
      </c>
      <c r="IV46" s="47" t="n">
        <v>0</v>
      </c>
      <c r="IW46" s="47" t="n">
        <v>0</v>
      </c>
      <c r="IX46" s="47" t="n">
        <v>0</v>
      </c>
      <c r="IY46" s="47" t="n">
        <v>0</v>
      </c>
      <c r="IZ46" s="47" t="n">
        <v>0</v>
      </c>
      <c r="JA46" s="47" t="n">
        <v>0</v>
      </c>
      <c r="JB46" s="47" t="n">
        <v>0</v>
      </c>
      <c r="JC46" s="47" t="n">
        <v>0</v>
      </c>
      <c r="JD46" s="47" t="n">
        <v>0</v>
      </c>
      <c r="JE46" s="47" t="n">
        <v>0</v>
      </c>
      <c r="JF46" s="47" t="n">
        <v>0</v>
      </c>
      <c r="JG46" s="47" t="n">
        <v>0</v>
      </c>
      <c r="JH46" s="47" t="n">
        <v>0</v>
      </c>
      <c r="JI46" s="47" t="n">
        <v>0</v>
      </c>
      <c r="JJ46" s="47" t="n">
        <v>0</v>
      </c>
      <c r="JK46" s="47" t="n">
        <v>0</v>
      </c>
      <c r="JL46" s="47" t="n">
        <v>0</v>
      </c>
      <c r="JM46" s="47" t="n">
        <v>0</v>
      </c>
      <c r="JN46" s="47" t="n">
        <v>0</v>
      </c>
      <c r="JO46" s="47" t="n">
        <v>0</v>
      </c>
      <c r="JP46" s="47" t="n">
        <v>0</v>
      </c>
      <c r="JQ46" s="47" t="n">
        <v>0</v>
      </c>
      <c r="JR46" s="47" t="n">
        <v>0</v>
      </c>
      <c r="JS46" s="47" t="n">
        <v>0</v>
      </c>
      <c r="JT46" s="47" t="n">
        <v>0</v>
      </c>
      <c r="JU46" s="47" t="n">
        <v>0</v>
      </c>
      <c r="JV46" s="47" t="n">
        <v>0</v>
      </c>
      <c r="JW46" s="47" t="n">
        <v>0</v>
      </c>
      <c r="JX46" s="47" t="n">
        <v>0</v>
      </c>
      <c r="JY46" s="47" t="n">
        <v>0</v>
      </c>
      <c r="JZ46" s="47" t="n">
        <v>0</v>
      </c>
      <c r="KA46" s="47" t="n">
        <v>0</v>
      </c>
      <c r="KB46" s="47" t="n">
        <v>0</v>
      </c>
      <c r="KC46" s="47" t="n">
        <v>0</v>
      </c>
      <c r="KD46" s="48" t="n">
        <v>0</v>
      </c>
      <c r="KE46" s="47" t="n">
        <v>0</v>
      </c>
      <c r="KF46" s="47" t="n">
        <v>0</v>
      </c>
      <c r="KG46" s="47" t="n">
        <v>0</v>
      </c>
      <c r="KH46" s="47" t="n">
        <v>0</v>
      </c>
      <c r="KI46" s="47" t="n">
        <v>0</v>
      </c>
      <c r="KJ46" s="47" t="n">
        <v>0</v>
      </c>
      <c r="KK46" s="47" t="n">
        <v>0</v>
      </c>
      <c r="KL46" s="47" t="n">
        <v>0</v>
      </c>
    </row>
    <row r="47" customFormat="false" ht="15.75" hidden="false" customHeight="true" outlineLevel="0" collapsed="false">
      <c r="A47" s="35" t="s">
        <v>254</v>
      </c>
      <c r="B47" s="35" t="s">
        <v>255</v>
      </c>
      <c r="C47" s="35" t="s">
        <v>164</v>
      </c>
      <c r="D47" s="35" t="s">
        <v>256</v>
      </c>
      <c r="E47" s="35" t="s">
        <v>177</v>
      </c>
      <c r="G47" s="44" t="n">
        <v>0</v>
      </c>
      <c r="H47" s="44" t="n">
        <v>0</v>
      </c>
      <c r="I47" s="44" t="n">
        <v>0</v>
      </c>
      <c r="J47" s="44" t="n">
        <v>0</v>
      </c>
      <c r="K47" s="44" t="n">
        <v>0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0</v>
      </c>
      <c r="Q47" s="44" t="n">
        <v>0</v>
      </c>
      <c r="R47" s="44" t="n">
        <v>0</v>
      </c>
      <c r="S47" s="44" t="n">
        <v>0</v>
      </c>
      <c r="T47" s="44" t="n">
        <v>0</v>
      </c>
      <c r="U47" s="44" t="n">
        <v>0</v>
      </c>
      <c r="V47" s="44" t="n">
        <v>0</v>
      </c>
      <c r="W47" s="44" t="n">
        <v>0</v>
      </c>
      <c r="X47" s="44" t="n">
        <v>0</v>
      </c>
      <c r="Y47" s="44" t="n">
        <v>0</v>
      </c>
      <c r="Z47" s="44" t="n">
        <v>0</v>
      </c>
      <c r="AA47" s="44" t="n">
        <v>0</v>
      </c>
      <c r="AB47" s="44" t="n">
        <v>125</v>
      </c>
      <c r="AC47" s="44" t="n">
        <v>125</v>
      </c>
      <c r="AD47" s="44" t="n">
        <v>125</v>
      </c>
      <c r="AE47" s="44" t="n">
        <v>125</v>
      </c>
      <c r="AF47" s="44" t="n">
        <v>125</v>
      </c>
      <c r="AG47" s="44" t="n">
        <v>125</v>
      </c>
      <c r="AH47" s="44" t="n">
        <v>125</v>
      </c>
      <c r="AI47" s="44" t="n">
        <v>125</v>
      </c>
      <c r="AJ47" s="44" t="n">
        <v>125</v>
      </c>
      <c r="AK47" s="44" t="n">
        <v>125</v>
      </c>
      <c r="AL47" s="44" t="n">
        <v>125</v>
      </c>
      <c r="AM47" s="44" t="n">
        <v>125</v>
      </c>
      <c r="AN47" s="44" t="n">
        <v>166.666666666667</v>
      </c>
      <c r="AO47" s="44" t="n">
        <v>166.666666666667</v>
      </c>
      <c r="AP47" s="44" t="n">
        <v>166.666666666667</v>
      </c>
      <c r="AQ47" s="44" t="n">
        <v>166.666666666667</v>
      </c>
      <c r="AR47" s="44" t="n">
        <v>166.666666666667</v>
      </c>
      <c r="AS47" s="44" t="n">
        <v>166.666666666667</v>
      </c>
      <c r="AT47" s="44" t="n">
        <v>166.666666666667</v>
      </c>
      <c r="AU47" s="44" t="n">
        <v>166.666666666667</v>
      </c>
      <c r="AV47" s="44" t="n">
        <v>166.666666666667</v>
      </c>
      <c r="AW47" s="44" t="n">
        <v>166.666666666667</v>
      </c>
      <c r="AX47" s="44" t="n">
        <v>166.666666666667</v>
      </c>
      <c r="AY47" s="44" t="n">
        <v>166.666666666667</v>
      </c>
      <c r="AZ47" s="44" t="n">
        <v>8.33333333333333</v>
      </c>
      <c r="BA47" s="44" t="n">
        <v>8.33333333333333</v>
      </c>
      <c r="BB47" s="44" t="n">
        <v>8.33333333333333</v>
      </c>
      <c r="BC47" s="44" t="n">
        <v>8.33333333333333</v>
      </c>
      <c r="BD47" s="44" t="n">
        <v>8.33333333333333</v>
      </c>
      <c r="BE47" s="44" t="n">
        <v>8.33333333333333</v>
      </c>
      <c r="BF47" s="44" t="n">
        <v>8.33333333333333</v>
      </c>
      <c r="BG47" s="44" t="n">
        <v>8.33333333333333</v>
      </c>
      <c r="BH47" s="44" t="n">
        <v>8.33333333333333</v>
      </c>
      <c r="BI47" s="44" t="n">
        <v>8.33333333333333</v>
      </c>
      <c r="BJ47" s="44" t="n">
        <v>8.33333333333333</v>
      </c>
      <c r="BK47" s="44" t="n">
        <v>8.33333333333333</v>
      </c>
      <c r="BL47" s="44" t="n">
        <v>0</v>
      </c>
      <c r="BM47" s="44" t="n">
        <v>0</v>
      </c>
      <c r="BN47" s="44" t="n">
        <v>0</v>
      </c>
      <c r="BO47" s="44" t="n">
        <v>0</v>
      </c>
      <c r="BP47" s="44" t="n">
        <v>0</v>
      </c>
      <c r="BQ47" s="44" t="n">
        <v>0</v>
      </c>
      <c r="BR47" s="45" t="n">
        <v>0</v>
      </c>
      <c r="BS47" s="46" t="n">
        <v>0</v>
      </c>
      <c r="BT47" s="46" t="n">
        <v>0</v>
      </c>
      <c r="BU47" s="46" t="n">
        <v>0</v>
      </c>
      <c r="BV47" s="46" t="n">
        <v>0</v>
      </c>
      <c r="BW47" s="46" t="n">
        <v>0</v>
      </c>
      <c r="BX47" s="46" t="n">
        <v>0</v>
      </c>
      <c r="BY47" s="46" t="n">
        <v>0</v>
      </c>
      <c r="BZ47" s="46" t="n">
        <v>0</v>
      </c>
      <c r="EX47" s="47" t="n">
        <v>0</v>
      </c>
      <c r="EY47" s="47" t="n">
        <v>0</v>
      </c>
      <c r="EZ47" s="47" t="n">
        <v>0</v>
      </c>
      <c r="FA47" s="47" t="n">
        <v>0</v>
      </c>
      <c r="FB47" s="47" t="n">
        <v>0</v>
      </c>
      <c r="FC47" s="47" t="n">
        <v>0</v>
      </c>
      <c r="FD47" s="47" t="n">
        <v>0</v>
      </c>
      <c r="FE47" s="47" t="n">
        <v>0</v>
      </c>
      <c r="FF47" s="47" t="n">
        <v>0</v>
      </c>
      <c r="FG47" s="47" t="n">
        <v>0</v>
      </c>
      <c r="FH47" s="47" t="n">
        <v>0</v>
      </c>
      <c r="FI47" s="47" t="n">
        <v>0</v>
      </c>
      <c r="FJ47" s="47" t="n">
        <v>0</v>
      </c>
      <c r="FK47" s="47" t="n">
        <v>0</v>
      </c>
      <c r="FL47" s="47" t="n">
        <v>0</v>
      </c>
      <c r="FM47" s="47" t="n">
        <v>0</v>
      </c>
      <c r="FN47" s="47" t="n">
        <v>0</v>
      </c>
      <c r="FO47" s="47" t="n">
        <v>0</v>
      </c>
      <c r="FP47" s="47" t="n">
        <v>0</v>
      </c>
      <c r="FQ47" s="47" t="n">
        <v>0</v>
      </c>
      <c r="FR47" s="47" t="n">
        <v>0</v>
      </c>
      <c r="FS47" s="47" t="n">
        <v>125</v>
      </c>
      <c r="FT47" s="47" t="n">
        <v>125</v>
      </c>
      <c r="FU47" s="47" t="n">
        <v>125</v>
      </c>
      <c r="FV47" s="47" t="n">
        <v>125</v>
      </c>
      <c r="FW47" s="47" t="n">
        <v>125</v>
      </c>
      <c r="FX47" s="47" t="n">
        <v>125</v>
      </c>
      <c r="FY47" s="47" t="n">
        <v>125</v>
      </c>
      <c r="FZ47" s="47" t="n">
        <v>125</v>
      </c>
      <c r="GA47" s="47" t="n">
        <v>125</v>
      </c>
      <c r="GB47" s="47" t="n">
        <v>125</v>
      </c>
      <c r="GC47" s="47" t="n">
        <v>125</v>
      </c>
      <c r="GD47" s="47" t="n">
        <v>125</v>
      </c>
      <c r="GE47" s="47" t="n">
        <v>166.666666666667</v>
      </c>
      <c r="GF47" s="47" t="n">
        <v>166.666666666667</v>
      </c>
      <c r="GG47" s="47" t="n">
        <v>166.666666666667</v>
      </c>
      <c r="GH47" s="47" t="n">
        <v>166.666666666667</v>
      </c>
      <c r="GI47" s="47" t="n">
        <v>166.666666666667</v>
      </c>
      <c r="GJ47" s="47" t="n">
        <v>166.666666666667</v>
      </c>
      <c r="GK47" s="47" t="n">
        <v>166.666666666667</v>
      </c>
      <c r="GL47" s="47" t="n">
        <v>166.666666666667</v>
      </c>
      <c r="GM47" s="47" t="n">
        <v>166.666666666667</v>
      </c>
      <c r="GN47" s="47" t="n">
        <v>166.666666666667</v>
      </c>
      <c r="GO47" s="47" t="n">
        <v>166.666666666667</v>
      </c>
      <c r="GP47" s="47" t="n">
        <v>166.666666666667</v>
      </c>
      <c r="GQ47" s="47" t="n">
        <v>8.33333333333333</v>
      </c>
      <c r="GR47" s="47" t="n">
        <v>8.33333333333333</v>
      </c>
      <c r="GS47" s="47" t="n">
        <v>8.33333333333333</v>
      </c>
      <c r="GT47" s="47" t="n">
        <v>8.33333333333333</v>
      </c>
      <c r="GU47" s="47" t="n">
        <v>8.33333333333333</v>
      </c>
      <c r="GV47" s="47" t="n">
        <v>8.33333333333333</v>
      </c>
      <c r="GW47" s="47" t="n">
        <v>8.33333333333333</v>
      </c>
      <c r="GX47" s="47" t="n">
        <v>8.33333333333333</v>
      </c>
      <c r="GY47" s="47" t="n">
        <v>8.33333333333333</v>
      </c>
      <c r="GZ47" s="47" t="n">
        <v>8.33333333333333</v>
      </c>
      <c r="HA47" s="47" t="n">
        <v>8.33333333333333</v>
      </c>
      <c r="HB47" s="47" t="n">
        <v>8.33333333333333</v>
      </c>
      <c r="HC47" s="47" t="n">
        <v>0</v>
      </c>
      <c r="HD47" s="47" t="n">
        <v>0</v>
      </c>
      <c r="HE47" s="47" t="n">
        <v>0</v>
      </c>
      <c r="HF47" s="47" t="n">
        <v>0</v>
      </c>
      <c r="HG47" s="47" t="n">
        <v>0</v>
      </c>
      <c r="HH47" s="47" t="n">
        <v>0</v>
      </c>
      <c r="HI47" s="48" t="n">
        <v>0</v>
      </c>
      <c r="HJ47" s="47" t="n">
        <v>0</v>
      </c>
      <c r="HK47" s="47" t="n">
        <v>0</v>
      </c>
      <c r="HL47" s="47" t="n">
        <v>0</v>
      </c>
      <c r="HM47" s="47" t="n">
        <v>0</v>
      </c>
      <c r="HN47" s="47" t="n">
        <v>0</v>
      </c>
      <c r="HO47" s="47" t="n">
        <v>0</v>
      </c>
      <c r="HP47" s="47" t="n">
        <v>0</v>
      </c>
      <c r="HQ47" s="47" t="n">
        <v>0</v>
      </c>
      <c r="HS47" s="47" t="n">
        <v>0</v>
      </c>
      <c r="HT47" s="47" t="n">
        <v>0</v>
      </c>
      <c r="HU47" s="47" t="n">
        <v>0</v>
      </c>
      <c r="HV47" s="47" t="n">
        <v>0</v>
      </c>
      <c r="HW47" s="47" t="n">
        <v>0</v>
      </c>
      <c r="HX47" s="47" t="n">
        <v>0</v>
      </c>
      <c r="HY47" s="47" t="n">
        <v>0</v>
      </c>
      <c r="HZ47" s="47" t="n">
        <v>0</v>
      </c>
      <c r="IA47" s="47" t="n">
        <v>0</v>
      </c>
      <c r="IB47" s="47" t="n">
        <v>0</v>
      </c>
      <c r="IC47" s="47" t="n">
        <v>0</v>
      </c>
      <c r="ID47" s="47" t="n">
        <v>0</v>
      </c>
      <c r="IE47" s="47" t="n">
        <v>0</v>
      </c>
      <c r="IF47" s="47" t="n">
        <v>0</v>
      </c>
      <c r="IG47" s="47" t="n">
        <v>0</v>
      </c>
      <c r="IH47" s="47" t="n">
        <v>0</v>
      </c>
      <c r="II47" s="47" t="n">
        <v>0</v>
      </c>
      <c r="IJ47" s="47" t="n">
        <v>0</v>
      </c>
      <c r="IK47" s="47" t="n">
        <v>0</v>
      </c>
      <c r="IL47" s="47" t="n">
        <v>0</v>
      </c>
      <c r="IM47" s="47" t="n">
        <v>0</v>
      </c>
      <c r="IN47" s="47" t="n">
        <v>125</v>
      </c>
      <c r="IO47" s="47" t="n">
        <v>125</v>
      </c>
      <c r="IP47" s="47" t="n">
        <v>125</v>
      </c>
      <c r="IQ47" s="47" t="n">
        <v>125</v>
      </c>
      <c r="IR47" s="47" t="n">
        <v>125</v>
      </c>
      <c r="IS47" s="47" t="n">
        <v>125</v>
      </c>
      <c r="IT47" s="47" t="n">
        <v>125</v>
      </c>
      <c r="IU47" s="47" t="n">
        <v>125</v>
      </c>
      <c r="IV47" s="47" t="n">
        <v>125</v>
      </c>
      <c r="IW47" s="47" t="n">
        <v>125</v>
      </c>
      <c r="IX47" s="47" t="n">
        <v>125</v>
      </c>
      <c r="IY47" s="47" t="n">
        <v>125</v>
      </c>
      <c r="IZ47" s="47" t="n">
        <v>166.666666666667</v>
      </c>
      <c r="JA47" s="47" t="n">
        <v>166.666666666667</v>
      </c>
      <c r="JB47" s="47" t="n">
        <v>166.666666666667</v>
      </c>
      <c r="JC47" s="47" t="n">
        <v>166.666666666667</v>
      </c>
      <c r="JD47" s="47" t="n">
        <v>166.666666666667</v>
      </c>
      <c r="JE47" s="47" t="n">
        <v>166.666666666667</v>
      </c>
      <c r="JF47" s="47" t="n">
        <v>166.666666666667</v>
      </c>
      <c r="JG47" s="47" t="n">
        <v>166.666666666667</v>
      </c>
      <c r="JH47" s="47" t="n">
        <v>166.666666666667</v>
      </c>
      <c r="JI47" s="47" t="n">
        <v>166.666666666667</v>
      </c>
      <c r="JJ47" s="47" t="n">
        <v>166.666666666667</v>
      </c>
      <c r="JK47" s="47" t="n">
        <v>166.666666666667</v>
      </c>
      <c r="JL47" s="47" t="n">
        <v>8.33333333333333</v>
      </c>
      <c r="JM47" s="47" t="n">
        <v>8.33333333333333</v>
      </c>
      <c r="JN47" s="47" t="n">
        <v>8.33333333333333</v>
      </c>
      <c r="JO47" s="47" t="n">
        <v>8.33333333333333</v>
      </c>
      <c r="JP47" s="47" t="n">
        <v>8.33333333333333</v>
      </c>
      <c r="JQ47" s="47" t="n">
        <v>8.33333333333333</v>
      </c>
      <c r="JR47" s="47" t="n">
        <v>8.33333333333333</v>
      </c>
      <c r="JS47" s="47" t="n">
        <v>8.33333333333333</v>
      </c>
      <c r="JT47" s="47" t="n">
        <v>8.33333333333333</v>
      </c>
      <c r="JU47" s="47" t="n">
        <v>8.33333333333333</v>
      </c>
      <c r="JV47" s="47" t="n">
        <v>8.33333333333333</v>
      </c>
      <c r="JW47" s="47" t="n">
        <v>8.33333333333333</v>
      </c>
      <c r="JX47" s="47" t="n">
        <v>0</v>
      </c>
      <c r="JY47" s="47" t="n">
        <v>0</v>
      </c>
      <c r="JZ47" s="47" t="n">
        <v>0</v>
      </c>
      <c r="KA47" s="47" t="n">
        <v>0</v>
      </c>
      <c r="KB47" s="47" t="n">
        <v>0</v>
      </c>
      <c r="KC47" s="47" t="n">
        <v>0</v>
      </c>
      <c r="KD47" s="48" t="n">
        <v>0</v>
      </c>
      <c r="KE47" s="47" t="n">
        <v>0</v>
      </c>
      <c r="KF47" s="47" t="n">
        <v>0</v>
      </c>
      <c r="KG47" s="47" t="n">
        <v>0</v>
      </c>
      <c r="KH47" s="47" t="n">
        <v>0</v>
      </c>
      <c r="KI47" s="47" t="n">
        <v>0</v>
      </c>
      <c r="KJ47" s="47" t="n">
        <v>0</v>
      </c>
      <c r="KK47" s="47" t="n">
        <v>0</v>
      </c>
      <c r="KL47" s="47" t="n">
        <v>0</v>
      </c>
    </row>
    <row r="48" customFormat="false" ht="15.75" hidden="false" customHeight="true" outlineLevel="0" collapsed="false">
      <c r="A48" s="35" t="s">
        <v>257</v>
      </c>
      <c r="B48" s="35" t="s">
        <v>258</v>
      </c>
      <c r="C48" s="35" t="s">
        <v>164</v>
      </c>
      <c r="D48" s="35" t="s">
        <v>165</v>
      </c>
      <c r="E48" s="35" t="s">
        <v>188</v>
      </c>
      <c r="G48" s="44" t="n">
        <v>1466.67533333333</v>
      </c>
      <c r="H48" s="44" t="n">
        <v>1466.67533333333</v>
      </c>
      <c r="I48" s="44" t="n">
        <v>1466.67533333333</v>
      </c>
      <c r="J48" s="44" t="n">
        <v>1466.67533333333</v>
      </c>
      <c r="K48" s="44" t="n">
        <v>1466.67533333333</v>
      </c>
      <c r="L48" s="44" t="n">
        <v>1466.66666666667</v>
      </c>
      <c r="M48" s="44" t="n">
        <v>1800.01666666667</v>
      </c>
      <c r="N48" s="44" t="n">
        <v>1800.01666666667</v>
      </c>
      <c r="O48" s="44" t="n">
        <v>1800.01666666667</v>
      </c>
      <c r="P48" s="44" t="n">
        <v>1866.68666666667</v>
      </c>
      <c r="Q48" s="44" t="n">
        <v>1866.68666666667</v>
      </c>
      <c r="R48" s="44" t="n">
        <v>1866.68666666667</v>
      </c>
      <c r="S48" s="44" t="n">
        <v>1866.68666666667</v>
      </c>
      <c r="T48" s="44" t="n">
        <v>1866.68666666667</v>
      </c>
      <c r="U48" s="44" t="n">
        <v>1866.68666666667</v>
      </c>
      <c r="V48" s="44" t="n">
        <v>1800.01666666667</v>
      </c>
      <c r="W48" s="44" t="n">
        <v>1800.01666666667</v>
      </c>
      <c r="X48" s="44" t="n">
        <v>1866.66666666667</v>
      </c>
      <c r="Y48" s="44" t="n">
        <v>1866.66666666667</v>
      </c>
      <c r="Z48" s="44" t="n">
        <v>1866.66666666667</v>
      </c>
      <c r="AA48" s="44" t="n">
        <v>1866.66666666667</v>
      </c>
      <c r="AB48" s="44" t="n">
        <v>1866.66666666667</v>
      </c>
      <c r="AC48" s="44" t="n">
        <v>1866.66666666667</v>
      </c>
      <c r="AD48" s="44" t="n">
        <v>2000.00666666667</v>
      </c>
      <c r="AE48" s="44" t="n">
        <v>2000.00666666667</v>
      </c>
      <c r="AF48" s="44" t="n">
        <v>2000.00666666667</v>
      </c>
      <c r="AG48" s="44" t="n">
        <v>2000.00666666667</v>
      </c>
      <c r="AH48" s="44" t="n">
        <v>2000.00666666667</v>
      </c>
      <c r="AI48" s="44" t="n">
        <v>2000.00666666667</v>
      </c>
      <c r="AJ48" s="44" t="n">
        <v>2066.66666666667</v>
      </c>
      <c r="AK48" s="44" t="n">
        <v>2066.66666666667</v>
      </c>
      <c r="AL48" s="44" t="n">
        <v>2066.66666666667</v>
      </c>
      <c r="AM48" s="44" t="n">
        <v>2066.66666666667</v>
      </c>
      <c r="AN48" s="44" t="n">
        <v>2200.00666666667</v>
      </c>
      <c r="AO48" s="44" t="n">
        <v>2200.00666666667</v>
      </c>
      <c r="AP48" s="44" t="n">
        <v>2200.00666666667</v>
      </c>
      <c r="AQ48" s="44" t="n">
        <v>2200.00666666667</v>
      </c>
      <c r="AR48" s="44" t="n">
        <v>2467.00666666667</v>
      </c>
      <c r="AS48" s="44" t="n">
        <v>2467.00666666667</v>
      </c>
      <c r="AT48" s="44" t="n">
        <v>2467.00666666667</v>
      </c>
      <c r="AU48" s="44" t="n">
        <v>2467.00666666667</v>
      </c>
      <c r="AV48" s="44" t="n">
        <v>2640</v>
      </c>
      <c r="AW48" s="44" t="n">
        <v>2640</v>
      </c>
      <c r="AX48" s="44" t="n">
        <v>2640</v>
      </c>
      <c r="AY48" s="44" t="n">
        <v>2786.66666666667</v>
      </c>
      <c r="AZ48" s="44" t="n">
        <v>3080.00166666667</v>
      </c>
      <c r="BA48" s="44" t="n">
        <v>3080.00166666667</v>
      </c>
      <c r="BB48" s="44" t="n">
        <v>3080.00166666667</v>
      </c>
      <c r="BC48" s="44" t="n">
        <v>3080.00166666667</v>
      </c>
      <c r="BD48" s="44" t="n">
        <v>3080.00166666667</v>
      </c>
      <c r="BE48" s="44" t="n">
        <v>3080.00166666667</v>
      </c>
      <c r="BF48" s="44" t="n">
        <v>3080.00166666667</v>
      </c>
      <c r="BG48" s="44" t="n">
        <v>3080.00166666667</v>
      </c>
      <c r="BH48" s="44" t="n">
        <v>3446.66666666667</v>
      </c>
      <c r="BI48" s="44" t="n">
        <v>3446.66666666667</v>
      </c>
      <c r="BJ48" s="44" t="n">
        <v>4326.62666666667</v>
      </c>
      <c r="BK48" s="44" t="n">
        <v>4326.62666666667</v>
      </c>
      <c r="BL48" s="44" t="n">
        <v>4326.62666666667</v>
      </c>
      <c r="BM48" s="44" t="n">
        <v>4619.94666666667</v>
      </c>
      <c r="BN48" s="44" t="n">
        <v>4619.94666666667</v>
      </c>
      <c r="BO48" s="44" t="n">
        <v>4619.94666666667</v>
      </c>
      <c r="BP48" s="44" t="n">
        <v>4619.94666666667</v>
      </c>
      <c r="BQ48" s="44" t="n">
        <v>5426.61333333333</v>
      </c>
      <c r="BR48" s="45" t="n">
        <v>5426.61333333333</v>
      </c>
      <c r="BS48" s="46" t="n">
        <v>5426.61333333333</v>
      </c>
      <c r="BT48" s="46" t="n">
        <v>5426.61333333333</v>
      </c>
      <c r="BU48" s="46" t="n">
        <v>5426.61333333333</v>
      </c>
      <c r="BV48" s="46" t="n">
        <v>5426.61333333333</v>
      </c>
      <c r="BW48" s="46" t="n">
        <v>5426.61333333333</v>
      </c>
      <c r="BX48" s="46" t="n">
        <v>5426.61333333333</v>
      </c>
      <c r="BY48" s="46" t="n">
        <v>5426.61333333333</v>
      </c>
      <c r="BZ48" s="46" t="n">
        <v>5426.61333333333</v>
      </c>
      <c r="EX48" s="47" t="n">
        <v>1466.67533333333</v>
      </c>
      <c r="EY48" s="47" t="n">
        <v>1466.67533333333</v>
      </c>
      <c r="EZ48" s="47" t="n">
        <v>1466.67533333333</v>
      </c>
      <c r="FA48" s="47" t="n">
        <v>1466.67533333333</v>
      </c>
      <c r="FB48" s="47" t="n">
        <v>1466.67533333333</v>
      </c>
      <c r="FC48" s="47" t="n">
        <v>1466.66666666667</v>
      </c>
      <c r="FD48" s="47" t="n">
        <v>1800.01666666667</v>
      </c>
      <c r="FE48" s="47" t="n">
        <v>1800.01666666667</v>
      </c>
      <c r="FF48" s="47" t="n">
        <v>1800.01666666667</v>
      </c>
      <c r="FG48" s="47" t="n">
        <v>1866.68666666667</v>
      </c>
      <c r="FH48" s="47" t="n">
        <v>1866.68666666667</v>
      </c>
      <c r="FI48" s="47" t="n">
        <v>1866.68666666667</v>
      </c>
      <c r="FJ48" s="47" t="n">
        <v>1866.68666666667</v>
      </c>
      <c r="FK48" s="47" t="n">
        <v>1866.68666666667</v>
      </c>
      <c r="FL48" s="47" t="n">
        <v>1866.68666666667</v>
      </c>
      <c r="FM48" s="47" t="n">
        <v>1800.01666666667</v>
      </c>
      <c r="FN48" s="47" t="n">
        <v>1800.01666666667</v>
      </c>
      <c r="FO48" s="47" t="n">
        <v>1866.66666666667</v>
      </c>
      <c r="FP48" s="47" t="n">
        <v>1866.66666666667</v>
      </c>
      <c r="FQ48" s="47" t="n">
        <v>1866.66666666667</v>
      </c>
      <c r="FR48" s="47" t="n">
        <v>1866.66666666667</v>
      </c>
      <c r="FS48" s="47" t="n">
        <v>1866.66666666667</v>
      </c>
      <c r="FT48" s="47" t="n">
        <v>1866.66666666667</v>
      </c>
      <c r="FU48" s="47" t="n">
        <v>2000.00666666667</v>
      </c>
      <c r="FV48" s="47" t="n">
        <v>2000.00666666667</v>
      </c>
      <c r="FW48" s="47" t="n">
        <v>2000.00666666667</v>
      </c>
      <c r="FX48" s="47" t="n">
        <v>2000.00666666667</v>
      </c>
      <c r="FY48" s="47" t="n">
        <v>2000.00666666667</v>
      </c>
      <c r="FZ48" s="47" t="n">
        <v>2000.00666666667</v>
      </c>
      <c r="GA48" s="47" t="n">
        <v>2066.66666666667</v>
      </c>
      <c r="GB48" s="47" t="n">
        <v>2066.66666666667</v>
      </c>
      <c r="GC48" s="47" t="n">
        <v>2066.66666666667</v>
      </c>
      <c r="GD48" s="47" t="n">
        <v>2066.66666666667</v>
      </c>
      <c r="GE48" s="47" t="n">
        <v>2200.00666666667</v>
      </c>
      <c r="GF48" s="47" t="n">
        <v>2200.00666666667</v>
      </c>
      <c r="GG48" s="47" t="n">
        <v>2200.00666666667</v>
      </c>
      <c r="GH48" s="47" t="n">
        <v>2200.00666666667</v>
      </c>
      <c r="GI48" s="47" t="n">
        <v>2467.00666666667</v>
      </c>
      <c r="GJ48" s="47" t="n">
        <v>2467.00666666667</v>
      </c>
      <c r="GK48" s="47" t="n">
        <v>2467.00666666667</v>
      </c>
      <c r="GL48" s="47" t="n">
        <v>2467.00666666667</v>
      </c>
      <c r="GM48" s="47" t="n">
        <v>2640</v>
      </c>
      <c r="GN48" s="47" t="n">
        <v>2640</v>
      </c>
      <c r="GO48" s="47" t="n">
        <v>2640</v>
      </c>
      <c r="GP48" s="47" t="n">
        <v>2786.66666666667</v>
      </c>
      <c r="GQ48" s="47" t="n">
        <v>3080.00166666667</v>
      </c>
      <c r="GR48" s="47" t="n">
        <v>3080.00166666667</v>
      </c>
      <c r="GS48" s="47" t="n">
        <v>3080.00166666667</v>
      </c>
      <c r="GT48" s="47" t="n">
        <v>3080.00166666667</v>
      </c>
      <c r="GU48" s="47" t="n">
        <v>3080.00166666667</v>
      </c>
      <c r="GV48" s="47" t="n">
        <v>3080.00166666667</v>
      </c>
      <c r="GW48" s="47" t="n">
        <v>3080.00166666667</v>
      </c>
      <c r="GX48" s="47" t="n">
        <v>3080.00166666667</v>
      </c>
      <c r="GY48" s="47" t="n">
        <v>3446.66666666667</v>
      </c>
      <c r="GZ48" s="47" t="n">
        <v>3446.66666666667</v>
      </c>
      <c r="HA48" s="47" t="n">
        <v>4326.62666666667</v>
      </c>
      <c r="HB48" s="47" t="n">
        <v>4326.62666666667</v>
      </c>
      <c r="HC48" s="47" t="n">
        <v>4326.62666666667</v>
      </c>
      <c r="HD48" s="47" t="n">
        <v>4619.94666666667</v>
      </c>
      <c r="HE48" s="47" t="n">
        <v>4619.94666666667</v>
      </c>
      <c r="HF48" s="47" t="n">
        <v>4619.94666666667</v>
      </c>
      <c r="HG48" s="47" t="n">
        <v>4619.94666666667</v>
      </c>
      <c r="HH48" s="47" t="n">
        <v>5426.61333333333</v>
      </c>
      <c r="HI48" s="48" t="n">
        <v>5426.61333333333</v>
      </c>
      <c r="HJ48" s="47" t="n">
        <v>5426.61333333333</v>
      </c>
      <c r="HK48" s="47" t="n">
        <v>5426.61333333333</v>
      </c>
      <c r="HL48" s="47" t="n">
        <v>5426.61333333333</v>
      </c>
      <c r="HM48" s="47" t="n">
        <v>5426.61333333333</v>
      </c>
      <c r="HN48" s="47" t="n">
        <v>5426.61333333333</v>
      </c>
      <c r="HO48" s="47" t="n">
        <v>5426.61333333333</v>
      </c>
      <c r="HP48" s="47" t="n">
        <v>5426.61333333333</v>
      </c>
      <c r="HQ48" s="47" t="n">
        <v>5426.61333333333</v>
      </c>
      <c r="HS48" s="47" t="n">
        <v>1466.67533333333</v>
      </c>
      <c r="HT48" s="47" t="n">
        <v>1466.67533333333</v>
      </c>
      <c r="HU48" s="47" t="n">
        <v>1466.67533333333</v>
      </c>
      <c r="HV48" s="47" t="n">
        <v>1466.67533333333</v>
      </c>
      <c r="HW48" s="47" t="n">
        <v>1466.67533333333</v>
      </c>
      <c r="HX48" s="47" t="n">
        <v>1466.66666666667</v>
      </c>
      <c r="HY48" s="47" t="n">
        <v>1800.01666666667</v>
      </c>
      <c r="HZ48" s="47" t="n">
        <v>1800.01666666667</v>
      </c>
      <c r="IA48" s="47" t="n">
        <v>1800.01666666667</v>
      </c>
      <c r="IB48" s="47" t="n">
        <v>1866.68666666667</v>
      </c>
      <c r="IC48" s="47" t="n">
        <v>1866.68666666667</v>
      </c>
      <c r="ID48" s="47" t="n">
        <v>1866.68666666667</v>
      </c>
      <c r="IE48" s="47" t="n">
        <v>1866.68666666667</v>
      </c>
      <c r="IF48" s="47" t="n">
        <v>1866.68666666667</v>
      </c>
      <c r="IG48" s="47" t="n">
        <v>1866.68666666667</v>
      </c>
      <c r="IH48" s="47" t="n">
        <v>1800.01666666667</v>
      </c>
      <c r="II48" s="47" t="n">
        <v>1800.01666666667</v>
      </c>
      <c r="IJ48" s="47" t="n">
        <v>1866.66666666667</v>
      </c>
      <c r="IK48" s="47" t="n">
        <v>1866.66666666667</v>
      </c>
      <c r="IL48" s="47" t="n">
        <v>1866.66666666667</v>
      </c>
      <c r="IM48" s="47" t="n">
        <v>1866.66666666667</v>
      </c>
      <c r="IN48" s="47" t="n">
        <v>1866.66666666667</v>
      </c>
      <c r="IO48" s="47" t="n">
        <v>1866.66666666667</v>
      </c>
      <c r="IP48" s="47" t="n">
        <v>2000.00666666667</v>
      </c>
      <c r="IQ48" s="47" t="n">
        <v>2000.00666666667</v>
      </c>
      <c r="IR48" s="47" t="n">
        <v>2000.00666666667</v>
      </c>
      <c r="IS48" s="47" t="n">
        <v>2000.00666666667</v>
      </c>
      <c r="IT48" s="47" t="n">
        <v>2000.00666666667</v>
      </c>
      <c r="IU48" s="47" t="n">
        <v>2000.00666666667</v>
      </c>
      <c r="IV48" s="47" t="n">
        <v>2066.66666666667</v>
      </c>
      <c r="IW48" s="47" t="n">
        <v>2066.66666666667</v>
      </c>
      <c r="IX48" s="47" t="n">
        <v>2066.66666666667</v>
      </c>
      <c r="IY48" s="47" t="n">
        <v>2066.66666666667</v>
      </c>
      <c r="IZ48" s="47" t="n">
        <v>2200.00666666667</v>
      </c>
      <c r="JA48" s="47" t="n">
        <v>2200.00666666667</v>
      </c>
      <c r="JB48" s="47" t="n">
        <v>2200.00666666667</v>
      </c>
      <c r="JC48" s="47" t="n">
        <v>2200.00666666667</v>
      </c>
      <c r="JD48" s="47" t="n">
        <v>2467.00666666667</v>
      </c>
      <c r="JE48" s="47" t="n">
        <v>2467.00666666667</v>
      </c>
      <c r="JF48" s="47" t="n">
        <v>2467.00666666667</v>
      </c>
      <c r="JG48" s="47" t="n">
        <v>2467.00666666667</v>
      </c>
      <c r="JH48" s="47" t="n">
        <v>2640</v>
      </c>
      <c r="JI48" s="47" t="n">
        <v>2640</v>
      </c>
      <c r="JJ48" s="47" t="n">
        <v>2640</v>
      </c>
      <c r="JK48" s="47" t="n">
        <v>2786.66666666667</v>
      </c>
      <c r="JL48" s="47" t="n">
        <v>3080.00166666667</v>
      </c>
      <c r="JM48" s="47" t="n">
        <v>3080.00166666667</v>
      </c>
      <c r="JN48" s="47" t="n">
        <v>3080.00166666667</v>
      </c>
      <c r="JO48" s="47" t="n">
        <v>3080.00166666667</v>
      </c>
      <c r="JP48" s="47" t="n">
        <v>3080.00166666667</v>
      </c>
      <c r="JQ48" s="47" t="n">
        <v>3080.00166666667</v>
      </c>
      <c r="JR48" s="47" t="n">
        <v>3080.00166666667</v>
      </c>
      <c r="JS48" s="47" t="n">
        <v>3080.00166666667</v>
      </c>
      <c r="JT48" s="47" t="n">
        <v>3446.66666666667</v>
      </c>
      <c r="JU48" s="47" t="n">
        <v>3446.66666666667</v>
      </c>
      <c r="JV48" s="47" t="n">
        <v>4326.62666666667</v>
      </c>
      <c r="JW48" s="47" t="n">
        <v>4326.62666666667</v>
      </c>
      <c r="JX48" s="47" t="n">
        <v>4326.62666666667</v>
      </c>
      <c r="JY48" s="47" t="n">
        <v>4619.94666666667</v>
      </c>
      <c r="JZ48" s="47" t="n">
        <v>4619.94666666667</v>
      </c>
      <c r="KA48" s="47" t="n">
        <v>4619.94666666667</v>
      </c>
      <c r="KB48" s="47" t="n">
        <v>4619.94666666667</v>
      </c>
      <c r="KC48" s="47" t="n">
        <v>5426.61333333333</v>
      </c>
      <c r="KD48" s="48" t="n">
        <v>5426.61333333333</v>
      </c>
      <c r="KE48" s="47" t="n">
        <v>5426.61333333333</v>
      </c>
      <c r="KF48" s="47" t="n">
        <v>5426.61333333333</v>
      </c>
      <c r="KG48" s="47" t="n">
        <v>5426.61333333333</v>
      </c>
      <c r="KH48" s="47" t="n">
        <v>5426.61333333333</v>
      </c>
      <c r="KI48" s="47" t="n">
        <v>5426.61333333333</v>
      </c>
      <c r="KJ48" s="47" t="n">
        <v>5426.61333333333</v>
      </c>
      <c r="KK48" s="47" t="n">
        <v>5426.61333333333</v>
      </c>
      <c r="KL48" s="47" t="n">
        <v>5426.61333333333</v>
      </c>
    </row>
    <row r="49" customFormat="false" ht="15.75" hidden="false" customHeight="true" outlineLevel="0" collapsed="false">
      <c r="A49" s="35" t="s">
        <v>259</v>
      </c>
      <c r="B49" s="35" t="s">
        <v>258</v>
      </c>
      <c r="C49" s="35" t="s">
        <v>164</v>
      </c>
      <c r="D49" s="35" t="s">
        <v>165</v>
      </c>
      <c r="E49" s="35" t="s">
        <v>188</v>
      </c>
      <c r="G49" s="44" t="n">
        <v>0</v>
      </c>
      <c r="H49" s="44" t="n">
        <v>0</v>
      </c>
      <c r="I49" s="44" t="n">
        <v>0</v>
      </c>
      <c r="J49" s="44" t="n">
        <v>0</v>
      </c>
      <c r="K49" s="44" t="n">
        <v>0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0</v>
      </c>
      <c r="Q49" s="44" t="n">
        <v>0</v>
      </c>
      <c r="R49" s="44" t="n">
        <v>0</v>
      </c>
      <c r="S49" s="44" t="n">
        <v>0</v>
      </c>
      <c r="T49" s="44" t="n">
        <v>0</v>
      </c>
      <c r="U49" s="44" t="n">
        <v>0</v>
      </c>
      <c r="V49" s="44" t="n">
        <v>0</v>
      </c>
      <c r="W49" s="44" t="n">
        <v>0</v>
      </c>
      <c r="X49" s="44" t="n">
        <v>0</v>
      </c>
      <c r="Y49" s="44" t="n">
        <v>0</v>
      </c>
      <c r="Z49" s="44" t="n">
        <v>0</v>
      </c>
      <c r="AA49" s="44" t="n">
        <v>0</v>
      </c>
      <c r="AB49" s="44" t="n">
        <v>0</v>
      </c>
      <c r="AC49" s="44" t="n">
        <v>0</v>
      </c>
      <c r="AD49" s="44" t="n">
        <v>0</v>
      </c>
      <c r="AE49" s="44" t="n">
        <v>0</v>
      </c>
      <c r="AF49" s="44" t="n">
        <v>0</v>
      </c>
      <c r="AG49" s="44" t="n">
        <v>0</v>
      </c>
      <c r="AH49" s="44" t="n">
        <v>666.666666666667</v>
      </c>
      <c r="AI49" s="44" t="n">
        <v>666.666666666667</v>
      </c>
      <c r="AJ49" s="44" t="n">
        <v>666.666666666667</v>
      </c>
      <c r="AK49" s="44" t="n">
        <v>666.666666666667</v>
      </c>
      <c r="AL49" s="44" t="n">
        <v>666.666666666667</v>
      </c>
      <c r="AM49" s="44" t="n">
        <v>666.666666666667</v>
      </c>
      <c r="AN49" s="44" t="n">
        <v>666.666666666667</v>
      </c>
      <c r="AO49" s="44" t="n">
        <v>666.666666666667</v>
      </c>
      <c r="AP49" s="44" t="n">
        <v>666.666666666667</v>
      </c>
      <c r="AQ49" s="44" t="n">
        <v>666.666666666667</v>
      </c>
      <c r="AR49" s="44" t="n">
        <v>666.666666666667</v>
      </c>
      <c r="AS49" s="44" t="n">
        <v>666.666666666667</v>
      </c>
      <c r="AT49" s="44" t="n">
        <v>0</v>
      </c>
      <c r="AU49" s="44" t="n">
        <v>0</v>
      </c>
      <c r="AV49" s="44" t="n">
        <v>0</v>
      </c>
      <c r="AW49" s="44" t="n">
        <v>0</v>
      </c>
      <c r="AX49" s="44" t="n">
        <v>0</v>
      </c>
      <c r="AY49" s="44" t="n">
        <v>0</v>
      </c>
      <c r="AZ49" s="44" t="n">
        <v>0</v>
      </c>
      <c r="BA49" s="44" t="n">
        <v>0</v>
      </c>
      <c r="BB49" s="44" t="n">
        <v>0</v>
      </c>
      <c r="BC49" s="44" t="n">
        <v>0</v>
      </c>
      <c r="BD49" s="44" t="n">
        <v>0</v>
      </c>
      <c r="BE49" s="44" t="n">
        <v>0</v>
      </c>
      <c r="BF49" s="44" t="n">
        <v>0</v>
      </c>
      <c r="BG49" s="44" t="n">
        <v>0</v>
      </c>
      <c r="BH49" s="44" t="n">
        <v>0</v>
      </c>
      <c r="BI49" s="44" t="n">
        <v>0</v>
      </c>
      <c r="BJ49" s="44" t="n">
        <v>0</v>
      </c>
      <c r="BK49" s="44" t="n">
        <v>0</v>
      </c>
      <c r="BL49" s="44" t="n">
        <v>0</v>
      </c>
      <c r="BM49" s="44" t="n">
        <v>0</v>
      </c>
      <c r="BN49" s="44" t="n">
        <v>0</v>
      </c>
      <c r="BO49" s="44" t="n">
        <v>0</v>
      </c>
      <c r="BP49" s="44" t="n">
        <v>0</v>
      </c>
      <c r="BQ49" s="44" t="n">
        <v>0</v>
      </c>
      <c r="BR49" s="45" t="n">
        <v>0</v>
      </c>
      <c r="BS49" s="46" t="n">
        <v>0</v>
      </c>
      <c r="BT49" s="46" t="n">
        <v>0</v>
      </c>
      <c r="BU49" s="46" t="n">
        <v>0</v>
      </c>
      <c r="BV49" s="46" t="n">
        <v>0</v>
      </c>
      <c r="BW49" s="46" t="n">
        <v>0</v>
      </c>
      <c r="BX49" s="46" t="n">
        <v>0</v>
      </c>
      <c r="BY49" s="46" t="n">
        <v>0</v>
      </c>
      <c r="BZ49" s="46" t="n">
        <v>0</v>
      </c>
      <c r="EX49" s="47" t="n">
        <v>0</v>
      </c>
      <c r="EY49" s="47" t="n">
        <v>0</v>
      </c>
      <c r="EZ49" s="47" t="n">
        <v>0</v>
      </c>
      <c r="FA49" s="47" t="n">
        <v>0</v>
      </c>
      <c r="FB49" s="47" t="n">
        <v>0</v>
      </c>
      <c r="FC49" s="47" t="n">
        <v>0</v>
      </c>
      <c r="FD49" s="47" t="n">
        <v>0</v>
      </c>
      <c r="FE49" s="47" t="n">
        <v>0</v>
      </c>
      <c r="FF49" s="47" t="n">
        <v>0</v>
      </c>
      <c r="FG49" s="47" t="n">
        <v>0</v>
      </c>
      <c r="FH49" s="47" t="n">
        <v>0</v>
      </c>
      <c r="FI49" s="47" t="n">
        <v>0</v>
      </c>
      <c r="FJ49" s="47" t="n">
        <v>0</v>
      </c>
      <c r="FK49" s="47" t="n">
        <v>0</v>
      </c>
      <c r="FL49" s="47" t="n">
        <v>0</v>
      </c>
      <c r="FM49" s="47" t="n">
        <v>0</v>
      </c>
      <c r="FN49" s="47" t="n">
        <v>0</v>
      </c>
      <c r="FO49" s="47" t="n">
        <v>0</v>
      </c>
      <c r="FP49" s="47" t="n">
        <v>0</v>
      </c>
      <c r="FQ49" s="47" t="n">
        <v>0</v>
      </c>
      <c r="FR49" s="47" t="n">
        <v>0</v>
      </c>
      <c r="FS49" s="47" t="n">
        <v>0</v>
      </c>
      <c r="FT49" s="47" t="n">
        <v>0</v>
      </c>
      <c r="FU49" s="47" t="n">
        <v>0</v>
      </c>
      <c r="FV49" s="47" t="n">
        <v>0</v>
      </c>
      <c r="FW49" s="47" t="n">
        <v>0</v>
      </c>
      <c r="FX49" s="47" t="n">
        <v>0</v>
      </c>
      <c r="FY49" s="47" t="n">
        <v>666.666666666667</v>
      </c>
      <c r="FZ49" s="47" t="n">
        <v>666.666666666667</v>
      </c>
      <c r="GA49" s="47" t="n">
        <v>666.666666666667</v>
      </c>
      <c r="GB49" s="47" t="n">
        <v>666.666666666667</v>
      </c>
      <c r="GC49" s="47" t="n">
        <v>666.666666666667</v>
      </c>
      <c r="GD49" s="47" t="n">
        <v>666.666666666667</v>
      </c>
      <c r="GE49" s="47" t="n">
        <v>666.666666666667</v>
      </c>
      <c r="GF49" s="47" t="n">
        <v>666.666666666667</v>
      </c>
      <c r="GG49" s="47" t="n">
        <v>666.666666666667</v>
      </c>
      <c r="GH49" s="47" t="n">
        <v>666.666666666667</v>
      </c>
      <c r="GI49" s="47" t="n">
        <v>666.666666666667</v>
      </c>
      <c r="GJ49" s="47" t="n">
        <v>666.666666666667</v>
      </c>
      <c r="GK49" s="47" t="n">
        <v>0</v>
      </c>
      <c r="GL49" s="47" t="n">
        <v>0</v>
      </c>
      <c r="GM49" s="47" t="n">
        <v>0</v>
      </c>
      <c r="GN49" s="47" t="n">
        <v>0</v>
      </c>
      <c r="GO49" s="47" t="n">
        <v>0</v>
      </c>
      <c r="GP49" s="47" t="n">
        <v>0</v>
      </c>
      <c r="GQ49" s="47" t="n">
        <v>0</v>
      </c>
      <c r="GR49" s="47" t="n">
        <v>0</v>
      </c>
      <c r="GS49" s="47" t="n">
        <v>0</v>
      </c>
      <c r="GT49" s="47" t="n">
        <v>0</v>
      </c>
      <c r="GU49" s="47" t="n">
        <v>0</v>
      </c>
      <c r="GV49" s="47" t="n">
        <v>0</v>
      </c>
      <c r="GW49" s="47" t="n">
        <v>0</v>
      </c>
      <c r="GX49" s="47" t="n">
        <v>0</v>
      </c>
      <c r="GY49" s="47" t="n">
        <v>0</v>
      </c>
      <c r="GZ49" s="47" t="n">
        <v>0</v>
      </c>
      <c r="HA49" s="47" t="n">
        <v>0</v>
      </c>
      <c r="HB49" s="47" t="n">
        <v>0</v>
      </c>
      <c r="HC49" s="47" t="n">
        <v>0</v>
      </c>
      <c r="HD49" s="47" t="n">
        <v>0</v>
      </c>
      <c r="HE49" s="47" t="n">
        <v>0</v>
      </c>
      <c r="HF49" s="47" t="n">
        <v>0</v>
      </c>
      <c r="HG49" s="47" t="n">
        <v>0</v>
      </c>
      <c r="HH49" s="47" t="n">
        <v>0</v>
      </c>
      <c r="HI49" s="48" t="n">
        <v>0</v>
      </c>
      <c r="HJ49" s="47" t="n">
        <v>0</v>
      </c>
      <c r="HK49" s="47" t="n">
        <v>0</v>
      </c>
      <c r="HL49" s="47" t="n">
        <v>0</v>
      </c>
      <c r="HM49" s="47" t="n">
        <v>0</v>
      </c>
      <c r="HN49" s="47" t="n">
        <v>0</v>
      </c>
      <c r="HO49" s="47" t="n">
        <v>0</v>
      </c>
      <c r="HP49" s="47" t="n">
        <v>0</v>
      </c>
      <c r="HQ49" s="47" t="n">
        <v>0</v>
      </c>
      <c r="HS49" s="47" t="n">
        <v>0</v>
      </c>
      <c r="HT49" s="47" t="n">
        <v>0</v>
      </c>
      <c r="HU49" s="47" t="n">
        <v>0</v>
      </c>
      <c r="HV49" s="47" t="n">
        <v>0</v>
      </c>
      <c r="HW49" s="47" t="n">
        <v>0</v>
      </c>
      <c r="HX49" s="47" t="n">
        <v>0</v>
      </c>
      <c r="HY49" s="47" t="n">
        <v>0</v>
      </c>
      <c r="HZ49" s="47" t="n">
        <v>0</v>
      </c>
      <c r="IA49" s="47" t="n">
        <v>0</v>
      </c>
      <c r="IB49" s="47" t="n">
        <v>0</v>
      </c>
      <c r="IC49" s="47" t="n">
        <v>0</v>
      </c>
      <c r="ID49" s="47" t="n">
        <v>0</v>
      </c>
      <c r="IE49" s="47" t="n">
        <v>0</v>
      </c>
      <c r="IF49" s="47" t="n">
        <v>0</v>
      </c>
      <c r="IG49" s="47" t="n">
        <v>0</v>
      </c>
      <c r="IH49" s="47" t="n">
        <v>0</v>
      </c>
      <c r="II49" s="47" t="n">
        <v>0</v>
      </c>
      <c r="IJ49" s="47" t="n">
        <v>0</v>
      </c>
      <c r="IK49" s="47" t="n">
        <v>0</v>
      </c>
      <c r="IL49" s="47" t="n">
        <v>0</v>
      </c>
      <c r="IM49" s="47" t="n">
        <v>0</v>
      </c>
      <c r="IN49" s="47" t="n">
        <v>0</v>
      </c>
      <c r="IO49" s="47" t="n">
        <v>0</v>
      </c>
      <c r="IP49" s="47" t="n">
        <v>0</v>
      </c>
      <c r="IQ49" s="47" t="n">
        <v>0</v>
      </c>
      <c r="IR49" s="47" t="n">
        <v>0</v>
      </c>
      <c r="IS49" s="47" t="n">
        <v>0</v>
      </c>
      <c r="IT49" s="47" t="n">
        <v>666.666666666667</v>
      </c>
      <c r="IU49" s="47" t="n">
        <v>666.666666666667</v>
      </c>
      <c r="IV49" s="47" t="n">
        <v>666.666666666667</v>
      </c>
      <c r="IW49" s="47" t="n">
        <v>666.666666666667</v>
      </c>
      <c r="IX49" s="47" t="n">
        <v>666.666666666667</v>
      </c>
      <c r="IY49" s="47" t="n">
        <v>666.666666666667</v>
      </c>
      <c r="IZ49" s="47" t="n">
        <v>666.666666666667</v>
      </c>
      <c r="JA49" s="47" t="n">
        <v>666.666666666667</v>
      </c>
      <c r="JB49" s="47" t="n">
        <v>666.666666666667</v>
      </c>
      <c r="JC49" s="47" t="n">
        <v>666.666666666667</v>
      </c>
      <c r="JD49" s="47" t="n">
        <v>666.666666666667</v>
      </c>
      <c r="JE49" s="47" t="n">
        <v>666.666666666667</v>
      </c>
      <c r="JF49" s="47" t="n">
        <v>0</v>
      </c>
      <c r="JG49" s="47" t="n">
        <v>0</v>
      </c>
      <c r="JH49" s="47" t="n">
        <v>0</v>
      </c>
      <c r="JI49" s="47" t="n">
        <v>0</v>
      </c>
      <c r="JJ49" s="47" t="n">
        <v>0</v>
      </c>
      <c r="JK49" s="47" t="n">
        <v>0</v>
      </c>
      <c r="JL49" s="47" t="n">
        <v>0</v>
      </c>
      <c r="JM49" s="47" t="n">
        <v>0</v>
      </c>
      <c r="JN49" s="47" t="n">
        <v>0</v>
      </c>
      <c r="JO49" s="47" t="n">
        <v>0</v>
      </c>
      <c r="JP49" s="47" t="n">
        <v>0</v>
      </c>
      <c r="JQ49" s="47" t="n">
        <v>0</v>
      </c>
      <c r="JR49" s="47" t="n">
        <v>0</v>
      </c>
      <c r="JS49" s="47" t="n">
        <v>0</v>
      </c>
      <c r="JT49" s="47" t="n">
        <v>0</v>
      </c>
      <c r="JU49" s="47" t="n">
        <v>0</v>
      </c>
      <c r="JV49" s="47" t="n">
        <v>0</v>
      </c>
      <c r="JW49" s="47" t="n">
        <v>0</v>
      </c>
      <c r="JX49" s="47" t="n">
        <v>0</v>
      </c>
      <c r="JY49" s="47" t="n">
        <v>0</v>
      </c>
      <c r="JZ49" s="47" t="n">
        <v>0</v>
      </c>
      <c r="KA49" s="47" t="n">
        <v>0</v>
      </c>
      <c r="KB49" s="47" t="n">
        <v>0</v>
      </c>
      <c r="KC49" s="47" t="n">
        <v>0</v>
      </c>
      <c r="KD49" s="48" t="n">
        <v>0</v>
      </c>
      <c r="KE49" s="47" t="n">
        <v>0</v>
      </c>
      <c r="KF49" s="47" t="n">
        <v>0</v>
      </c>
      <c r="KG49" s="47" t="n">
        <v>0</v>
      </c>
      <c r="KH49" s="47" t="n">
        <v>0</v>
      </c>
      <c r="KI49" s="47" t="n">
        <v>0</v>
      </c>
      <c r="KJ49" s="47" t="n">
        <v>0</v>
      </c>
      <c r="KK49" s="47" t="n">
        <v>0</v>
      </c>
      <c r="KL49" s="47" t="n">
        <v>0</v>
      </c>
    </row>
    <row r="50" customFormat="false" ht="16.5" hidden="false" customHeight="true" outlineLevel="0" collapsed="false">
      <c r="A50" s="35" t="s">
        <v>260</v>
      </c>
      <c r="B50" s="35" t="s">
        <v>261</v>
      </c>
      <c r="C50" s="35" t="s">
        <v>164</v>
      </c>
      <c r="D50" s="35" t="s">
        <v>180</v>
      </c>
      <c r="E50" s="35" t="s">
        <v>188</v>
      </c>
      <c r="G50" s="44" t="n">
        <v>0</v>
      </c>
      <c r="H50" s="44" t="n">
        <v>0</v>
      </c>
      <c r="I50" s="44" t="n">
        <v>0</v>
      </c>
      <c r="J50" s="44" t="n">
        <v>0</v>
      </c>
      <c r="K50" s="44" t="n">
        <v>0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0</v>
      </c>
      <c r="Q50" s="44" t="n">
        <v>0</v>
      </c>
      <c r="R50" s="44" t="n">
        <v>0</v>
      </c>
      <c r="S50" s="44" t="n">
        <v>0</v>
      </c>
      <c r="T50" s="44" t="n">
        <v>0</v>
      </c>
      <c r="U50" s="44" t="n">
        <v>0</v>
      </c>
      <c r="V50" s="44" t="n">
        <v>0</v>
      </c>
      <c r="W50" s="44" t="n">
        <v>0</v>
      </c>
      <c r="X50" s="44" t="n">
        <v>0</v>
      </c>
      <c r="Y50" s="44" t="n">
        <v>0</v>
      </c>
      <c r="Z50" s="44" t="n">
        <v>0</v>
      </c>
      <c r="AA50" s="44" t="n">
        <v>0</v>
      </c>
      <c r="AB50" s="44" t="n">
        <v>0</v>
      </c>
      <c r="AC50" s="44" t="n">
        <v>0</v>
      </c>
      <c r="AD50" s="44" t="n">
        <v>0</v>
      </c>
      <c r="AE50" s="44" t="n">
        <v>0</v>
      </c>
      <c r="AF50" s="44" t="n">
        <v>0</v>
      </c>
      <c r="AG50" s="44" t="n">
        <v>0</v>
      </c>
      <c r="AH50" s="44" t="n">
        <v>0</v>
      </c>
      <c r="AI50" s="44" t="n">
        <v>0</v>
      </c>
      <c r="AJ50" s="44" t="n">
        <v>883.333333333333</v>
      </c>
      <c r="AK50" s="44" t="n">
        <v>883.333333333333</v>
      </c>
      <c r="AL50" s="44" t="n">
        <v>883.333333333333</v>
      </c>
      <c r="AM50" s="44" t="n">
        <v>883.333333333333</v>
      </c>
      <c r="AN50" s="44" t="n">
        <v>1195.83208333333</v>
      </c>
      <c r="AO50" s="44" t="n">
        <v>1195.83208333333</v>
      </c>
      <c r="AP50" s="44" t="n">
        <v>1293.05041666667</v>
      </c>
      <c r="AQ50" s="44" t="n">
        <v>1993.02241666667</v>
      </c>
      <c r="AR50" s="44" t="n">
        <v>2300.30991666667</v>
      </c>
      <c r="AS50" s="44" t="n">
        <v>2300.30991666667</v>
      </c>
      <c r="AT50" s="44" t="n">
        <v>2300.30991666667</v>
      </c>
      <c r="AU50" s="44" t="n">
        <v>2300.30991666667</v>
      </c>
      <c r="AV50" s="44" t="n">
        <v>833.333333333333</v>
      </c>
      <c r="AW50" s="44" t="n">
        <v>833.333333333333</v>
      </c>
      <c r="AX50" s="44" t="n">
        <v>2970.84233333333</v>
      </c>
      <c r="AY50" s="44" t="n">
        <v>2970.84233333333</v>
      </c>
      <c r="AZ50" s="44" t="n">
        <v>2970.84233333333</v>
      </c>
      <c r="BA50" s="44" t="n">
        <v>2970.84233333333</v>
      </c>
      <c r="BB50" s="44" t="n">
        <v>2970.84233333333</v>
      </c>
      <c r="BC50" s="44" t="n">
        <v>2970.84233333333</v>
      </c>
      <c r="BD50" s="44" t="n">
        <v>2970.84233333333</v>
      </c>
      <c r="BE50" s="44" t="n">
        <v>2970.84233333333</v>
      </c>
      <c r="BF50" s="44" t="n">
        <v>2970.84233333333</v>
      </c>
      <c r="BG50" s="44" t="n">
        <v>2970.84233333333</v>
      </c>
      <c r="BH50" s="44" t="n">
        <v>0</v>
      </c>
      <c r="BI50" s="44" t="n">
        <v>0</v>
      </c>
      <c r="BJ50" s="44" t="n">
        <v>0</v>
      </c>
      <c r="BK50" s="44" t="n">
        <v>0</v>
      </c>
      <c r="BL50" s="44" t="n">
        <v>0</v>
      </c>
      <c r="BM50" s="44" t="n">
        <v>0</v>
      </c>
      <c r="BN50" s="44" t="n">
        <v>0</v>
      </c>
      <c r="BO50" s="44" t="n">
        <v>0</v>
      </c>
      <c r="BP50" s="44" t="n">
        <v>0</v>
      </c>
      <c r="BQ50" s="44" t="n">
        <v>0</v>
      </c>
      <c r="BR50" s="45" t="n">
        <v>0</v>
      </c>
      <c r="BS50" s="46" t="n">
        <v>0</v>
      </c>
      <c r="BT50" s="46" t="n">
        <v>0</v>
      </c>
      <c r="BU50" s="46" t="n">
        <v>0</v>
      </c>
      <c r="BV50" s="46" t="n">
        <v>0</v>
      </c>
      <c r="BW50" s="46" t="n">
        <v>0</v>
      </c>
      <c r="BX50" s="46" t="n">
        <v>0</v>
      </c>
      <c r="BY50" s="46" t="n">
        <v>0</v>
      </c>
      <c r="BZ50" s="46" t="n">
        <v>0</v>
      </c>
      <c r="CB50" s="52" t="s">
        <v>262</v>
      </c>
      <c r="CC50" s="50" t="n">
        <v>0</v>
      </c>
      <c r="CD50" s="50" t="n">
        <v>0</v>
      </c>
      <c r="CE50" s="50" t="n">
        <v>0</v>
      </c>
      <c r="CF50" s="50" t="n">
        <v>0</v>
      </c>
      <c r="CG50" s="50" t="n">
        <v>0</v>
      </c>
      <c r="CH50" s="50" t="n">
        <v>0</v>
      </c>
      <c r="CI50" s="50" t="n">
        <v>0</v>
      </c>
      <c r="CJ50" s="50" t="n">
        <v>0</v>
      </c>
      <c r="CK50" s="50" t="n">
        <v>0</v>
      </c>
      <c r="CL50" s="50" t="n">
        <v>0</v>
      </c>
      <c r="CM50" s="50" t="n">
        <v>0</v>
      </c>
      <c r="CN50" s="50" t="n">
        <v>0</v>
      </c>
      <c r="CO50" s="50" t="n">
        <v>0</v>
      </c>
      <c r="CP50" s="50" t="n">
        <v>0</v>
      </c>
      <c r="CQ50" s="50" t="n">
        <v>0</v>
      </c>
      <c r="CR50" s="50" t="n">
        <v>0</v>
      </c>
      <c r="CS50" s="50" t="n">
        <v>0</v>
      </c>
      <c r="CT50" s="50" t="n">
        <v>0</v>
      </c>
      <c r="CU50" s="50" t="n">
        <v>0</v>
      </c>
      <c r="CV50" s="50" t="n">
        <v>0</v>
      </c>
      <c r="CW50" s="50" t="n">
        <v>0</v>
      </c>
      <c r="CX50" s="50" t="n">
        <v>0</v>
      </c>
      <c r="CY50" s="50" t="n">
        <v>0</v>
      </c>
      <c r="CZ50" s="50" t="n">
        <v>0</v>
      </c>
      <c r="DA50" s="50" t="n">
        <v>0</v>
      </c>
      <c r="DB50" s="50" t="n">
        <v>0</v>
      </c>
      <c r="DC50" s="50" t="n">
        <v>0</v>
      </c>
      <c r="DD50" s="50" t="n">
        <v>0</v>
      </c>
      <c r="DE50" s="50" t="n">
        <v>0</v>
      </c>
      <c r="DF50" s="50" t="n">
        <v>-883.333333333333</v>
      </c>
      <c r="DG50" s="50" t="n">
        <v>-883.333333333333</v>
      </c>
      <c r="DH50" s="50" t="n">
        <v>-883.333333333333</v>
      </c>
      <c r="DI50" s="50" t="n">
        <v>-883.333333333333</v>
      </c>
      <c r="DJ50" s="50" t="n">
        <v>-1195.83208333333</v>
      </c>
      <c r="DK50" s="50" t="n">
        <v>-1195.83208333333</v>
      </c>
      <c r="DL50" s="50" t="n">
        <v>-1293.05041666667</v>
      </c>
      <c r="DM50" s="50" t="n">
        <v>-1993.02241666667</v>
      </c>
      <c r="DN50" s="50" t="n">
        <v>-2300.30991666667</v>
      </c>
      <c r="DO50" s="50" t="n">
        <v>-2300.30991666667</v>
      </c>
      <c r="DP50" s="50" t="n">
        <v>-2300.30991666667</v>
      </c>
      <c r="DQ50" s="50" t="n">
        <v>-2300.30991666667</v>
      </c>
      <c r="DR50" s="50" t="n">
        <v>-833.333333333333</v>
      </c>
      <c r="DS50" s="50" t="n">
        <v>-833.333333333333</v>
      </c>
      <c r="DT50" s="50" t="n">
        <v>-2970.84233333333</v>
      </c>
      <c r="DU50" s="50" t="n">
        <v>-2970.84233333333</v>
      </c>
      <c r="DV50" s="50" t="n">
        <v>-2970.84233333333</v>
      </c>
      <c r="DW50" s="50" t="n">
        <v>-2970.84233333333</v>
      </c>
      <c r="DX50" s="50" t="n">
        <v>-2970.84233333333</v>
      </c>
      <c r="DY50" s="50" t="n">
        <v>-2970.84233333333</v>
      </c>
      <c r="DZ50" s="50" t="n">
        <v>-2970.84233333333</v>
      </c>
      <c r="EA50" s="50" t="n">
        <v>-2970.84233333333</v>
      </c>
      <c r="EB50" s="50" t="n">
        <v>-2970.84233333333</v>
      </c>
      <c r="EC50" s="50" t="n">
        <v>-2970.84233333333</v>
      </c>
      <c r="ED50" s="50" t="n">
        <v>0</v>
      </c>
      <c r="EE50" s="50" t="n">
        <v>0</v>
      </c>
      <c r="EF50" s="50" t="n">
        <v>0</v>
      </c>
      <c r="EG50" s="50" t="n">
        <v>0</v>
      </c>
      <c r="EH50" s="50" t="n">
        <v>0</v>
      </c>
      <c r="EI50" s="50" t="n">
        <v>0</v>
      </c>
      <c r="EJ50" s="50" t="n">
        <v>0</v>
      </c>
      <c r="EK50" s="50" t="n">
        <v>0</v>
      </c>
      <c r="EL50" s="50" t="n">
        <v>0</v>
      </c>
      <c r="EM50" s="50" t="n">
        <v>0</v>
      </c>
      <c r="EN50" s="51" t="n">
        <v>0</v>
      </c>
      <c r="EO50" s="50" t="n">
        <v>0</v>
      </c>
      <c r="EP50" s="50" t="n">
        <v>0</v>
      </c>
      <c r="EQ50" s="50" t="n">
        <v>0</v>
      </c>
      <c r="ER50" s="50" t="n">
        <v>0</v>
      </c>
      <c r="ES50" s="50" t="n">
        <v>0</v>
      </c>
      <c r="ET50" s="50" t="n">
        <v>0</v>
      </c>
      <c r="EU50" s="50" t="n">
        <v>0</v>
      </c>
      <c r="EV50" s="50" t="n">
        <v>0</v>
      </c>
      <c r="EX50" s="47" t="n">
        <v>0</v>
      </c>
      <c r="EY50" s="47" t="n">
        <v>0</v>
      </c>
      <c r="EZ50" s="47" t="n">
        <v>0</v>
      </c>
      <c r="FA50" s="47" t="n">
        <v>0</v>
      </c>
      <c r="FB50" s="47" t="n">
        <v>0</v>
      </c>
      <c r="FC50" s="47" t="n">
        <v>0</v>
      </c>
      <c r="FD50" s="47" t="n">
        <v>0</v>
      </c>
      <c r="FE50" s="47" t="n">
        <v>0</v>
      </c>
      <c r="FF50" s="47" t="n">
        <v>0</v>
      </c>
      <c r="FG50" s="47" t="n">
        <v>0</v>
      </c>
      <c r="FH50" s="47" t="n">
        <v>0</v>
      </c>
      <c r="FI50" s="47" t="n">
        <v>0</v>
      </c>
      <c r="FJ50" s="47" t="n">
        <v>0</v>
      </c>
      <c r="FK50" s="47" t="n">
        <v>0</v>
      </c>
      <c r="FL50" s="47" t="n">
        <v>0</v>
      </c>
      <c r="FM50" s="47" t="n">
        <v>0</v>
      </c>
      <c r="FN50" s="47" t="n">
        <v>0</v>
      </c>
      <c r="FO50" s="47" t="n">
        <v>0</v>
      </c>
      <c r="FP50" s="47" t="n">
        <v>0</v>
      </c>
      <c r="FQ50" s="47" t="n">
        <v>0</v>
      </c>
      <c r="FR50" s="47" t="n">
        <v>0</v>
      </c>
      <c r="FS50" s="47" t="n">
        <v>0</v>
      </c>
      <c r="FT50" s="47" t="n">
        <v>0</v>
      </c>
      <c r="FU50" s="47" t="n">
        <v>0</v>
      </c>
      <c r="FV50" s="47" t="n">
        <v>0</v>
      </c>
      <c r="FW50" s="47" t="n">
        <v>0</v>
      </c>
      <c r="FX50" s="47" t="n">
        <v>0</v>
      </c>
      <c r="FY50" s="47" t="n">
        <v>0</v>
      </c>
      <c r="FZ50" s="47" t="n">
        <v>0</v>
      </c>
      <c r="GA50" s="47" t="n">
        <v>883.333333333333</v>
      </c>
      <c r="GB50" s="47" t="n">
        <v>883.333333333333</v>
      </c>
      <c r="GC50" s="47" t="n">
        <v>883.333333333333</v>
      </c>
      <c r="GD50" s="47" t="n">
        <v>883.333333333333</v>
      </c>
      <c r="GE50" s="47" t="n">
        <v>1195.83208333333</v>
      </c>
      <c r="GF50" s="47" t="n">
        <v>1195.83208333333</v>
      </c>
      <c r="GG50" s="47" t="n">
        <v>1293.05041666667</v>
      </c>
      <c r="GH50" s="47" t="n">
        <v>1993.02241666667</v>
      </c>
      <c r="GI50" s="47" t="n">
        <v>2300.30991666667</v>
      </c>
      <c r="GJ50" s="47" t="n">
        <v>2300.30991666667</v>
      </c>
      <c r="GK50" s="47" t="n">
        <v>2300.30991666667</v>
      </c>
      <c r="GL50" s="47" t="n">
        <v>2300.30991666667</v>
      </c>
      <c r="GM50" s="47" t="n">
        <v>833.333333333333</v>
      </c>
      <c r="GN50" s="47" t="n">
        <v>833.333333333333</v>
      </c>
      <c r="GO50" s="47" t="n">
        <v>2970.84233333333</v>
      </c>
      <c r="GP50" s="47" t="n">
        <v>2970.84233333333</v>
      </c>
      <c r="GQ50" s="47" t="n">
        <v>2970.84233333333</v>
      </c>
      <c r="GR50" s="47" t="n">
        <v>2970.84233333333</v>
      </c>
      <c r="GS50" s="47" t="n">
        <v>2970.84233333333</v>
      </c>
      <c r="GT50" s="47" t="n">
        <v>2970.84233333333</v>
      </c>
      <c r="GU50" s="47" t="n">
        <v>2970.84233333333</v>
      </c>
      <c r="GV50" s="47" t="n">
        <v>2970.84233333333</v>
      </c>
      <c r="GW50" s="47" t="n">
        <v>2970.84233333333</v>
      </c>
      <c r="GX50" s="47" t="n">
        <v>2970.84233333333</v>
      </c>
      <c r="GY50" s="47" t="n">
        <v>0</v>
      </c>
      <c r="GZ50" s="47" t="n">
        <v>0</v>
      </c>
      <c r="HA50" s="47" t="n">
        <v>0</v>
      </c>
      <c r="HB50" s="47" t="n">
        <v>0</v>
      </c>
      <c r="HC50" s="47" t="n">
        <v>0</v>
      </c>
      <c r="HD50" s="47" t="n">
        <v>0</v>
      </c>
      <c r="HE50" s="47" t="n">
        <v>0</v>
      </c>
      <c r="HF50" s="47" t="n">
        <v>0</v>
      </c>
      <c r="HG50" s="47" t="n">
        <v>0</v>
      </c>
      <c r="HH50" s="47" t="n">
        <v>0</v>
      </c>
      <c r="HI50" s="48" t="n">
        <v>0</v>
      </c>
      <c r="HJ50" s="47" t="n">
        <v>0</v>
      </c>
      <c r="HK50" s="47" t="n">
        <v>0</v>
      </c>
      <c r="HL50" s="47" t="n">
        <v>0</v>
      </c>
      <c r="HM50" s="47" t="n">
        <v>0</v>
      </c>
      <c r="HN50" s="47" t="n">
        <v>0</v>
      </c>
      <c r="HO50" s="47" t="n">
        <v>0</v>
      </c>
      <c r="HP50" s="47" t="n">
        <v>0</v>
      </c>
      <c r="HQ50" s="47" t="n">
        <v>0</v>
      </c>
      <c r="HS50" s="47" t="n">
        <v>0</v>
      </c>
      <c r="HT50" s="47" t="n">
        <v>0</v>
      </c>
      <c r="HU50" s="47" t="n">
        <v>0</v>
      </c>
      <c r="HV50" s="47" t="n">
        <v>0</v>
      </c>
      <c r="HW50" s="47" t="n">
        <v>0</v>
      </c>
      <c r="HX50" s="47" t="n">
        <v>0</v>
      </c>
      <c r="HY50" s="47" t="n">
        <v>0</v>
      </c>
      <c r="HZ50" s="47" t="n">
        <v>0</v>
      </c>
      <c r="IA50" s="47" t="n">
        <v>0</v>
      </c>
      <c r="IB50" s="47" t="n">
        <v>0</v>
      </c>
      <c r="IC50" s="47" t="n">
        <v>0</v>
      </c>
      <c r="ID50" s="47" t="n">
        <v>0</v>
      </c>
      <c r="IE50" s="47" t="n">
        <v>0</v>
      </c>
      <c r="IF50" s="47" t="n">
        <v>0</v>
      </c>
      <c r="IG50" s="47" t="n">
        <v>0</v>
      </c>
      <c r="IH50" s="47" t="n">
        <v>0</v>
      </c>
      <c r="II50" s="47" t="n">
        <v>0</v>
      </c>
      <c r="IJ50" s="47" t="n">
        <v>0</v>
      </c>
      <c r="IK50" s="47" t="n">
        <v>0</v>
      </c>
      <c r="IL50" s="47" t="n">
        <v>0</v>
      </c>
      <c r="IM50" s="47" t="n">
        <v>0</v>
      </c>
      <c r="IN50" s="47" t="n">
        <v>0</v>
      </c>
      <c r="IO50" s="47" t="n">
        <v>0</v>
      </c>
      <c r="IP50" s="47" t="n">
        <v>0</v>
      </c>
      <c r="IQ50" s="47" t="n">
        <v>0</v>
      </c>
      <c r="IR50" s="47" t="n">
        <v>0</v>
      </c>
      <c r="IS50" s="47" t="n">
        <v>0</v>
      </c>
      <c r="IT50" s="47" t="n">
        <v>0</v>
      </c>
      <c r="IU50" s="47" t="n">
        <v>0</v>
      </c>
      <c r="IV50" s="47" t="n">
        <v>0</v>
      </c>
      <c r="IW50" s="47" t="n">
        <v>0</v>
      </c>
      <c r="IX50" s="47" t="n">
        <v>0</v>
      </c>
      <c r="IY50" s="47" t="n">
        <v>0</v>
      </c>
      <c r="IZ50" s="47" t="n">
        <v>0</v>
      </c>
      <c r="JA50" s="47" t="n">
        <v>0</v>
      </c>
      <c r="JB50" s="47" t="n">
        <v>0</v>
      </c>
      <c r="JC50" s="47" t="n">
        <v>0</v>
      </c>
      <c r="JD50" s="47" t="n">
        <v>0</v>
      </c>
      <c r="JE50" s="47" t="n">
        <v>0</v>
      </c>
      <c r="JF50" s="47" t="n">
        <v>0</v>
      </c>
      <c r="JG50" s="47" t="n">
        <v>0</v>
      </c>
      <c r="JH50" s="47" t="n">
        <v>0</v>
      </c>
      <c r="JI50" s="47" t="n">
        <v>0</v>
      </c>
      <c r="JJ50" s="47" t="n">
        <v>0</v>
      </c>
      <c r="JK50" s="47" t="n">
        <v>0</v>
      </c>
      <c r="JL50" s="47" t="n">
        <v>0</v>
      </c>
      <c r="JM50" s="47" t="n">
        <v>0</v>
      </c>
      <c r="JN50" s="47" t="n">
        <v>0</v>
      </c>
      <c r="JO50" s="47" t="n">
        <v>0</v>
      </c>
      <c r="JP50" s="47" t="n">
        <v>0</v>
      </c>
      <c r="JQ50" s="47" t="n">
        <v>0</v>
      </c>
      <c r="JR50" s="47" t="n">
        <v>0</v>
      </c>
      <c r="JS50" s="47" t="n">
        <v>0</v>
      </c>
      <c r="JT50" s="47" t="n">
        <v>0</v>
      </c>
      <c r="JU50" s="47" t="n">
        <v>0</v>
      </c>
      <c r="JV50" s="47" t="n">
        <v>0</v>
      </c>
      <c r="JW50" s="47" t="n">
        <v>0</v>
      </c>
      <c r="JX50" s="47" t="n">
        <v>0</v>
      </c>
      <c r="JY50" s="47" t="n">
        <v>0</v>
      </c>
      <c r="JZ50" s="47" t="n">
        <v>0</v>
      </c>
      <c r="KA50" s="47" t="n">
        <v>0</v>
      </c>
      <c r="KB50" s="47" t="n">
        <v>0</v>
      </c>
      <c r="KC50" s="47" t="n">
        <v>0</v>
      </c>
      <c r="KD50" s="48" t="n">
        <v>0</v>
      </c>
      <c r="KE50" s="47" t="n">
        <v>0</v>
      </c>
      <c r="KF50" s="47" t="n">
        <v>0</v>
      </c>
      <c r="KG50" s="47" t="n">
        <v>0</v>
      </c>
      <c r="KH50" s="47" t="n">
        <v>0</v>
      </c>
      <c r="KI50" s="47" t="n">
        <v>0</v>
      </c>
      <c r="KJ50" s="47" t="n">
        <v>0</v>
      </c>
      <c r="KK50" s="47" t="n">
        <v>0</v>
      </c>
      <c r="KL50" s="47" t="n">
        <v>0</v>
      </c>
    </row>
    <row r="51" customFormat="false" ht="15.75" hidden="false" customHeight="true" outlineLevel="0" collapsed="false">
      <c r="A51" s="35" t="s">
        <v>263</v>
      </c>
      <c r="B51" s="35" t="s">
        <v>264</v>
      </c>
      <c r="C51" s="35" t="s">
        <v>164</v>
      </c>
      <c r="D51" s="35" t="s">
        <v>165</v>
      </c>
      <c r="E51" s="35" t="s">
        <v>174</v>
      </c>
      <c r="G51" s="44" t="n">
        <v>2108.33333333333</v>
      </c>
      <c r="H51" s="44" t="n">
        <v>2941.6675</v>
      </c>
      <c r="I51" s="44" t="n">
        <v>2941.6675</v>
      </c>
      <c r="J51" s="44" t="n">
        <v>2941.6675</v>
      </c>
      <c r="K51" s="44" t="n">
        <v>2941.6675</v>
      </c>
      <c r="L51" s="44" t="n">
        <v>2941.6675</v>
      </c>
      <c r="M51" s="44" t="n">
        <v>2941.6675</v>
      </c>
      <c r="N51" s="44" t="n">
        <v>2941.6675</v>
      </c>
      <c r="O51" s="44" t="n">
        <v>2941.6675</v>
      </c>
      <c r="P51" s="44" t="n">
        <v>2941.6675</v>
      </c>
      <c r="Q51" s="44" t="n">
        <v>2941.6675</v>
      </c>
      <c r="R51" s="44" t="n">
        <v>2941.6675</v>
      </c>
      <c r="S51" s="44" t="n">
        <v>2941.6675</v>
      </c>
      <c r="T51" s="44" t="n">
        <v>2941.6675</v>
      </c>
      <c r="U51" s="44" t="n">
        <v>2941.6675</v>
      </c>
      <c r="V51" s="44" t="n">
        <v>2941.6675</v>
      </c>
      <c r="W51" s="44" t="n">
        <v>3216.6775</v>
      </c>
      <c r="X51" s="44" t="n">
        <v>3216.6775</v>
      </c>
      <c r="Y51" s="44" t="n">
        <v>3216.6775</v>
      </c>
      <c r="Z51" s="44" t="n">
        <v>3216.6775</v>
      </c>
      <c r="AA51" s="44" t="n">
        <v>3216.6775</v>
      </c>
      <c r="AB51" s="44" t="n">
        <v>3216.6775</v>
      </c>
      <c r="AC51" s="44" t="n">
        <v>3216.6775</v>
      </c>
      <c r="AD51" s="44" t="n">
        <v>3216.6775</v>
      </c>
      <c r="AE51" s="44" t="n">
        <v>3216.6775</v>
      </c>
      <c r="AF51" s="44" t="n">
        <v>2383.33333333333</v>
      </c>
      <c r="AG51" s="44" t="n">
        <v>2383.33333333333</v>
      </c>
      <c r="AH51" s="44" t="n">
        <v>2383.33333333333</v>
      </c>
      <c r="AI51" s="44" t="n">
        <v>2383.33333333333</v>
      </c>
      <c r="AJ51" s="44" t="n">
        <v>2383.33333333333</v>
      </c>
      <c r="AK51" s="44" t="n">
        <v>2383.33333333333</v>
      </c>
      <c r="AL51" s="44" t="n">
        <v>2383.33333333333</v>
      </c>
      <c r="AM51" s="44" t="n">
        <v>2383.33333333333</v>
      </c>
      <c r="AN51" s="44" t="n">
        <v>2383.33333333333</v>
      </c>
      <c r="AO51" s="44" t="n">
        <v>2383.33333333333</v>
      </c>
      <c r="AP51" s="44" t="n">
        <v>2383.33333333333</v>
      </c>
      <c r="AQ51" s="44" t="n">
        <v>2383.33333333333</v>
      </c>
      <c r="AR51" s="44" t="n">
        <v>2383.33333333333</v>
      </c>
      <c r="AS51" s="44" t="n">
        <v>2383.33333333333</v>
      </c>
      <c r="AT51" s="44" t="n">
        <v>2383.33333333333</v>
      </c>
      <c r="AU51" s="44" t="n">
        <v>2383.33333333333</v>
      </c>
      <c r="AV51" s="44" t="n">
        <v>2383.33333333333</v>
      </c>
      <c r="AW51" s="44" t="n">
        <v>2383.33333333333</v>
      </c>
      <c r="AX51" s="44" t="n">
        <v>2383.33333333333</v>
      </c>
      <c r="AY51" s="44" t="n">
        <v>2383.33333333333</v>
      </c>
      <c r="AZ51" s="44" t="n">
        <v>2383.33333333333</v>
      </c>
      <c r="BA51" s="44" t="n">
        <v>2383.33333333333</v>
      </c>
      <c r="BB51" s="44" t="n">
        <v>2383.33333333333</v>
      </c>
      <c r="BC51" s="44" t="n">
        <v>2383.33333333333</v>
      </c>
      <c r="BD51" s="44" t="n">
        <v>1191.66666666667</v>
      </c>
      <c r="BE51" s="44" t="n">
        <v>1191.66666666667</v>
      </c>
      <c r="BF51" s="44" t="n">
        <v>1191.66666666667</v>
      </c>
      <c r="BG51" s="44" t="n">
        <v>1191.66666666667</v>
      </c>
      <c r="BH51" s="44" t="n">
        <v>1191.66666666667</v>
      </c>
      <c r="BI51" s="44" t="n">
        <v>1191.66666666667</v>
      </c>
      <c r="BJ51" s="44" t="n">
        <v>1191.66666666667</v>
      </c>
      <c r="BK51" s="44" t="n">
        <v>1191.66666666667</v>
      </c>
      <c r="BL51" s="44" t="n">
        <v>1191.66666666667</v>
      </c>
      <c r="BM51" s="44" t="n">
        <v>1191.66666666667</v>
      </c>
      <c r="BN51" s="44" t="n">
        <v>1191.66666666667</v>
      </c>
      <c r="BO51" s="44" t="n">
        <v>1191.66666666667</v>
      </c>
      <c r="BP51" s="44" t="n">
        <v>1108.33333333333</v>
      </c>
      <c r="BQ51" s="44" t="n">
        <v>1108.33333333333</v>
      </c>
      <c r="BR51" s="45" t="n">
        <v>1108.33333333333</v>
      </c>
      <c r="BS51" s="46" t="n">
        <v>1108.33333333333</v>
      </c>
      <c r="BT51" s="46" t="n">
        <v>1108.33333333333</v>
      </c>
      <c r="BU51" s="46" t="n">
        <v>1108.33333333333</v>
      </c>
      <c r="BV51" s="46" t="n">
        <v>1108.33333333333</v>
      </c>
      <c r="BW51" s="46" t="n">
        <v>1108.33333333333</v>
      </c>
      <c r="BX51" s="46" t="n">
        <v>1108.33333333333</v>
      </c>
      <c r="BY51" s="46" t="n">
        <v>1108.33333333333</v>
      </c>
      <c r="BZ51" s="46" t="n">
        <v>1108.33333333333</v>
      </c>
      <c r="CB51" s="49" t="s">
        <v>184</v>
      </c>
      <c r="CC51" s="50" t="n">
        <v>-916.666666666667</v>
      </c>
      <c r="CD51" s="50" t="n">
        <v>-1750</v>
      </c>
      <c r="CE51" s="50" t="n">
        <v>-1750</v>
      </c>
      <c r="CF51" s="50" t="n">
        <v>-1750</v>
      </c>
      <c r="CG51" s="50" t="n">
        <v>-1750</v>
      </c>
      <c r="CH51" s="50" t="n">
        <v>-1750</v>
      </c>
      <c r="CI51" s="50" t="n">
        <v>-1750</v>
      </c>
      <c r="CJ51" s="50" t="n">
        <v>-1750</v>
      </c>
      <c r="CK51" s="50" t="n">
        <v>-1750</v>
      </c>
      <c r="CL51" s="50" t="n">
        <v>-1750</v>
      </c>
      <c r="CM51" s="50" t="n">
        <v>-1750</v>
      </c>
      <c r="CN51" s="50" t="n">
        <v>-1750</v>
      </c>
      <c r="CO51" s="50" t="n">
        <v>-1750</v>
      </c>
      <c r="CP51" s="50" t="n">
        <v>-1750</v>
      </c>
      <c r="CQ51" s="50" t="n">
        <v>-1750</v>
      </c>
      <c r="CR51" s="50" t="n">
        <v>-1750</v>
      </c>
      <c r="CS51" s="50" t="n">
        <v>-2025</v>
      </c>
      <c r="CT51" s="50" t="n">
        <v>-2025</v>
      </c>
      <c r="CU51" s="50" t="n">
        <v>-2025</v>
      </c>
      <c r="CV51" s="50" t="n">
        <v>-2025</v>
      </c>
      <c r="CW51" s="50" t="n">
        <v>-2025</v>
      </c>
      <c r="CX51" s="50" t="n">
        <v>-2025</v>
      </c>
      <c r="CY51" s="50" t="n">
        <v>-2025</v>
      </c>
      <c r="CZ51" s="50" t="n">
        <v>-2025</v>
      </c>
      <c r="DA51" s="50" t="n">
        <v>-2025</v>
      </c>
      <c r="DB51" s="50" t="n">
        <v>-1191.66666666667</v>
      </c>
      <c r="DC51" s="50" t="n">
        <v>-1191.66666666667</v>
      </c>
      <c r="DD51" s="50" t="n">
        <v>-1191.66666666667</v>
      </c>
      <c r="DE51" s="50" t="n">
        <v>-1191.66666666667</v>
      </c>
      <c r="DF51" s="50" t="n">
        <v>-1191.66666666667</v>
      </c>
      <c r="DG51" s="50" t="n">
        <v>-1191.66666666667</v>
      </c>
      <c r="DH51" s="50" t="n">
        <v>-1191.66666666667</v>
      </c>
      <c r="DI51" s="50" t="n">
        <v>-1191.66666666667</v>
      </c>
      <c r="DJ51" s="50" t="n">
        <v>-1191.66666666667</v>
      </c>
      <c r="DK51" s="50" t="n">
        <v>-1191.66666666667</v>
      </c>
      <c r="DL51" s="50" t="n">
        <v>-1191.66666666667</v>
      </c>
      <c r="DM51" s="50" t="n">
        <v>-1191.66666666667</v>
      </c>
      <c r="DN51" s="50" t="n">
        <v>-1191.66666666667</v>
      </c>
      <c r="DO51" s="50" t="n">
        <v>-1191.66666666667</v>
      </c>
      <c r="DP51" s="50" t="n">
        <v>-1191.66666666667</v>
      </c>
      <c r="DQ51" s="50" t="n">
        <v>-1191.66666666667</v>
      </c>
      <c r="DR51" s="50" t="n">
        <v>-1191.66666666667</v>
      </c>
      <c r="DS51" s="50" t="n">
        <v>-1191.66666666667</v>
      </c>
      <c r="DT51" s="50" t="n">
        <v>-1191.66666666667</v>
      </c>
      <c r="DU51" s="50" t="n">
        <v>-1191.66666666667</v>
      </c>
      <c r="DV51" s="50" t="n">
        <v>-1191.66666666667</v>
      </c>
      <c r="DW51" s="50" t="n">
        <v>-1191.66666666667</v>
      </c>
      <c r="DX51" s="50" t="n">
        <v>-1191.66666666667</v>
      </c>
      <c r="DY51" s="50" t="n">
        <v>-1191.66666666667</v>
      </c>
      <c r="DZ51" s="50" t="n">
        <v>0</v>
      </c>
      <c r="EA51" s="50" t="n">
        <v>0</v>
      </c>
      <c r="EB51" s="50" t="n">
        <v>0</v>
      </c>
      <c r="EC51" s="50" t="n">
        <v>0</v>
      </c>
      <c r="ED51" s="50" t="n">
        <v>0</v>
      </c>
      <c r="EE51" s="50" t="n">
        <v>0</v>
      </c>
      <c r="EF51" s="50" t="n">
        <v>0</v>
      </c>
      <c r="EG51" s="50" t="n">
        <v>0</v>
      </c>
      <c r="EH51" s="50" t="n">
        <v>0</v>
      </c>
      <c r="EI51" s="50" t="n">
        <v>0</v>
      </c>
      <c r="EJ51" s="50" t="n">
        <v>0</v>
      </c>
      <c r="EK51" s="50" t="n">
        <v>0</v>
      </c>
      <c r="EL51" s="50" t="n">
        <v>0</v>
      </c>
      <c r="EM51" s="50" t="n">
        <v>0</v>
      </c>
      <c r="EN51" s="51" t="n">
        <v>0</v>
      </c>
      <c r="EO51" s="50" t="n">
        <v>0</v>
      </c>
      <c r="EP51" s="50" t="n">
        <v>0</v>
      </c>
      <c r="EQ51" s="50" t="n">
        <v>0</v>
      </c>
      <c r="ER51" s="50" t="n">
        <v>0</v>
      </c>
      <c r="ES51" s="50" t="n">
        <v>0</v>
      </c>
      <c r="ET51" s="50" t="n">
        <v>0</v>
      </c>
      <c r="EU51" s="50" t="n">
        <v>0</v>
      </c>
      <c r="EV51" s="50" t="n">
        <v>0</v>
      </c>
      <c r="EX51" s="47" t="n">
        <v>2108.33333333333</v>
      </c>
      <c r="EY51" s="47" t="n">
        <v>2941.6675</v>
      </c>
      <c r="EZ51" s="47" t="n">
        <v>2941.6675</v>
      </c>
      <c r="FA51" s="47" t="n">
        <v>2941.6675</v>
      </c>
      <c r="FB51" s="47" t="n">
        <v>2941.6675</v>
      </c>
      <c r="FC51" s="47" t="n">
        <v>2941.6675</v>
      </c>
      <c r="FD51" s="47" t="n">
        <v>2941.6675</v>
      </c>
      <c r="FE51" s="47" t="n">
        <v>2941.6675</v>
      </c>
      <c r="FF51" s="47" t="n">
        <v>2941.6675</v>
      </c>
      <c r="FG51" s="47" t="n">
        <v>2941.6675</v>
      </c>
      <c r="FH51" s="47" t="n">
        <v>2941.6675</v>
      </c>
      <c r="FI51" s="47" t="n">
        <v>2941.6675</v>
      </c>
      <c r="FJ51" s="47" t="n">
        <v>2941.6675</v>
      </c>
      <c r="FK51" s="47" t="n">
        <v>2941.6675</v>
      </c>
      <c r="FL51" s="47" t="n">
        <v>2941.6675</v>
      </c>
      <c r="FM51" s="47" t="n">
        <v>2941.6675</v>
      </c>
      <c r="FN51" s="47" t="n">
        <v>3216.6775</v>
      </c>
      <c r="FO51" s="47" t="n">
        <v>3216.6775</v>
      </c>
      <c r="FP51" s="47" t="n">
        <v>3216.6775</v>
      </c>
      <c r="FQ51" s="47" t="n">
        <v>3216.6775</v>
      </c>
      <c r="FR51" s="47" t="n">
        <v>3216.6775</v>
      </c>
      <c r="FS51" s="47" t="n">
        <v>3216.6775</v>
      </c>
      <c r="FT51" s="47" t="n">
        <v>3216.6775</v>
      </c>
      <c r="FU51" s="47" t="n">
        <v>3216.6775</v>
      </c>
      <c r="FV51" s="47" t="n">
        <v>3216.6775</v>
      </c>
      <c r="FW51" s="47" t="n">
        <v>2383.33333333333</v>
      </c>
      <c r="FX51" s="47" t="n">
        <v>2383.33333333333</v>
      </c>
      <c r="FY51" s="47" t="n">
        <v>2383.33333333333</v>
      </c>
      <c r="FZ51" s="47" t="n">
        <v>2383.33333333333</v>
      </c>
      <c r="GA51" s="47" t="n">
        <v>2383.33333333333</v>
      </c>
      <c r="GB51" s="47" t="n">
        <v>2383.33333333333</v>
      </c>
      <c r="GC51" s="47" t="n">
        <v>2383.33333333333</v>
      </c>
      <c r="GD51" s="47" t="n">
        <v>2383.33333333333</v>
      </c>
      <c r="GE51" s="47" t="n">
        <v>2383.33333333333</v>
      </c>
      <c r="GF51" s="47" t="n">
        <v>2383.33333333333</v>
      </c>
      <c r="GG51" s="47" t="n">
        <v>2383.33333333333</v>
      </c>
      <c r="GH51" s="47" t="n">
        <v>2383.33333333333</v>
      </c>
      <c r="GI51" s="47" t="n">
        <v>2383.33333333333</v>
      </c>
      <c r="GJ51" s="47" t="n">
        <v>2383.33333333333</v>
      </c>
      <c r="GK51" s="47" t="n">
        <v>2383.33333333333</v>
      </c>
      <c r="GL51" s="47" t="n">
        <v>2383.33333333333</v>
      </c>
      <c r="GM51" s="47" t="n">
        <v>2383.33333333333</v>
      </c>
      <c r="GN51" s="47" t="n">
        <v>2383.33333333333</v>
      </c>
      <c r="GO51" s="47" t="n">
        <v>2383.33333333333</v>
      </c>
      <c r="GP51" s="47" t="n">
        <v>2383.33333333333</v>
      </c>
      <c r="GQ51" s="47" t="n">
        <v>2383.33333333333</v>
      </c>
      <c r="GR51" s="47" t="n">
        <v>2383.33333333333</v>
      </c>
      <c r="GS51" s="47" t="n">
        <v>2383.33333333333</v>
      </c>
      <c r="GT51" s="47" t="n">
        <v>2383.33333333333</v>
      </c>
      <c r="GU51" s="47" t="n">
        <v>1191.66666666667</v>
      </c>
      <c r="GV51" s="47" t="n">
        <v>1191.66666666667</v>
      </c>
      <c r="GW51" s="47" t="n">
        <v>1191.66666666667</v>
      </c>
      <c r="GX51" s="47" t="n">
        <v>1191.66666666667</v>
      </c>
      <c r="GY51" s="47" t="n">
        <v>1191.66666666667</v>
      </c>
      <c r="GZ51" s="47" t="n">
        <v>1191.66666666667</v>
      </c>
      <c r="HA51" s="47" t="n">
        <v>1191.66666666667</v>
      </c>
      <c r="HB51" s="47" t="n">
        <v>1191.66666666667</v>
      </c>
      <c r="HC51" s="47" t="n">
        <v>1191.66666666667</v>
      </c>
      <c r="HD51" s="47" t="n">
        <v>1191.66666666667</v>
      </c>
      <c r="HE51" s="47" t="n">
        <v>1191.66666666667</v>
      </c>
      <c r="HF51" s="47" t="n">
        <v>1191.66666666667</v>
      </c>
      <c r="HG51" s="47" t="n">
        <v>1108.33333333333</v>
      </c>
      <c r="HH51" s="47" t="n">
        <v>1108.33333333333</v>
      </c>
      <c r="HI51" s="48" t="n">
        <v>1108.33333333333</v>
      </c>
      <c r="HJ51" s="47" t="n">
        <v>1108.33333333333</v>
      </c>
      <c r="HK51" s="47" t="n">
        <v>1108.33333333333</v>
      </c>
      <c r="HL51" s="47" t="n">
        <v>1108.33333333333</v>
      </c>
      <c r="HM51" s="47" t="n">
        <v>1108.33333333333</v>
      </c>
      <c r="HN51" s="47" t="n">
        <v>1108.33333333333</v>
      </c>
      <c r="HO51" s="47" t="n">
        <v>1108.33333333333</v>
      </c>
      <c r="HP51" s="47" t="n">
        <v>1108.33333333333</v>
      </c>
      <c r="HQ51" s="47" t="n">
        <v>1108.33333333333</v>
      </c>
      <c r="HS51" s="47" t="n">
        <v>1191.66666666666</v>
      </c>
      <c r="HT51" s="47" t="n">
        <v>1191.6675</v>
      </c>
      <c r="HU51" s="47" t="n">
        <v>1191.6675</v>
      </c>
      <c r="HV51" s="47" t="n">
        <v>1191.6675</v>
      </c>
      <c r="HW51" s="47" t="n">
        <v>1191.6675</v>
      </c>
      <c r="HX51" s="47" t="n">
        <v>1191.6675</v>
      </c>
      <c r="HY51" s="47" t="n">
        <v>1191.6675</v>
      </c>
      <c r="HZ51" s="47" t="n">
        <v>1191.6675</v>
      </c>
      <c r="IA51" s="47" t="n">
        <v>1191.6675</v>
      </c>
      <c r="IB51" s="47" t="n">
        <v>1191.6675</v>
      </c>
      <c r="IC51" s="47" t="n">
        <v>1191.6675</v>
      </c>
      <c r="ID51" s="47" t="n">
        <v>1191.6675</v>
      </c>
      <c r="IE51" s="47" t="n">
        <v>1191.6675</v>
      </c>
      <c r="IF51" s="47" t="n">
        <v>1191.6675</v>
      </c>
      <c r="IG51" s="47" t="n">
        <v>1191.6675</v>
      </c>
      <c r="IH51" s="47" t="n">
        <v>1191.6675</v>
      </c>
      <c r="II51" s="47" t="n">
        <v>1191.6775</v>
      </c>
      <c r="IJ51" s="47" t="n">
        <v>1191.6775</v>
      </c>
      <c r="IK51" s="47" t="n">
        <v>1191.6775</v>
      </c>
      <c r="IL51" s="47" t="n">
        <v>1191.6775</v>
      </c>
      <c r="IM51" s="47" t="n">
        <v>1191.6775</v>
      </c>
      <c r="IN51" s="47" t="n">
        <v>1191.6775</v>
      </c>
      <c r="IO51" s="47" t="n">
        <v>1191.6775</v>
      </c>
      <c r="IP51" s="47" t="n">
        <v>1191.6775</v>
      </c>
      <c r="IQ51" s="47" t="n">
        <v>1191.6775</v>
      </c>
      <c r="IR51" s="47" t="n">
        <v>1191.66666666666</v>
      </c>
      <c r="IS51" s="47" t="n">
        <v>1191.66666666666</v>
      </c>
      <c r="IT51" s="47" t="n">
        <v>1191.66666666666</v>
      </c>
      <c r="IU51" s="47" t="n">
        <v>1191.66666666666</v>
      </c>
      <c r="IV51" s="47" t="n">
        <v>1191.66666666666</v>
      </c>
      <c r="IW51" s="47" t="n">
        <v>1191.66666666666</v>
      </c>
      <c r="IX51" s="47" t="n">
        <v>1191.66666666666</v>
      </c>
      <c r="IY51" s="47" t="n">
        <v>1191.66666666666</v>
      </c>
      <c r="IZ51" s="47" t="n">
        <v>1191.66666666666</v>
      </c>
      <c r="JA51" s="47" t="n">
        <v>1191.66666666666</v>
      </c>
      <c r="JB51" s="47" t="n">
        <v>1191.66666666666</v>
      </c>
      <c r="JC51" s="47" t="n">
        <v>1191.66666666666</v>
      </c>
      <c r="JD51" s="47" t="n">
        <v>1191.66666666666</v>
      </c>
      <c r="JE51" s="47" t="n">
        <v>1191.66666666666</v>
      </c>
      <c r="JF51" s="47" t="n">
        <v>1191.66666666666</v>
      </c>
      <c r="JG51" s="47" t="n">
        <v>1191.66666666666</v>
      </c>
      <c r="JH51" s="47" t="n">
        <v>1191.66666666666</v>
      </c>
      <c r="JI51" s="47" t="n">
        <v>1191.66666666666</v>
      </c>
      <c r="JJ51" s="47" t="n">
        <v>1191.66666666666</v>
      </c>
      <c r="JK51" s="47" t="n">
        <v>1191.66666666666</v>
      </c>
      <c r="JL51" s="47" t="n">
        <v>1191.66666666666</v>
      </c>
      <c r="JM51" s="47" t="n">
        <v>1191.66666666666</v>
      </c>
      <c r="JN51" s="47" t="n">
        <v>1191.66666666666</v>
      </c>
      <c r="JO51" s="47" t="n">
        <v>1191.66666666666</v>
      </c>
      <c r="JP51" s="47" t="n">
        <v>1191.66666666667</v>
      </c>
      <c r="JQ51" s="47" t="n">
        <v>1191.66666666667</v>
      </c>
      <c r="JR51" s="47" t="n">
        <v>1191.66666666667</v>
      </c>
      <c r="JS51" s="47" t="n">
        <v>1191.66666666667</v>
      </c>
      <c r="JT51" s="47" t="n">
        <v>1191.66666666667</v>
      </c>
      <c r="JU51" s="47" t="n">
        <v>1191.66666666667</v>
      </c>
      <c r="JV51" s="47" t="n">
        <v>1191.66666666667</v>
      </c>
      <c r="JW51" s="47" t="n">
        <v>1191.66666666667</v>
      </c>
      <c r="JX51" s="47" t="n">
        <v>1191.66666666667</v>
      </c>
      <c r="JY51" s="47" t="n">
        <v>1191.66666666667</v>
      </c>
      <c r="JZ51" s="47" t="n">
        <v>1191.66666666667</v>
      </c>
      <c r="KA51" s="47" t="n">
        <v>1191.66666666667</v>
      </c>
      <c r="KB51" s="47" t="n">
        <v>1108.33333333333</v>
      </c>
      <c r="KC51" s="47" t="n">
        <v>1108.33333333333</v>
      </c>
      <c r="KD51" s="48" t="n">
        <v>1108.33333333333</v>
      </c>
      <c r="KE51" s="47" t="n">
        <v>1108.33333333333</v>
      </c>
      <c r="KF51" s="47" t="n">
        <v>1108.33333333333</v>
      </c>
      <c r="KG51" s="47" t="n">
        <v>1108.33333333333</v>
      </c>
      <c r="KH51" s="47" t="n">
        <v>1108.33333333333</v>
      </c>
      <c r="KI51" s="47" t="n">
        <v>1108.33333333333</v>
      </c>
      <c r="KJ51" s="47" t="n">
        <v>1108.33333333333</v>
      </c>
      <c r="KK51" s="47" t="n">
        <v>1108.33333333333</v>
      </c>
      <c r="KL51" s="47" t="n">
        <v>1108.33333333333</v>
      </c>
    </row>
    <row r="52" customFormat="false" ht="15.75" hidden="false" customHeight="true" outlineLevel="0" collapsed="false">
      <c r="A52" s="35" t="s">
        <v>265</v>
      </c>
      <c r="B52" s="35" t="s">
        <v>266</v>
      </c>
      <c r="C52" s="35" t="s">
        <v>200</v>
      </c>
      <c r="D52" s="35" t="s">
        <v>267</v>
      </c>
      <c r="E52" s="35" t="s">
        <v>174</v>
      </c>
      <c r="G52" s="44" t="n">
        <v>0</v>
      </c>
      <c r="H52" s="44" t="n">
        <v>0</v>
      </c>
      <c r="I52" s="44" t="n">
        <v>0</v>
      </c>
      <c r="J52" s="44" t="n">
        <v>0</v>
      </c>
      <c r="K52" s="44" t="n">
        <v>0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0</v>
      </c>
      <c r="Q52" s="44" t="n">
        <v>0</v>
      </c>
      <c r="R52" s="44" t="n">
        <v>0</v>
      </c>
      <c r="S52" s="44" t="n">
        <v>0</v>
      </c>
      <c r="T52" s="44" t="n">
        <v>0</v>
      </c>
      <c r="U52" s="44" t="n">
        <v>0</v>
      </c>
      <c r="V52" s="44" t="n">
        <v>0</v>
      </c>
      <c r="W52" s="44" t="n">
        <v>0</v>
      </c>
      <c r="X52" s="44" t="n">
        <v>0</v>
      </c>
      <c r="Y52" s="44" t="n">
        <v>0</v>
      </c>
      <c r="Z52" s="44" t="n">
        <v>0</v>
      </c>
      <c r="AA52" s="44" t="n">
        <v>0</v>
      </c>
      <c r="AB52" s="44" t="n">
        <v>0</v>
      </c>
      <c r="AC52" s="44" t="n">
        <v>0</v>
      </c>
      <c r="AD52" s="44" t="n">
        <v>0</v>
      </c>
      <c r="AE52" s="44" t="n">
        <v>0</v>
      </c>
      <c r="AF52" s="44" t="n">
        <v>0</v>
      </c>
      <c r="AG52" s="44" t="n">
        <v>0</v>
      </c>
      <c r="AH52" s="44" t="n">
        <v>0</v>
      </c>
      <c r="AI52" s="44" t="n">
        <v>0</v>
      </c>
      <c r="AJ52" s="44" t="n">
        <v>933.333333333333</v>
      </c>
      <c r="AK52" s="44" t="n">
        <v>933.333333333333</v>
      </c>
      <c r="AL52" s="44" t="n">
        <v>933.333333333333</v>
      </c>
      <c r="AM52" s="44" t="n">
        <v>933.333333333333</v>
      </c>
      <c r="AN52" s="44" t="n">
        <v>933.333333333333</v>
      </c>
      <c r="AO52" s="44" t="n">
        <v>933.333333333333</v>
      </c>
      <c r="AP52" s="44" t="n">
        <v>933.333333333333</v>
      </c>
      <c r="AQ52" s="44" t="n">
        <v>933.333333333333</v>
      </c>
      <c r="AR52" s="44" t="n">
        <v>933.333333333333</v>
      </c>
      <c r="AS52" s="44" t="n">
        <v>933.333333333333</v>
      </c>
      <c r="AT52" s="44" t="n">
        <v>933.333333333333</v>
      </c>
      <c r="AU52" s="44" t="n">
        <v>933.333333333333</v>
      </c>
      <c r="AV52" s="44" t="n">
        <v>933.333333333333</v>
      </c>
      <c r="AW52" s="44" t="n">
        <v>1266.66515151515</v>
      </c>
      <c r="AX52" s="44" t="n">
        <v>1266.66515151515</v>
      </c>
      <c r="AY52" s="44" t="n">
        <v>1266.66515151515</v>
      </c>
      <c r="AZ52" s="44" t="n">
        <v>1266.66515151515</v>
      </c>
      <c r="BA52" s="44" t="n">
        <v>1266.66515151515</v>
      </c>
      <c r="BB52" s="44" t="n">
        <v>1266.66515151515</v>
      </c>
      <c r="BC52" s="44" t="n">
        <v>1266.66515151515</v>
      </c>
      <c r="BD52" s="44" t="n">
        <v>1266.66515151515</v>
      </c>
      <c r="BE52" s="44" t="n">
        <v>1266.66515151515</v>
      </c>
      <c r="BF52" s="44" t="n">
        <v>1266.66515151515</v>
      </c>
      <c r="BG52" s="44" t="n">
        <v>1266.66515151515</v>
      </c>
      <c r="BH52" s="44" t="n">
        <v>1266.66666666667</v>
      </c>
      <c r="BI52" s="44" t="n">
        <v>1266.66666666667</v>
      </c>
      <c r="BJ52" s="44" t="n">
        <v>1266.66666666667</v>
      </c>
      <c r="BK52" s="44" t="n">
        <v>1266.66666666667</v>
      </c>
      <c r="BL52" s="44" t="n">
        <v>1266.66666666667</v>
      </c>
      <c r="BM52" s="44" t="n">
        <v>1266.66666666667</v>
      </c>
      <c r="BN52" s="44" t="n">
        <v>1266.66666666667</v>
      </c>
      <c r="BO52" s="44" t="n">
        <v>1266.66666666667</v>
      </c>
      <c r="BP52" s="44" t="n">
        <v>1266.66666666667</v>
      </c>
      <c r="BQ52" s="44" t="n">
        <v>1266.66666666667</v>
      </c>
      <c r="BR52" s="45" t="n">
        <v>1266.66666666667</v>
      </c>
      <c r="BS52" s="46" t="n">
        <v>1266.66666666667</v>
      </c>
      <c r="BT52" s="46" t="n">
        <v>1266.66666666667</v>
      </c>
      <c r="BU52" s="46" t="n">
        <v>1266.66666666667</v>
      </c>
      <c r="BV52" s="46" t="n">
        <v>1266.66666666667</v>
      </c>
      <c r="BW52" s="46" t="n">
        <v>1266.66666666667</v>
      </c>
      <c r="BX52" s="46" t="n">
        <v>1266.66666666667</v>
      </c>
      <c r="BY52" s="46" t="n">
        <v>1266.66666666667</v>
      </c>
      <c r="BZ52" s="46" t="n">
        <v>1266.66666666667</v>
      </c>
      <c r="EX52" s="47" t="n">
        <v>0</v>
      </c>
      <c r="EY52" s="47" t="n">
        <v>0</v>
      </c>
      <c r="EZ52" s="47" t="n">
        <v>0</v>
      </c>
      <c r="FA52" s="47" t="n">
        <v>0</v>
      </c>
      <c r="FB52" s="47" t="n">
        <v>0</v>
      </c>
      <c r="FC52" s="47" t="n">
        <v>0</v>
      </c>
      <c r="FD52" s="47" t="n">
        <v>0</v>
      </c>
      <c r="FE52" s="47" t="n">
        <v>0</v>
      </c>
      <c r="FF52" s="47" t="n">
        <v>0</v>
      </c>
      <c r="FG52" s="47" t="n">
        <v>0</v>
      </c>
      <c r="FH52" s="47" t="n">
        <v>0</v>
      </c>
      <c r="FI52" s="47" t="n">
        <v>0</v>
      </c>
      <c r="FJ52" s="47" t="n">
        <v>0</v>
      </c>
      <c r="FK52" s="47" t="n">
        <v>0</v>
      </c>
      <c r="FL52" s="47" t="n">
        <v>0</v>
      </c>
      <c r="FM52" s="47" t="n">
        <v>0</v>
      </c>
      <c r="FN52" s="47" t="n">
        <v>0</v>
      </c>
      <c r="FO52" s="47" t="n">
        <v>0</v>
      </c>
      <c r="FP52" s="47" t="n">
        <v>0</v>
      </c>
      <c r="FQ52" s="47" t="n">
        <v>0</v>
      </c>
      <c r="FR52" s="47" t="n">
        <v>0</v>
      </c>
      <c r="FS52" s="47" t="n">
        <v>0</v>
      </c>
      <c r="FT52" s="47" t="n">
        <v>0</v>
      </c>
      <c r="FU52" s="47" t="n">
        <v>0</v>
      </c>
      <c r="FV52" s="47" t="n">
        <v>0</v>
      </c>
      <c r="FW52" s="47" t="n">
        <v>0</v>
      </c>
      <c r="FX52" s="47" t="n">
        <v>0</v>
      </c>
      <c r="FY52" s="47" t="n">
        <v>0</v>
      </c>
      <c r="FZ52" s="47" t="n">
        <v>0</v>
      </c>
      <c r="GA52" s="47" t="n">
        <v>933.333333333333</v>
      </c>
      <c r="GB52" s="47" t="n">
        <v>933.333333333333</v>
      </c>
      <c r="GC52" s="47" t="n">
        <v>933.333333333333</v>
      </c>
      <c r="GD52" s="47" t="n">
        <v>933.333333333333</v>
      </c>
      <c r="GE52" s="47" t="n">
        <v>933.333333333333</v>
      </c>
      <c r="GF52" s="47" t="n">
        <v>933.333333333333</v>
      </c>
      <c r="GG52" s="47" t="n">
        <v>933.333333333333</v>
      </c>
      <c r="GH52" s="47" t="n">
        <v>933.333333333333</v>
      </c>
      <c r="GI52" s="47" t="n">
        <v>933.333333333333</v>
      </c>
      <c r="GJ52" s="47" t="n">
        <v>933.333333333333</v>
      </c>
      <c r="GK52" s="47" t="n">
        <v>933.333333333333</v>
      </c>
      <c r="GL52" s="47" t="n">
        <v>933.333333333333</v>
      </c>
      <c r="GM52" s="47" t="n">
        <v>933.333333333333</v>
      </c>
      <c r="GN52" s="47" t="n">
        <v>1266.66515151515</v>
      </c>
      <c r="GO52" s="47" t="n">
        <v>1266.66515151515</v>
      </c>
      <c r="GP52" s="47" t="n">
        <v>1266.66515151515</v>
      </c>
      <c r="GQ52" s="47" t="n">
        <v>1266.66515151515</v>
      </c>
      <c r="GR52" s="47" t="n">
        <v>1266.66515151515</v>
      </c>
      <c r="GS52" s="47" t="n">
        <v>1266.66515151515</v>
      </c>
      <c r="GT52" s="47" t="n">
        <v>1266.66515151515</v>
      </c>
      <c r="GU52" s="47" t="n">
        <v>1266.66515151515</v>
      </c>
      <c r="GV52" s="47" t="n">
        <v>1266.66515151515</v>
      </c>
      <c r="GW52" s="47" t="n">
        <v>1266.66515151515</v>
      </c>
      <c r="GX52" s="47" t="n">
        <v>1266.66515151515</v>
      </c>
      <c r="GY52" s="47" t="n">
        <v>1266.66666666667</v>
      </c>
      <c r="GZ52" s="47" t="n">
        <v>1266.66666666667</v>
      </c>
      <c r="HA52" s="47" t="n">
        <v>1266.66666666667</v>
      </c>
      <c r="HB52" s="47" t="n">
        <v>1266.66666666667</v>
      </c>
      <c r="HC52" s="47" t="n">
        <v>1266.66666666667</v>
      </c>
      <c r="HD52" s="47" t="n">
        <v>1266.66666666667</v>
      </c>
      <c r="HE52" s="47" t="n">
        <v>1266.66666666667</v>
      </c>
      <c r="HF52" s="47" t="n">
        <v>1266.66666666667</v>
      </c>
      <c r="HG52" s="47" t="n">
        <v>1266.66666666667</v>
      </c>
      <c r="HH52" s="47" t="n">
        <v>1266.66666666667</v>
      </c>
      <c r="HI52" s="48" t="n">
        <v>1266.66666666667</v>
      </c>
      <c r="HJ52" s="47" t="n">
        <v>1266.66666666667</v>
      </c>
      <c r="HK52" s="47" t="n">
        <v>1266.66666666667</v>
      </c>
      <c r="HL52" s="47" t="n">
        <v>1266.66666666667</v>
      </c>
      <c r="HM52" s="47" t="n">
        <v>1266.66666666667</v>
      </c>
      <c r="HN52" s="47" t="n">
        <v>1266.66666666667</v>
      </c>
      <c r="HO52" s="47" t="n">
        <v>1266.66666666667</v>
      </c>
      <c r="HP52" s="47" t="n">
        <v>1266.66666666667</v>
      </c>
      <c r="HQ52" s="47" t="n">
        <v>1266.66666666667</v>
      </c>
      <c r="HS52" s="47" t="n">
        <v>0</v>
      </c>
      <c r="HT52" s="47" t="n">
        <v>0</v>
      </c>
      <c r="HU52" s="47" t="n">
        <v>0</v>
      </c>
      <c r="HV52" s="47" t="n">
        <v>0</v>
      </c>
      <c r="HW52" s="47" t="n">
        <v>0</v>
      </c>
      <c r="HX52" s="47" t="n">
        <v>0</v>
      </c>
      <c r="HY52" s="47" t="n">
        <v>0</v>
      </c>
      <c r="HZ52" s="47" t="n">
        <v>0</v>
      </c>
      <c r="IA52" s="47" t="n">
        <v>0</v>
      </c>
      <c r="IB52" s="47" t="n">
        <v>0</v>
      </c>
      <c r="IC52" s="47" t="n">
        <v>0</v>
      </c>
      <c r="ID52" s="47" t="n">
        <v>0</v>
      </c>
      <c r="IE52" s="47" t="n">
        <v>0</v>
      </c>
      <c r="IF52" s="47" t="n">
        <v>0</v>
      </c>
      <c r="IG52" s="47" t="n">
        <v>0</v>
      </c>
      <c r="IH52" s="47" t="n">
        <v>0</v>
      </c>
      <c r="II52" s="47" t="n">
        <v>0</v>
      </c>
      <c r="IJ52" s="47" t="n">
        <v>0</v>
      </c>
      <c r="IK52" s="47" t="n">
        <v>0</v>
      </c>
      <c r="IL52" s="47" t="n">
        <v>0</v>
      </c>
      <c r="IM52" s="47" t="n">
        <v>0</v>
      </c>
      <c r="IN52" s="47" t="n">
        <v>0</v>
      </c>
      <c r="IO52" s="47" t="n">
        <v>0</v>
      </c>
      <c r="IP52" s="47" t="n">
        <v>0</v>
      </c>
      <c r="IQ52" s="47" t="n">
        <v>0</v>
      </c>
      <c r="IR52" s="47" t="n">
        <v>0</v>
      </c>
      <c r="IS52" s="47" t="n">
        <v>0</v>
      </c>
      <c r="IT52" s="47" t="n">
        <v>0</v>
      </c>
      <c r="IU52" s="47" t="n">
        <v>0</v>
      </c>
      <c r="IV52" s="47" t="n">
        <v>933.333333333333</v>
      </c>
      <c r="IW52" s="47" t="n">
        <v>933.333333333333</v>
      </c>
      <c r="IX52" s="47" t="n">
        <v>933.333333333333</v>
      </c>
      <c r="IY52" s="47" t="n">
        <v>933.333333333333</v>
      </c>
      <c r="IZ52" s="47" t="n">
        <v>933.333333333333</v>
      </c>
      <c r="JA52" s="47" t="n">
        <v>933.333333333333</v>
      </c>
      <c r="JB52" s="47" t="n">
        <v>933.333333333333</v>
      </c>
      <c r="JC52" s="47" t="n">
        <v>933.333333333333</v>
      </c>
      <c r="JD52" s="47" t="n">
        <v>933.333333333333</v>
      </c>
      <c r="JE52" s="47" t="n">
        <v>933.333333333333</v>
      </c>
      <c r="JF52" s="47" t="n">
        <v>933.333333333333</v>
      </c>
      <c r="JG52" s="47" t="n">
        <v>933.333333333333</v>
      </c>
      <c r="JH52" s="47" t="n">
        <v>933.333333333333</v>
      </c>
      <c r="JI52" s="47" t="n">
        <v>1266.66515151515</v>
      </c>
      <c r="JJ52" s="47" t="n">
        <v>1266.66515151515</v>
      </c>
      <c r="JK52" s="47" t="n">
        <v>1266.66515151515</v>
      </c>
      <c r="JL52" s="47" t="n">
        <v>1266.66515151515</v>
      </c>
      <c r="JM52" s="47" t="n">
        <v>1266.66515151515</v>
      </c>
      <c r="JN52" s="47" t="n">
        <v>1266.66515151515</v>
      </c>
      <c r="JO52" s="47" t="n">
        <v>1266.66515151515</v>
      </c>
      <c r="JP52" s="47" t="n">
        <v>1266.66515151515</v>
      </c>
      <c r="JQ52" s="47" t="n">
        <v>1266.66515151515</v>
      </c>
      <c r="JR52" s="47" t="n">
        <v>1266.66515151515</v>
      </c>
      <c r="JS52" s="47" t="n">
        <v>1266.66515151515</v>
      </c>
      <c r="JT52" s="47" t="n">
        <v>1266.66666666667</v>
      </c>
      <c r="JU52" s="47" t="n">
        <v>1266.66666666667</v>
      </c>
      <c r="JV52" s="47" t="n">
        <v>1266.66666666667</v>
      </c>
      <c r="JW52" s="47" t="n">
        <v>1266.66666666667</v>
      </c>
      <c r="JX52" s="47" t="n">
        <v>1266.66666666667</v>
      </c>
      <c r="JY52" s="47" t="n">
        <v>1266.66666666667</v>
      </c>
      <c r="JZ52" s="47" t="n">
        <v>1266.66666666667</v>
      </c>
      <c r="KA52" s="47" t="n">
        <v>1266.66666666667</v>
      </c>
      <c r="KB52" s="47" t="n">
        <v>1266.66666666667</v>
      </c>
      <c r="KC52" s="47" t="n">
        <v>1266.66666666667</v>
      </c>
      <c r="KD52" s="48" t="n">
        <v>1266.66666666667</v>
      </c>
      <c r="KE52" s="47" t="n">
        <v>1266.66666666667</v>
      </c>
      <c r="KF52" s="47" t="n">
        <v>1266.66666666667</v>
      </c>
      <c r="KG52" s="47" t="n">
        <v>1266.66666666667</v>
      </c>
      <c r="KH52" s="47" t="n">
        <v>1266.66666666667</v>
      </c>
      <c r="KI52" s="47" t="n">
        <v>1266.66666666667</v>
      </c>
      <c r="KJ52" s="47" t="n">
        <v>1266.66666666667</v>
      </c>
      <c r="KK52" s="47" t="n">
        <v>1266.66666666667</v>
      </c>
      <c r="KL52" s="47" t="n">
        <v>1266.66666666667</v>
      </c>
    </row>
    <row r="53" customFormat="false" ht="15.75" hidden="false" customHeight="true" outlineLevel="0" collapsed="false">
      <c r="A53" s="35" t="s">
        <v>268</v>
      </c>
      <c r="B53" s="35" t="s">
        <v>269</v>
      </c>
      <c r="C53" s="35" t="s">
        <v>164</v>
      </c>
      <c r="D53" s="35" t="s">
        <v>270</v>
      </c>
      <c r="E53" s="35" t="s">
        <v>174</v>
      </c>
      <c r="G53" s="44" t="n">
        <v>0</v>
      </c>
      <c r="H53" s="44" t="n">
        <v>0</v>
      </c>
      <c r="I53" s="44" t="n">
        <v>0</v>
      </c>
      <c r="J53" s="44" t="n">
        <v>0</v>
      </c>
      <c r="K53" s="44" t="n">
        <v>0</v>
      </c>
      <c r="L53" s="44" t="n">
        <v>0</v>
      </c>
      <c r="M53" s="44" t="n">
        <v>0</v>
      </c>
      <c r="N53" s="44" t="n">
        <v>0</v>
      </c>
      <c r="O53" s="44" t="n">
        <v>0</v>
      </c>
      <c r="P53" s="44" t="n">
        <v>0</v>
      </c>
      <c r="Q53" s="44" t="n">
        <v>0</v>
      </c>
      <c r="R53" s="44" t="n">
        <v>0</v>
      </c>
      <c r="S53" s="44" t="n">
        <v>0</v>
      </c>
      <c r="T53" s="44" t="n">
        <v>0</v>
      </c>
      <c r="U53" s="44" t="n">
        <v>0</v>
      </c>
      <c r="V53" s="44" t="n">
        <v>0</v>
      </c>
      <c r="W53" s="44" t="n">
        <v>0</v>
      </c>
      <c r="X53" s="44" t="n">
        <v>0</v>
      </c>
      <c r="Y53" s="44" t="n">
        <v>0</v>
      </c>
      <c r="Z53" s="44" t="n">
        <v>0</v>
      </c>
      <c r="AA53" s="44" t="n">
        <v>0</v>
      </c>
      <c r="AB53" s="44" t="n">
        <v>0</v>
      </c>
      <c r="AC53" s="44" t="n">
        <v>0</v>
      </c>
      <c r="AD53" s="44" t="n">
        <v>0</v>
      </c>
      <c r="AE53" s="44" t="n">
        <v>0</v>
      </c>
      <c r="AF53" s="44" t="n">
        <v>1952.10333333333</v>
      </c>
      <c r="AG53" s="44" t="n">
        <v>1952.10333333333</v>
      </c>
      <c r="AH53" s="44" t="n">
        <v>1952.10333333333</v>
      </c>
      <c r="AI53" s="44" t="n">
        <v>3877.12888888889</v>
      </c>
      <c r="AJ53" s="44" t="n">
        <v>3877.12888888889</v>
      </c>
      <c r="AK53" s="44" t="n">
        <v>3877.12888888889</v>
      </c>
      <c r="AL53" s="44" t="n">
        <v>3877.12888888889</v>
      </c>
      <c r="AM53" s="44" t="n">
        <v>3877.12888888889</v>
      </c>
      <c r="AN53" s="44" t="n">
        <v>3877.12888888889</v>
      </c>
      <c r="AO53" s="44" t="n">
        <v>3877.12888888889</v>
      </c>
      <c r="AP53" s="44" t="n">
        <v>3877.12888888889</v>
      </c>
      <c r="AQ53" s="44" t="n">
        <v>3877.12888888889</v>
      </c>
      <c r="AR53" s="44" t="n">
        <v>4650.33333333333</v>
      </c>
      <c r="AS53" s="44" t="n">
        <v>4650.33333333333</v>
      </c>
      <c r="AT53" s="44" t="n">
        <v>4650.33333333333</v>
      </c>
      <c r="AU53" s="44" t="n">
        <v>4650.33333333333</v>
      </c>
      <c r="AV53" s="44" t="n">
        <v>4650.33333333333</v>
      </c>
      <c r="AW53" s="44" t="n">
        <v>4731.83333333333</v>
      </c>
      <c r="AX53" s="44" t="n">
        <v>4731.83333333333</v>
      </c>
      <c r="AY53" s="44" t="n">
        <v>4731.83333333333</v>
      </c>
      <c r="AZ53" s="44" t="n">
        <v>4731.83333333333</v>
      </c>
      <c r="BA53" s="44" t="n">
        <v>4731.83333333333</v>
      </c>
      <c r="BB53" s="44" t="n">
        <v>4731.83333333333</v>
      </c>
      <c r="BC53" s="44" t="n">
        <v>4731.83333333333</v>
      </c>
      <c r="BD53" s="44" t="n">
        <v>81.5</v>
      </c>
      <c r="BE53" s="44" t="n">
        <v>81.5</v>
      </c>
      <c r="BF53" s="44" t="n">
        <v>81.5</v>
      </c>
      <c r="BG53" s="44" t="n">
        <v>81.5</v>
      </c>
      <c r="BH53" s="44" t="n">
        <v>81.5</v>
      </c>
      <c r="BI53" s="44" t="n">
        <v>81.5</v>
      </c>
      <c r="BJ53" s="44" t="n">
        <v>81.5</v>
      </c>
      <c r="BK53" s="44" t="n">
        <v>81.5</v>
      </c>
      <c r="BL53" s="44" t="n">
        <v>81.5</v>
      </c>
      <c r="BM53" s="44" t="n">
        <v>81.5</v>
      </c>
      <c r="BN53" s="44" t="n">
        <v>81.5</v>
      </c>
      <c r="BO53" s="44" t="n">
        <v>81.5</v>
      </c>
      <c r="BP53" s="44" t="n">
        <v>0</v>
      </c>
      <c r="BQ53" s="44" t="n">
        <v>0</v>
      </c>
      <c r="BR53" s="45" t="n">
        <v>0</v>
      </c>
      <c r="BS53" s="46" t="n">
        <v>0</v>
      </c>
      <c r="BT53" s="46" t="n">
        <v>0</v>
      </c>
      <c r="BU53" s="46" t="n">
        <v>0</v>
      </c>
      <c r="BV53" s="46" t="n">
        <v>0</v>
      </c>
      <c r="BW53" s="46" t="n">
        <v>0</v>
      </c>
      <c r="BX53" s="46" t="n">
        <v>0</v>
      </c>
      <c r="BY53" s="46" t="n">
        <v>0</v>
      </c>
      <c r="BZ53" s="46" t="n">
        <v>0</v>
      </c>
      <c r="EX53" s="47" t="n">
        <v>0</v>
      </c>
      <c r="EY53" s="47" t="n">
        <v>0</v>
      </c>
      <c r="EZ53" s="47" t="n">
        <v>0</v>
      </c>
      <c r="FA53" s="47" t="n">
        <v>0</v>
      </c>
      <c r="FB53" s="47" t="n">
        <v>0</v>
      </c>
      <c r="FC53" s="47" t="n">
        <v>0</v>
      </c>
      <c r="FD53" s="47" t="n">
        <v>0</v>
      </c>
      <c r="FE53" s="47" t="n">
        <v>0</v>
      </c>
      <c r="FF53" s="47" t="n">
        <v>0</v>
      </c>
      <c r="FG53" s="47" t="n">
        <v>0</v>
      </c>
      <c r="FH53" s="47" t="n">
        <v>0</v>
      </c>
      <c r="FI53" s="47" t="n">
        <v>0</v>
      </c>
      <c r="FJ53" s="47" t="n">
        <v>0</v>
      </c>
      <c r="FK53" s="47" t="n">
        <v>0</v>
      </c>
      <c r="FL53" s="47" t="n">
        <v>0</v>
      </c>
      <c r="FM53" s="47" t="n">
        <v>0</v>
      </c>
      <c r="FN53" s="47" t="n">
        <v>0</v>
      </c>
      <c r="FO53" s="47" t="n">
        <v>0</v>
      </c>
      <c r="FP53" s="47" t="n">
        <v>0</v>
      </c>
      <c r="FQ53" s="47" t="n">
        <v>0</v>
      </c>
      <c r="FR53" s="47" t="n">
        <v>0</v>
      </c>
      <c r="FS53" s="47" t="n">
        <v>0</v>
      </c>
      <c r="FT53" s="47" t="n">
        <v>0</v>
      </c>
      <c r="FU53" s="47" t="n">
        <v>0</v>
      </c>
      <c r="FV53" s="47" t="n">
        <v>0</v>
      </c>
      <c r="FW53" s="47" t="n">
        <v>1952.10333333333</v>
      </c>
      <c r="FX53" s="47" t="n">
        <v>1952.10333333333</v>
      </c>
      <c r="FY53" s="47" t="n">
        <v>1952.10333333333</v>
      </c>
      <c r="FZ53" s="47" t="n">
        <v>3877.12888888889</v>
      </c>
      <c r="GA53" s="47" t="n">
        <v>3877.12888888889</v>
      </c>
      <c r="GB53" s="47" t="n">
        <v>3877.12888888889</v>
      </c>
      <c r="GC53" s="47" t="n">
        <v>3877.12888888889</v>
      </c>
      <c r="GD53" s="47" t="n">
        <v>3877.12888888889</v>
      </c>
      <c r="GE53" s="47" t="n">
        <v>3877.12888888889</v>
      </c>
      <c r="GF53" s="47" t="n">
        <v>3877.12888888889</v>
      </c>
      <c r="GG53" s="47" t="n">
        <v>3877.12888888889</v>
      </c>
      <c r="GH53" s="47" t="n">
        <v>3877.12888888889</v>
      </c>
      <c r="GI53" s="47" t="n">
        <v>4650.33333333333</v>
      </c>
      <c r="GJ53" s="47" t="n">
        <v>4650.33333333333</v>
      </c>
      <c r="GK53" s="47" t="n">
        <v>4650.33333333333</v>
      </c>
      <c r="GL53" s="47" t="n">
        <v>4650.33333333333</v>
      </c>
      <c r="GM53" s="47" t="n">
        <v>4650.33333333333</v>
      </c>
      <c r="GN53" s="47" t="n">
        <v>4731.83333333333</v>
      </c>
      <c r="GO53" s="47" t="n">
        <v>4731.83333333333</v>
      </c>
      <c r="GP53" s="47" t="n">
        <v>4731.83333333333</v>
      </c>
      <c r="GQ53" s="47" t="n">
        <v>4731.83333333333</v>
      </c>
      <c r="GR53" s="47" t="n">
        <v>4731.83333333333</v>
      </c>
      <c r="GS53" s="47" t="n">
        <v>4731.83333333333</v>
      </c>
      <c r="GT53" s="47" t="n">
        <v>4731.83333333333</v>
      </c>
      <c r="GU53" s="47" t="n">
        <v>81.5</v>
      </c>
      <c r="GV53" s="47" t="n">
        <v>81.5</v>
      </c>
      <c r="GW53" s="47" t="n">
        <v>81.5</v>
      </c>
      <c r="GX53" s="47" t="n">
        <v>81.5</v>
      </c>
      <c r="GY53" s="47" t="n">
        <v>81.5</v>
      </c>
      <c r="GZ53" s="47" t="n">
        <v>81.5</v>
      </c>
      <c r="HA53" s="47" t="n">
        <v>81.5</v>
      </c>
      <c r="HB53" s="47" t="n">
        <v>81.5</v>
      </c>
      <c r="HC53" s="47" t="n">
        <v>81.5</v>
      </c>
      <c r="HD53" s="47" t="n">
        <v>81.5</v>
      </c>
      <c r="HE53" s="47" t="n">
        <v>81.5</v>
      </c>
      <c r="HF53" s="47" t="n">
        <v>81.5</v>
      </c>
      <c r="HG53" s="47" t="n">
        <v>0</v>
      </c>
      <c r="HH53" s="47" t="n">
        <v>0</v>
      </c>
      <c r="HI53" s="48" t="n">
        <v>0</v>
      </c>
      <c r="HJ53" s="47" t="n">
        <v>0</v>
      </c>
      <c r="HK53" s="47" t="n">
        <v>0</v>
      </c>
      <c r="HL53" s="47" t="n">
        <v>0</v>
      </c>
      <c r="HM53" s="47" t="n">
        <v>0</v>
      </c>
      <c r="HN53" s="47" t="n">
        <v>0</v>
      </c>
      <c r="HO53" s="47" t="n">
        <v>0</v>
      </c>
      <c r="HP53" s="47" t="n">
        <v>0</v>
      </c>
      <c r="HQ53" s="47" t="n">
        <v>0</v>
      </c>
      <c r="HS53" s="47" t="n">
        <v>0</v>
      </c>
      <c r="HT53" s="47" t="n">
        <v>0</v>
      </c>
      <c r="HU53" s="47" t="n">
        <v>0</v>
      </c>
      <c r="HV53" s="47" t="n">
        <v>0</v>
      </c>
      <c r="HW53" s="47" t="n">
        <v>0</v>
      </c>
      <c r="HX53" s="47" t="n">
        <v>0</v>
      </c>
      <c r="HY53" s="47" t="n">
        <v>0</v>
      </c>
      <c r="HZ53" s="47" t="n">
        <v>0</v>
      </c>
      <c r="IA53" s="47" t="n">
        <v>0</v>
      </c>
      <c r="IB53" s="47" t="n">
        <v>0</v>
      </c>
      <c r="IC53" s="47" t="n">
        <v>0</v>
      </c>
      <c r="ID53" s="47" t="n">
        <v>0</v>
      </c>
      <c r="IE53" s="47" t="n">
        <v>0</v>
      </c>
      <c r="IF53" s="47" t="n">
        <v>0</v>
      </c>
      <c r="IG53" s="47" t="n">
        <v>0</v>
      </c>
      <c r="IH53" s="47" t="n">
        <v>0</v>
      </c>
      <c r="II53" s="47" t="n">
        <v>0</v>
      </c>
      <c r="IJ53" s="47" t="n">
        <v>0</v>
      </c>
      <c r="IK53" s="47" t="n">
        <v>0</v>
      </c>
      <c r="IL53" s="47" t="n">
        <v>0</v>
      </c>
      <c r="IM53" s="47" t="n">
        <v>0</v>
      </c>
      <c r="IN53" s="47" t="n">
        <v>0</v>
      </c>
      <c r="IO53" s="47" t="n">
        <v>0</v>
      </c>
      <c r="IP53" s="47" t="n">
        <v>0</v>
      </c>
      <c r="IQ53" s="47" t="n">
        <v>0</v>
      </c>
      <c r="IR53" s="47" t="n">
        <v>1952.10333333333</v>
      </c>
      <c r="IS53" s="47" t="n">
        <v>1952.10333333333</v>
      </c>
      <c r="IT53" s="47" t="n">
        <v>1952.10333333333</v>
      </c>
      <c r="IU53" s="47" t="n">
        <v>3877.12888888889</v>
      </c>
      <c r="IV53" s="47" t="n">
        <v>3877.12888888889</v>
      </c>
      <c r="IW53" s="47" t="n">
        <v>3877.12888888889</v>
      </c>
      <c r="IX53" s="47" t="n">
        <v>3877.12888888889</v>
      </c>
      <c r="IY53" s="47" t="n">
        <v>3877.12888888889</v>
      </c>
      <c r="IZ53" s="47" t="n">
        <v>3877.12888888889</v>
      </c>
      <c r="JA53" s="47" t="n">
        <v>3877.12888888889</v>
      </c>
      <c r="JB53" s="47" t="n">
        <v>3877.12888888889</v>
      </c>
      <c r="JC53" s="47" t="n">
        <v>3877.12888888889</v>
      </c>
      <c r="JD53" s="47" t="n">
        <v>4650.33333333333</v>
      </c>
      <c r="JE53" s="47" t="n">
        <v>4650.33333333333</v>
      </c>
      <c r="JF53" s="47" t="n">
        <v>4650.33333333333</v>
      </c>
      <c r="JG53" s="47" t="n">
        <v>4650.33333333333</v>
      </c>
      <c r="JH53" s="47" t="n">
        <v>4650.33333333333</v>
      </c>
      <c r="JI53" s="47" t="n">
        <v>4731.83333333333</v>
      </c>
      <c r="JJ53" s="47" t="n">
        <v>4731.83333333333</v>
      </c>
      <c r="JK53" s="47" t="n">
        <v>4731.83333333333</v>
      </c>
      <c r="JL53" s="47" t="n">
        <v>4731.83333333333</v>
      </c>
      <c r="JM53" s="47" t="n">
        <v>4731.83333333333</v>
      </c>
      <c r="JN53" s="47" t="n">
        <v>4731.83333333333</v>
      </c>
      <c r="JO53" s="47" t="n">
        <v>4731.83333333333</v>
      </c>
      <c r="JP53" s="47" t="n">
        <v>81.5</v>
      </c>
      <c r="JQ53" s="47" t="n">
        <v>81.5</v>
      </c>
      <c r="JR53" s="47" t="n">
        <v>81.5</v>
      </c>
      <c r="JS53" s="47" t="n">
        <v>81.5</v>
      </c>
      <c r="JT53" s="47" t="n">
        <v>81.5</v>
      </c>
      <c r="JU53" s="47" t="n">
        <v>81.5</v>
      </c>
      <c r="JV53" s="47" t="n">
        <v>81.5</v>
      </c>
      <c r="JW53" s="47" t="n">
        <v>81.5</v>
      </c>
      <c r="JX53" s="47" t="n">
        <v>81.5</v>
      </c>
      <c r="JY53" s="47" t="n">
        <v>81.5</v>
      </c>
      <c r="JZ53" s="47" t="n">
        <v>81.5</v>
      </c>
      <c r="KA53" s="47" t="n">
        <v>81.5</v>
      </c>
      <c r="KB53" s="47" t="n">
        <v>0</v>
      </c>
      <c r="KC53" s="47" t="n">
        <v>0</v>
      </c>
      <c r="KD53" s="48" t="n">
        <v>0</v>
      </c>
      <c r="KE53" s="47" t="n">
        <v>0</v>
      </c>
      <c r="KF53" s="47" t="n">
        <v>0</v>
      </c>
      <c r="KG53" s="47" t="n">
        <v>0</v>
      </c>
      <c r="KH53" s="47" t="n">
        <v>0</v>
      </c>
      <c r="KI53" s="47" t="n">
        <v>0</v>
      </c>
      <c r="KJ53" s="47" t="n">
        <v>0</v>
      </c>
      <c r="KK53" s="47" t="n">
        <v>0</v>
      </c>
      <c r="KL53" s="47" t="n">
        <v>0</v>
      </c>
    </row>
    <row r="54" customFormat="false" ht="15.75" hidden="false" customHeight="true" outlineLevel="0" collapsed="false">
      <c r="A54" s="35" t="s">
        <v>271</v>
      </c>
      <c r="B54" s="35" t="s">
        <v>272</v>
      </c>
      <c r="C54" s="35" t="s">
        <v>164</v>
      </c>
      <c r="D54" s="35" t="s">
        <v>165</v>
      </c>
      <c r="E54" s="35" t="s">
        <v>174</v>
      </c>
      <c r="G54" s="44" t="n">
        <v>0</v>
      </c>
      <c r="H54" s="44" t="n">
        <v>0</v>
      </c>
      <c r="I54" s="44" t="n">
        <v>0</v>
      </c>
      <c r="J54" s="44" t="n">
        <v>0</v>
      </c>
      <c r="K54" s="44" t="n">
        <v>0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0</v>
      </c>
      <c r="Q54" s="44" t="n">
        <v>0</v>
      </c>
      <c r="R54" s="44" t="n">
        <v>0</v>
      </c>
      <c r="S54" s="44" t="n">
        <v>0</v>
      </c>
      <c r="T54" s="44" t="n">
        <v>0</v>
      </c>
      <c r="U54" s="44" t="n">
        <v>0</v>
      </c>
      <c r="V54" s="44" t="n">
        <v>0</v>
      </c>
      <c r="W54" s="44" t="n">
        <v>0</v>
      </c>
      <c r="X54" s="44" t="n">
        <v>0</v>
      </c>
      <c r="Y54" s="44" t="n">
        <v>0</v>
      </c>
      <c r="Z54" s="44" t="n">
        <v>0</v>
      </c>
      <c r="AA54" s="44" t="n">
        <v>0</v>
      </c>
      <c r="AB54" s="44" t="n">
        <v>0</v>
      </c>
      <c r="AC54" s="44" t="n">
        <v>0</v>
      </c>
      <c r="AD54" s="44" t="n">
        <v>0</v>
      </c>
      <c r="AE54" s="44" t="n">
        <v>0</v>
      </c>
      <c r="AF54" s="44" t="n">
        <v>0</v>
      </c>
      <c r="AG54" s="44" t="n">
        <v>0</v>
      </c>
      <c r="AH54" s="44" t="n">
        <v>0</v>
      </c>
      <c r="AI54" s="44" t="n">
        <v>0</v>
      </c>
      <c r="AJ54" s="44" t="n">
        <v>0</v>
      </c>
      <c r="AK54" s="44" t="n">
        <v>0</v>
      </c>
      <c r="AL54" s="44" t="n">
        <v>0</v>
      </c>
      <c r="AM54" s="44" t="n">
        <v>0</v>
      </c>
      <c r="AN54" s="44" t="n">
        <v>0</v>
      </c>
      <c r="AO54" s="44" t="n">
        <v>0</v>
      </c>
      <c r="AP54" s="44" t="n">
        <v>0</v>
      </c>
      <c r="AQ54" s="44" t="n">
        <v>0</v>
      </c>
      <c r="AR54" s="44" t="n">
        <v>1500</v>
      </c>
      <c r="AS54" s="44" t="n">
        <v>1500</v>
      </c>
      <c r="AT54" s="44" t="n">
        <v>1500</v>
      </c>
      <c r="AU54" s="44" t="n">
        <v>1500</v>
      </c>
      <c r="AV54" s="44" t="n">
        <v>1500</v>
      </c>
      <c r="AW54" s="44" t="n">
        <v>1800</v>
      </c>
      <c r="AX54" s="44" t="n">
        <v>1800</v>
      </c>
      <c r="AY54" s="44" t="n">
        <v>1800</v>
      </c>
      <c r="AZ54" s="44" t="n">
        <v>1800</v>
      </c>
      <c r="BA54" s="44" t="n">
        <v>1800</v>
      </c>
      <c r="BB54" s="44" t="n">
        <v>1800</v>
      </c>
      <c r="BC54" s="44" t="n">
        <v>2200</v>
      </c>
      <c r="BD54" s="44" t="n">
        <v>2200</v>
      </c>
      <c r="BE54" s="44" t="n">
        <v>2200</v>
      </c>
      <c r="BF54" s="44" t="n">
        <v>2200</v>
      </c>
      <c r="BG54" s="44" t="n">
        <v>2200</v>
      </c>
      <c r="BH54" s="44" t="n">
        <v>2200</v>
      </c>
      <c r="BI54" s="44" t="n">
        <v>2200</v>
      </c>
      <c r="BJ54" s="44" t="n">
        <v>2200</v>
      </c>
      <c r="BK54" s="44" t="n">
        <v>2200</v>
      </c>
      <c r="BL54" s="44" t="n">
        <v>2200</v>
      </c>
      <c r="BM54" s="44" t="n">
        <v>2200</v>
      </c>
      <c r="BN54" s="44" t="n">
        <v>2200</v>
      </c>
      <c r="BO54" s="44" t="n">
        <v>2200</v>
      </c>
      <c r="BP54" s="44" t="n">
        <v>2060</v>
      </c>
      <c r="BQ54" s="44" t="n">
        <v>2060</v>
      </c>
      <c r="BR54" s="45" t="n">
        <v>2060</v>
      </c>
      <c r="BS54" s="46" t="n">
        <v>2060</v>
      </c>
      <c r="BT54" s="46" t="n">
        <v>2060</v>
      </c>
      <c r="BU54" s="46" t="n">
        <v>2060</v>
      </c>
      <c r="BV54" s="46" t="n">
        <v>2060</v>
      </c>
      <c r="BW54" s="46" t="n">
        <v>2060</v>
      </c>
      <c r="BX54" s="46" t="n">
        <v>2060</v>
      </c>
      <c r="BY54" s="46" t="n">
        <v>2060</v>
      </c>
      <c r="BZ54" s="46" t="n">
        <v>2060</v>
      </c>
      <c r="EX54" s="47" t="n">
        <v>0</v>
      </c>
      <c r="EY54" s="47" t="n">
        <v>0</v>
      </c>
      <c r="EZ54" s="47" t="n">
        <v>0</v>
      </c>
      <c r="FA54" s="47" t="n">
        <v>0</v>
      </c>
      <c r="FB54" s="47" t="n">
        <v>0</v>
      </c>
      <c r="FC54" s="47" t="n">
        <v>0</v>
      </c>
      <c r="FD54" s="47" t="n">
        <v>0</v>
      </c>
      <c r="FE54" s="47" t="n">
        <v>0</v>
      </c>
      <c r="FF54" s="47" t="n">
        <v>0</v>
      </c>
      <c r="FG54" s="47" t="n">
        <v>0</v>
      </c>
      <c r="FH54" s="47" t="n">
        <v>0</v>
      </c>
      <c r="FI54" s="47" t="n">
        <v>0</v>
      </c>
      <c r="FJ54" s="47" t="n">
        <v>0</v>
      </c>
      <c r="FK54" s="47" t="n">
        <v>0</v>
      </c>
      <c r="FL54" s="47" t="n">
        <v>0</v>
      </c>
      <c r="FM54" s="47" t="n">
        <v>0</v>
      </c>
      <c r="FN54" s="47" t="n">
        <v>0</v>
      </c>
      <c r="FO54" s="47" t="n">
        <v>0</v>
      </c>
      <c r="FP54" s="47" t="n">
        <v>0</v>
      </c>
      <c r="FQ54" s="47" t="n">
        <v>0</v>
      </c>
      <c r="FR54" s="47" t="n">
        <v>0</v>
      </c>
      <c r="FS54" s="47" t="n">
        <v>0</v>
      </c>
      <c r="FT54" s="47" t="n">
        <v>0</v>
      </c>
      <c r="FU54" s="47" t="n">
        <v>0</v>
      </c>
      <c r="FV54" s="47" t="n">
        <v>0</v>
      </c>
      <c r="FW54" s="47" t="n">
        <v>0</v>
      </c>
      <c r="FX54" s="47" t="n">
        <v>0</v>
      </c>
      <c r="FY54" s="47" t="n">
        <v>0</v>
      </c>
      <c r="FZ54" s="47" t="n">
        <v>0</v>
      </c>
      <c r="GA54" s="47" t="n">
        <v>0</v>
      </c>
      <c r="GB54" s="47" t="n">
        <v>0</v>
      </c>
      <c r="GC54" s="47" t="n">
        <v>0</v>
      </c>
      <c r="GD54" s="47" t="n">
        <v>0</v>
      </c>
      <c r="GE54" s="47" t="n">
        <v>0</v>
      </c>
      <c r="GF54" s="47" t="n">
        <v>0</v>
      </c>
      <c r="GG54" s="47" t="n">
        <v>0</v>
      </c>
      <c r="GH54" s="47" t="n">
        <v>0</v>
      </c>
      <c r="GI54" s="47" t="n">
        <v>1500</v>
      </c>
      <c r="GJ54" s="47" t="n">
        <v>1500</v>
      </c>
      <c r="GK54" s="47" t="n">
        <v>1500</v>
      </c>
      <c r="GL54" s="47" t="n">
        <v>1500</v>
      </c>
      <c r="GM54" s="47" t="n">
        <v>1500</v>
      </c>
      <c r="GN54" s="47" t="n">
        <v>1800</v>
      </c>
      <c r="GO54" s="47" t="n">
        <v>1800</v>
      </c>
      <c r="GP54" s="47" t="n">
        <v>1800</v>
      </c>
      <c r="GQ54" s="47" t="n">
        <v>1800</v>
      </c>
      <c r="GR54" s="47" t="n">
        <v>1800</v>
      </c>
      <c r="GS54" s="47" t="n">
        <v>1800</v>
      </c>
      <c r="GT54" s="47" t="n">
        <v>2200</v>
      </c>
      <c r="GU54" s="47" t="n">
        <v>2200</v>
      </c>
      <c r="GV54" s="47" t="n">
        <v>2200</v>
      </c>
      <c r="GW54" s="47" t="n">
        <v>2200</v>
      </c>
      <c r="GX54" s="47" t="n">
        <v>2200</v>
      </c>
      <c r="GY54" s="47" t="n">
        <v>2200</v>
      </c>
      <c r="GZ54" s="47" t="n">
        <v>2200</v>
      </c>
      <c r="HA54" s="47" t="n">
        <v>2200</v>
      </c>
      <c r="HB54" s="47" t="n">
        <v>2200</v>
      </c>
      <c r="HC54" s="47" t="n">
        <v>2200</v>
      </c>
      <c r="HD54" s="47" t="n">
        <v>2200</v>
      </c>
      <c r="HE54" s="47" t="n">
        <v>2200</v>
      </c>
      <c r="HF54" s="47" t="n">
        <v>2200</v>
      </c>
      <c r="HG54" s="47" t="n">
        <v>2060</v>
      </c>
      <c r="HH54" s="47" t="n">
        <v>2060</v>
      </c>
      <c r="HI54" s="48" t="n">
        <v>2060</v>
      </c>
      <c r="HJ54" s="47" t="n">
        <v>2060</v>
      </c>
      <c r="HK54" s="47" t="n">
        <v>2060</v>
      </c>
      <c r="HL54" s="47" t="n">
        <v>2060</v>
      </c>
      <c r="HM54" s="47" t="n">
        <v>2060</v>
      </c>
      <c r="HN54" s="47" t="n">
        <v>2060</v>
      </c>
      <c r="HO54" s="47" t="n">
        <v>2060</v>
      </c>
      <c r="HP54" s="47" t="n">
        <v>2060</v>
      </c>
      <c r="HQ54" s="47" t="n">
        <v>2060</v>
      </c>
      <c r="HS54" s="47" t="n">
        <v>0</v>
      </c>
      <c r="HT54" s="47" t="n">
        <v>0</v>
      </c>
      <c r="HU54" s="47" t="n">
        <v>0</v>
      </c>
      <c r="HV54" s="47" t="n">
        <v>0</v>
      </c>
      <c r="HW54" s="47" t="n">
        <v>0</v>
      </c>
      <c r="HX54" s="47" t="n">
        <v>0</v>
      </c>
      <c r="HY54" s="47" t="n">
        <v>0</v>
      </c>
      <c r="HZ54" s="47" t="n">
        <v>0</v>
      </c>
      <c r="IA54" s="47" t="n">
        <v>0</v>
      </c>
      <c r="IB54" s="47" t="n">
        <v>0</v>
      </c>
      <c r="IC54" s="47" t="n">
        <v>0</v>
      </c>
      <c r="ID54" s="47" t="n">
        <v>0</v>
      </c>
      <c r="IE54" s="47" t="n">
        <v>0</v>
      </c>
      <c r="IF54" s="47" t="n">
        <v>0</v>
      </c>
      <c r="IG54" s="47" t="n">
        <v>0</v>
      </c>
      <c r="IH54" s="47" t="n">
        <v>0</v>
      </c>
      <c r="II54" s="47" t="n">
        <v>0</v>
      </c>
      <c r="IJ54" s="47" t="n">
        <v>0</v>
      </c>
      <c r="IK54" s="47" t="n">
        <v>0</v>
      </c>
      <c r="IL54" s="47" t="n">
        <v>0</v>
      </c>
      <c r="IM54" s="47" t="n">
        <v>0</v>
      </c>
      <c r="IN54" s="47" t="n">
        <v>0</v>
      </c>
      <c r="IO54" s="47" t="n">
        <v>0</v>
      </c>
      <c r="IP54" s="47" t="n">
        <v>0</v>
      </c>
      <c r="IQ54" s="47" t="n">
        <v>0</v>
      </c>
      <c r="IR54" s="47" t="n">
        <v>0</v>
      </c>
      <c r="IS54" s="47" t="n">
        <v>0</v>
      </c>
      <c r="IT54" s="47" t="n">
        <v>0</v>
      </c>
      <c r="IU54" s="47" t="n">
        <v>0</v>
      </c>
      <c r="IV54" s="47" t="n">
        <v>0</v>
      </c>
      <c r="IW54" s="47" t="n">
        <v>0</v>
      </c>
      <c r="IX54" s="47" t="n">
        <v>0</v>
      </c>
      <c r="IY54" s="47" t="n">
        <v>0</v>
      </c>
      <c r="IZ54" s="47" t="n">
        <v>0</v>
      </c>
      <c r="JA54" s="47" t="n">
        <v>0</v>
      </c>
      <c r="JB54" s="47" t="n">
        <v>0</v>
      </c>
      <c r="JC54" s="47" t="n">
        <v>0</v>
      </c>
      <c r="JD54" s="47" t="n">
        <v>1500</v>
      </c>
      <c r="JE54" s="47" t="n">
        <v>1500</v>
      </c>
      <c r="JF54" s="47" t="n">
        <v>1500</v>
      </c>
      <c r="JG54" s="47" t="n">
        <v>1500</v>
      </c>
      <c r="JH54" s="47" t="n">
        <v>1500</v>
      </c>
      <c r="JI54" s="47" t="n">
        <v>1800</v>
      </c>
      <c r="JJ54" s="47" t="n">
        <v>1800</v>
      </c>
      <c r="JK54" s="47" t="n">
        <v>1800</v>
      </c>
      <c r="JL54" s="47" t="n">
        <v>1800</v>
      </c>
      <c r="JM54" s="47" t="n">
        <v>1800</v>
      </c>
      <c r="JN54" s="47" t="n">
        <v>1800</v>
      </c>
      <c r="JO54" s="47" t="n">
        <v>2200</v>
      </c>
      <c r="JP54" s="47" t="n">
        <v>2200</v>
      </c>
      <c r="JQ54" s="47" t="n">
        <v>2200</v>
      </c>
      <c r="JR54" s="47" t="n">
        <v>2200</v>
      </c>
      <c r="JS54" s="47" t="n">
        <v>2200</v>
      </c>
      <c r="JT54" s="47" t="n">
        <v>2200</v>
      </c>
      <c r="JU54" s="47" t="n">
        <v>2200</v>
      </c>
      <c r="JV54" s="47" t="n">
        <v>2200</v>
      </c>
      <c r="JW54" s="47" t="n">
        <v>2200</v>
      </c>
      <c r="JX54" s="47" t="n">
        <v>2200</v>
      </c>
      <c r="JY54" s="47" t="n">
        <v>2200</v>
      </c>
      <c r="JZ54" s="47" t="n">
        <v>2200</v>
      </c>
      <c r="KA54" s="47" t="n">
        <v>2200</v>
      </c>
      <c r="KB54" s="47" t="n">
        <v>2060</v>
      </c>
      <c r="KC54" s="47" t="n">
        <v>2060</v>
      </c>
      <c r="KD54" s="48" t="n">
        <v>2060</v>
      </c>
      <c r="KE54" s="47" t="n">
        <v>2060</v>
      </c>
      <c r="KF54" s="47" t="n">
        <v>2060</v>
      </c>
      <c r="KG54" s="47" t="n">
        <v>2060</v>
      </c>
      <c r="KH54" s="47" t="n">
        <v>2060</v>
      </c>
      <c r="KI54" s="47" t="n">
        <v>2060</v>
      </c>
      <c r="KJ54" s="47" t="n">
        <v>2060</v>
      </c>
      <c r="KK54" s="47" t="n">
        <v>2060</v>
      </c>
      <c r="KL54" s="47" t="n">
        <v>2060</v>
      </c>
    </row>
    <row r="55" customFormat="false" ht="15.75" hidden="false" customHeight="true" outlineLevel="0" collapsed="false">
      <c r="A55" s="35" t="s">
        <v>273</v>
      </c>
      <c r="B55" s="35" t="s">
        <v>274</v>
      </c>
      <c r="C55" s="35" t="s">
        <v>164</v>
      </c>
      <c r="D55" s="35" t="s">
        <v>275</v>
      </c>
      <c r="E55" s="35" t="s">
        <v>166</v>
      </c>
      <c r="G55" s="44" t="n">
        <v>0</v>
      </c>
      <c r="H55" s="44" t="n">
        <v>0</v>
      </c>
      <c r="I55" s="44" t="n">
        <v>0</v>
      </c>
      <c r="J55" s="44" t="n">
        <v>0</v>
      </c>
      <c r="K55" s="44" t="n">
        <v>0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0</v>
      </c>
      <c r="Q55" s="44" t="n">
        <v>0</v>
      </c>
      <c r="R55" s="44" t="n">
        <v>0</v>
      </c>
      <c r="S55" s="44" t="n">
        <v>0</v>
      </c>
      <c r="T55" s="44" t="n">
        <v>0</v>
      </c>
      <c r="U55" s="44" t="n">
        <v>0</v>
      </c>
      <c r="V55" s="44" t="n">
        <v>0</v>
      </c>
      <c r="W55" s="44" t="n">
        <v>0</v>
      </c>
      <c r="X55" s="44" t="n">
        <v>0</v>
      </c>
      <c r="Y55" s="44" t="n">
        <v>0</v>
      </c>
      <c r="Z55" s="44" t="n">
        <v>0</v>
      </c>
      <c r="AA55" s="44" t="n">
        <v>0</v>
      </c>
      <c r="AB55" s="44" t="n">
        <v>0</v>
      </c>
      <c r="AC55" s="44" t="n">
        <v>0</v>
      </c>
      <c r="AD55" s="44" t="n">
        <v>0</v>
      </c>
      <c r="AE55" s="44" t="n">
        <v>0</v>
      </c>
      <c r="AF55" s="44" t="n">
        <v>0</v>
      </c>
      <c r="AG55" s="44" t="n">
        <v>0</v>
      </c>
      <c r="AH55" s="44" t="n">
        <v>0</v>
      </c>
      <c r="AI55" s="44" t="n">
        <v>0</v>
      </c>
      <c r="AJ55" s="44" t="n">
        <v>0</v>
      </c>
      <c r="AK55" s="44" t="n">
        <v>0</v>
      </c>
      <c r="AL55" s="44" t="n">
        <v>0</v>
      </c>
      <c r="AM55" s="44" t="n">
        <v>3833.33333333333</v>
      </c>
      <c r="AN55" s="44" t="n">
        <v>3833.33333333333</v>
      </c>
      <c r="AO55" s="44" t="n">
        <v>3833.33333333333</v>
      </c>
      <c r="AP55" s="44" t="n">
        <v>3833.33333333333</v>
      </c>
      <c r="AQ55" s="44" t="n">
        <v>3833.33333333333</v>
      </c>
      <c r="AR55" s="44" t="n">
        <v>3833.33333333333</v>
      </c>
      <c r="AS55" s="44" t="n">
        <v>3833.33333333333</v>
      </c>
      <c r="AT55" s="44" t="n">
        <v>3833.33333333333</v>
      </c>
      <c r="AU55" s="44" t="n">
        <v>3833.33333333333</v>
      </c>
      <c r="AV55" s="44" t="n">
        <v>3833.33333333333</v>
      </c>
      <c r="AW55" s="44" t="n">
        <v>3833.33333333333</v>
      </c>
      <c r="AX55" s="44" t="n">
        <v>3833.33333333333</v>
      </c>
      <c r="AY55" s="44" t="n">
        <v>2833.33333333333</v>
      </c>
      <c r="AZ55" s="44" t="n">
        <v>2833.33333333333</v>
      </c>
      <c r="BA55" s="44" t="n">
        <v>2833.33333333333</v>
      </c>
      <c r="BB55" s="44" t="n">
        <v>2833.33333333333</v>
      </c>
      <c r="BC55" s="44" t="n">
        <v>2833.33333333333</v>
      </c>
      <c r="BD55" s="44" t="n">
        <v>2833.33333333333</v>
      </c>
      <c r="BE55" s="44" t="n">
        <v>2833.33333333333</v>
      </c>
      <c r="BF55" s="44" t="n">
        <v>2833.33333333333</v>
      </c>
      <c r="BG55" s="44" t="n">
        <v>2833.33333333333</v>
      </c>
      <c r="BH55" s="44" t="n">
        <v>2833.33333333333</v>
      </c>
      <c r="BI55" s="44" t="n">
        <v>2833.33333333333</v>
      </c>
      <c r="BJ55" s="44" t="n">
        <v>2833.33333333333</v>
      </c>
      <c r="BK55" s="44" t="n">
        <v>0</v>
      </c>
      <c r="BL55" s="44" t="n">
        <v>0</v>
      </c>
      <c r="BM55" s="44" t="n">
        <v>0</v>
      </c>
      <c r="BN55" s="44" t="n">
        <v>0</v>
      </c>
      <c r="BO55" s="44" t="n">
        <v>0</v>
      </c>
      <c r="BP55" s="44" t="n">
        <v>0</v>
      </c>
      <c r="BQ55" s="44" t="n">
        <v>0</v>
      </c>
      <c r="BR55" s="45" t="n">
        <v>0</v>
      </c>
      <c r="BS55" s="46" t="n">
        <v>0</v>
      </c>
      <c r="BT55" s="46" t="n">
        <v>0</v>
      </c>
      <c r="BU55" s="46" t="n">
        <v>0</v>
      </c>
      <c r="BV55" s="46" t="n">
        <v>0</v>
      </c>
      <c r="BW55" s="46" t="n">
        <v>0</v>
      </c>
      <c r="BX55" s="46" t="n">
        <v>0</v>
      </c>
      <c r="BY55" s="46" t="n">
        <v>0</v>
      </c>
      <c r="BZ55" s="46" t="n">
        <v>0</v>
      </c>
      <c r="EX55" s="47" t="n">
        <v>0</v>
      </c>
      <c r="EY55" s="47" t="n">
        <v>0</v>
      </c>
      <c r="EZ55" s="47" t="n">
        <v>0</v>
      </c>
      <c r="FA55" s="47" t="n">
        <v>0</v>
      </c>
      <c r="FB55" s="47" t="n">
        <v>0</v>
      </c>
      <c r="FC55" s="47" t="n">
        <v>0</v>
      </c>
      <c r="FD55" s="47" t="n">
        <v>0</v>
      </c>
      <c r="FE55" s="47" t="n">
        <v>0</v>
      </c>
      <c r="FF55" s="47" t="n">
        <v>0</v>
      </c>
      <c r="FG55" s="47" t="n">
        <v>0</v>
      </c>
      <c r="FH55" s="47" t="n">
        <v>0</v>
      </c>
      <c r="FI55" s="47" t="n">
        <v>0</v>
      </c>
      <c r="FJ55" s="47" t="n">
        <v>0</v>
      </c>
      <c r="FK55" s="47" t="n">
        <v>0</v>
      </c>
      <c r="FL55" s="47" t="n">
        <v>0</v>
      </c>
      <c r="FM55" s="47" t="n">
        <v>0</v>
      </c>
      <c r="FN55" s="47" t="n">
        <v>0</v>
      </c>
      <c r="FO55" s="47" t="n">
        <v>0</v>
      </c>
      <c r="FP55" s="47" t="n">
        <v>0</v>
      </c>
      <c r="FQ55" s="47" t="n">
        <v>0</v>
      </c>
      <c r="FR55" s="47" t="n">
        <v>0</v>
      </c>
      <c r="FS55" s="47" t="n">
        <v>0</v>
      </c>
      <c r="FT55" s="47" t="n">
        <v>0</v>
      </c>
      <c r="FU55" s="47" t="n">
        <v>0</v>
      </c>
      <c r="FV55" s="47" t="n">
        <v>0</v>
      </c>
      <c r="FW55" s="47" t="n">
        <v>0</v>
      </c>
      <c r="FX55" s="47" t="n">
        <v>0</v>
      </c>
      <c r="FY55" s="47" t="n">
        <v>0</v>
      </c>
      <c r="FZ55" s="47" t="n">
        <v>0</v>
      </c>
      <c r="GA55" s="47" t="n">
        <v>0</v>
      </c>
      <c r="GB55" s="47" t="n">
        <v>0</v>
      </c>
      <c r="GC55" s="47" t="n">
        <v>0</v>
      </c>
      <c r="GD55" s="47" t="n">
        <v>3833.33333333333</v>
      </c>
      <c r="GE55" s="47" t="n">
        <v>3833.33333333333</v>
      </c>
      <c r="GF55" s="47" t="n">
        <v>3833.33333333333</v>
      </c>
      <c r="GG55" s="47" t="n">
        <v>3833.33333333333</v>
      </c>
      <c r="GH55" s="47" t="n">
        <v>3833.33333333333</v>
      </c>
      <c r="GI55" s="47" t="n">
        <v>3833.33333333333</v>
      </c>
      <c r="GJ55" s="47" t="n">
        <v>3833.33333333333</v>
      </c>
      <c r="GK55" s="47" t="n">
        <v>3833.33333333333</v>
      </c>
      <c r="GL55" s="47" t="n">
        <v>3833.33333333333</v>
      </c>
      <c r="GM55" s="47" t="n">
        <v>3833.33333333333</v>
      </c>
      <c r="GN55" s="47" t="n">
        <v>3833.33333333333</v>
      </c>
      <c r="GO55" s="47" t="n">
        <v>3833.33333333333</v>
      </c>
      <c r="GP55" s="47" t="n">
        <v>2833.33333333333</v>
      </c>
      <c r="GQ55" s="47" t="n">
        <v>2833.33333333333</v>
      </c>
      <c r="GR55" s="47" t="n">
        <v>2833.33333333333</v>
      </c>
      <c r="GS55" s="47" t="n">
        <v>2833.33333333333</v>
      </c>
      <c r="GT55" s="47" t="n">
        <v>2833.33333333333</v>
      </c>
      <c r="GU55" s="47" t="n">
        <v>2833.33333333333</v>
      </c>
      <c r="GV55" s="47" t="n">
        <v>2833.33333333333</v>
      </c>
      <c r="GW55" s="47" t="n">
        <v>2833.33333333333</v>
      </c>
      <c r="GX55" s="47" t="n">
        <v>2833.33333333333</v>
      </c>
      <c r="GY55" s="47" t="n">
        <v>2833.33333333333</v>
      </c>
      <c r="GZ55" s="47" t="n">
        <v>2833.33333333333</v>
      </c>
      <c r="HA55" s="47" t="n">
        <v>2833.33333333333</v>
      </c>
      <c r="HB55" s="47" t="n">
        <v>0</v>
      </c>
      <c r="HC55" s="47" t="n">
        <v>0</v>
      </c>
      <c r="HD55" s="47" t="n">
        <v>0</v>
      </c>
      <c r="HE55" s="47" t="n">
        <v>0</v>
      </c>
      <c r="HF55" s="47" t="n">
        <v>0</v>
      </c>
      <c r="HG55" s="47" t="n">
        <v>0</v>
      </c>
      <c r="HH55" s="47" t="n">
        <v>0</v>
      </c>
      <c r="HI55" s="48" t="n">
        <v>0</v>
      </c>
      <c r="HJ55" s="47" t="n">
        <v>0</v>
      </c>
      <c r="HK55" s="47" t="n">
        <v>0</v>
      </c>
      <c r="HL55" s="47" t="n">
        <v>0</v>
      </c>
      <c r="HM55" s="47" t="n">
        <v>0</v>
      </c>
      <c r="HN55" s="47" t="n">
        <v>0</v>
      </c>
      <c r="HO55" s="47" t="n">
        <v>0</v>
      </c>
      <c r="HP55" s="47" t="n">
        <v>0</v>
      </c>
      <c r="HQ55" s="47" t="n">
        <v>0</v>
      </c>
      <c r="HS55" s="47" t="n">
        <v>0</v>
      </c>
      <c r="HT55" s="47" t="n">
        <v>0</v>
      </c>
      <c r="HU55" s="47" t="n">
        <v>0</v>
      </c>
      <c r="HV55" s="47" t="n">
        <v>0</v>
      </c>
      <c r="HW55" s="47" t="n">
        <v>0</v>
      </c>
      <c r="HX55" s="47" t="n">
        <v>0</v>
      </c>
      <c r="HY55" s="47" t="n">
        <v>0</v>
      </c>
      <c r="HZ55" s="47" t="n">
        <v>0</v>
      </c>
      <c r="IA55" s="47" t="n">
        <v>0</v>
      </c>
      <c r="IB55" s="47" t="n">
        <v>0</v>
      </c>
      <c r="IC55" s="47" t="n">
        <v>0</v>
      </c>
      <c r="ID55" s="47" t="n">
        <v>0</v>
      </c>
      <c r="IE55" s="47" t="n">
        <v>0</v>
      </c>
      <c r="IF55" s="47" t="n">
        <v>0</v>
      </c>
      <c r="IG55" s="47" t="n">
        <v>0</v>
      </c>
      <c r="IH55" s="47" t="n">
        <v>0</v>
      </c>
      <c r="II55" s="47" t="n">
        <v>0</v>
      </c>
      <c r="IJ55" s="47" t="n">
        <v>0</v>
      </c>
      <c r="IK55" s="47" t="n">
        <v>0</v>
      </c>
      <c r="IL55" s="47" t="n">
        <v>0</v>
      </c>
      <c r="IM55" s="47" t="n">
        <v>0</v>
      </c>
      <c r="IN55" s="47" t="n">
        <v>0</v>
      </c>
      <c r="IO55" s="47" t="n">
        <v>0</v>
      </c>
      <c r="IP55" s="47" t="n">
        <v>0</v>
      </c>
      <c r="IQ55" s="47" t="n">
        <v>0</v>
      </c>
      <c r="IR55" s="47" t="n">
        <v>0</v>
      </c>
      <c r="IS55" s="47" t="n">
        <v>0</v>
      </c>
      <c r="IT55" s="47" t="n">
        <v>0</v>
      </c>
      <c r="IU55" s="47" t="n">
        <v>0</v>
      </c>
      <c r="IV55" s="47" t="n">
        <v>0</v>
      </c>
      <c r="IW55" s="47" t="n">
        <v>0</v>
      </c>
      <c r="IX55" s="47" t="n">
        <v>0</v>
      </c>
      <c r="IY55" s="47" t="n">
        <v>3833.33333333333</v>
      </c>
      <c r="IZ55" s="47" t="n">
        <v>3833.33333333333</v>
      </c>
      <c r="JA55" s="47" t="n">
        <v>3833.33333333333</v>
      </c>
      <c r="JB55" s="47" t="n">
        <v>3833.33333333333</v>
      </c>
      <c r="JC55" s="47" t="n">
        <v>3833.33333333333</v>
      </c>
      <c r="JD55" s="47" t="n">
        <v>3833.33333333333</v>
      </c>
      <c r="JE55" s="47" t="n">
        <v>3833.33333333333</v>
      </c>
      <c r="JF55" s="47" t="n">
        <v>3833.33333333333</v>
      </c>
      <c r="JG55" s="47" t="n">
        <v>3833.33333333333</v>
      </c>
      <c r="JH55" s="47" t="n">
        <v>3833.33333333333</v>
      </c>
      <c r="JI55" s="47" t="n">
        <v>3833.33333333333</v>
      </c>
      <c r="JJ55" s="47" t="n">
        <v>3833.33333333333</v>
      </c>
      <c r="JK55" s="47" t="n">
        <v>2833.33333333333</v>
      </c>
      <c r="JL55" s="47" t="n">
        <v>2833.33333333333</v>
      </c>
      <c r="JM55" s="47" t="n">
        <v>2833.33333333333</v>
      </c>
      <c r="JN55" s="47" t="n">
        <v>2833.33333333333</v>
      </c>
      <c r="JO55" s="47" t="n">
        <v>2833.33333333333</v>
      </c>
      <c r="JP55" s="47" t="n">
        <v>2833.33333333333</v>
      </c>
      <c r="JQ55" s="47" t="n">
        <v>2833.33333333333</v>
      </c>
      <c r="JR55" s="47" t="n">
        <v>2833.33333333333</v>
      </c>
      <c r="JS55" s="47" t="n">
        <v>2833.33333333333</v>
      </c>
      <c r="JT55" s="47" t="n">
        <v>2833.33333333333</v>
      </c>
      <c r="JU55" s="47" t="n">
        <v>2833.33333333333</v>
      </c>
      <c r="JV55" s="47" t="n">
        <v>2833.33333333333</v>
      </c>
      <c r="JW55" s="47" t="n">
        <v>0</v>
      </c>
      <c r="JX55" s="47" t="n">
        <v>0</v>
      </c>
      <c r="JY55" s="47" t="n">
        <v>0</v>
      </c>
      <c r="JZ55" s="47" t="n">
        <v>0</v>
      </c>
      <c r="KA55" s="47" t="n">
        <v>0</v>
      </c>
      <c r="KB55" s="47" t="n">
        <v>0</v>
      </c>
      <c r="KC55" s="47" t="n">
        <v>0</v>
      </c>
      <c r="KD55" s="48" t="n">
        <v>0</v>
      </c>
      <c r="KE55" s="47" t="n">
        <v>0</v>
      </c>
      <c r="KF55" s="47" t="n">
        <v>0</v>
      </c>
      <c r="KG55" s="47" t="n">
        <v>0</v>
      </c>
      <c r="KH55" s="47" t="n">
        <v>0</v>
      </c>
      <c r="KI55" s="47" t="n">
        <v>0</v>
      </c>
      <c r="KJ55" s="47" t="n">
        <v>0</v>
      </c>
      <c r="KK55" s="47" t="n">
        <v>0</v>
      </c>
      <c r="KL55" s="47" t="n">
        <v>0</v>
      </c>
    </row>
    <row r="56" customFormat="false" ht="15.75" hidden="false" customHeight="true" outlineLevel="0" collapsed="false">
      <c r="A56" s="35" t="s">
        <v>276</v>
      </c>
      <c r="B56" s="35" t="s">
        <v>277</v>
      </c>
      <c r="C56" s="35" t="s">
        <v>164</v>
      </c>
      <c r="D56" s="35" t="s">
        <v>165</v>
      </c>
      <c r="E56" s="35" t="s">
        <v>177</v>
      </c>
      <c r="G56" s="44" t="n">
        <v>800</v>
      </c>
      <c r="H56" s="44" t="n">
        <v>800</v>
      </c>
      <c r="I56" s="44" t="n">
        <v>800</v>
      </c>
      <c r="J56" s="44" t="n">
        <v>1000</v>
      </c>
      <c r="K56" s="44" t="n">
        <v>1000</v>
      </c>
      <c r="L56" s="44" t="n">
        <v>1000</v>
      </c>
      <c r="M56" s="44" t="n">
        <v>1000</v>
      </c>
      <c r="N56" s="44" t="n">
        <v>1000</v>
      </c>
      <c r="O56" s="44" t="n">
        <v>1000</v>
      </c>
      <c r="P56" s="44" t="n">
        <v>1000</v>
      </c>
      <c r="Q56" s="44" t="n">
        <v>1000</v>
      </c>
      <c r="R56" s="44" t="n">
        <v>1000</v>
      </c>
      <c r="S56" s="44" t="n">
        <v>1000</v>
      </c>
      <c r="T56" s="44" t="n">
        <v>1000</v>
      </c>
      <c r="U56" s="44" t="n">
        <v>1000</v>
      </c>
      <c r="V56" s="44" t="n">
        <v>1000</v>
      </c>
      <c r="W56" s="44" t="n">
        <v>1000</v>
      </c>
      <c r="X56" s="44" t="n">
        <v>1000</v>
      </c>
      <c r="Y56" s="44" t="n">
        <v>700</v>
      </c>
      <c r="Z56" s="44" t="n">
        <v>700</v>
      </c>
      <c r="AA56" s="44" t="n">
        <v>700</v>
      </c>
      <c r="AB56" s="44" t="n">
        <v>700</v>
      </c>
      <c r="AC56" s="44" t="n">
        <v>700</v>
      </c>
      <c r="AD56" s="44" t="n">
        <v>700</v>
      </c>
      <c r="AE56" s="44" t="n">
        <v>700</v>
      </c>
      <c r="AF56" s="44" t="n">
        <v>700</v>
      </c>
      <c r="AG56" s="44" t="n">
        <v>700</v>
      </c>
      <c r="AH56" s="44" t="n">
        <v>700</v>
      </c>
      <c r="AI56" s="44" t="n">
        <v>700</v>
      </c>
      <c r="AJ56" s="44" t="n">
        <v>700</v>
      </c>
      <c r="AK56" s="44" t="n">
        <v>700</v>
      </c>
      <c r="AL56" s="44" t="n">
        <v>700</v>
      </c>
      <c r="AM56" s="44" t="n">
        <v>700</v>
      </c>
      <c r="AN56" s="44" t="n">
        <v>700</v>
      </c>
      <c r="AO56" s="44" t="n">
        <v>700</v>
      </c>
      <c r="AP56" s="44" t="n">
        <v>700</v>
      </c>
      <c r="AQ56" s="44" t="n">
        <v>700</v>
      </c>
      <c r="AR56" s="44" t="n">
        <v>700</v>
      </c>
      <c r="AS56" s="44" t="n">
        <v>700</v>
      </c>
      <c r="AT56" s="44" t="n">
        <v>700</v>
      </c>
      <c r="AU56" s="44" t="n">
        <v>700</v>
      </c>
      <c r="AV56" s="44" t="n">
        <v>700</v>
      </c>
      <c r="AW56" s="44" t="n">
        <v>900</v>
      </c>
      <c r="AX56" s="44" t="n">
        <v>900</v>
      </c>
      <c r="AY56" s="44" t="n">
        <v>900</v>
      </c>
      <c r="AZ56" s="44" t="n">
        <v>900</v>
      </c>
      <c r="BA56" s="44" t="n">
        <v>900</v>
      </c>
      <c r="BB56" s="44" t="n">
        <v>900</v>
      </c>
      <c r="BC56" s="44" t="n">
        <v>900</v>
      </c>
      <c r="BD56" s="44" t="n">
        <v>900</v>
      </c>
      <c r="BE56" s="44" t="n">
        <v>900</v>
      </c>
      <c r="BF56" s="44" t="n">
        <v>900</v>
      </c>
      <c r="BG56" s="44" t="n">
        <v>900</v>
      </c>
      <c r="BH56" s="44" t="n">
        <v>900</v>
      </c>
      <c r="BI56" s="44" t="n">
        <v>900</v>
      </c>
      <c r="BJ56" s="44" t="n">
        <v>900</v>
      </c>
      <c r="BK56" s="44" t="n">
        <v>900</v>
      </c>
      <c r="BL56" s="44" t="n">
        <v>900</v>
      </c>
      <c r="BM56" s="44" t="n">
        <v>900</v>
      </c>
      <c r="BN56" s="44" t="n">
        <v>900</v>
      </c>
      <c r="BO56" s="44" t="n">
        <v>900</v>
      </c>
      <c r="BP56" s="44" t="n">
        <v>900</v>
      </c>
      <c r="BQ56" s="44" t="n">
        <v>900</v>
      </c>
      <c r="BR56" s="45" t="n">
        <v>900</v>
      </c>
      <c r="BS56" s="46" t="n">
        <v>900</v>
      </c>
      <c r="BT56" s="46" t="n">
        <v>900</v>
      </c>
      <c r="BU56" s="46" t="n">
        <v>900</v>
      </c>
      <c r="BV56" s="46" t="n">
        <v>900</v>
      </c>
      <c r="BW56" s="46" t="n">
        <v>900</v>
      </c>
      <c r="BX56" s="46" t="n">
        <v>900</v>
      </c>
      <c r="BY56" s="46" t="n">
        <v>900</v>
      </c>
      <c r="BZ56" s="46" t="n">
        <v>900</v>
      </c>
      <c r="EX56" s="47" t="n">
        <v>800</v>
      </c>
      <c r="EY56" s="47" t="n">
        <v>800</v>
      </c>
      <c r="EZ56" s="47" t="n">
        <v>800</v>
      </c>
      <c r="FA56" s="47" t="n">
        <v>1000</v>
      </c>
      <c r="FB56" s="47" t="n">
        <v>1000</v>
      </c>
      <c r="FC56" s="47" t="n">
        <v>1000</v>
      </c>
      <c r="FD56" s="47" t="n">
        <v>1000</v>
      </c>
      <c r="FE56" s="47" t="n">
        <v>1000</v>
      </c>
      <c r="FF56" s="47" t="n">
        <v>1000</v>
      </c>
      <c r="FG56" s="47" t="n">
        <v>1000</v>
      </c>
      <c r="FH56" s="47" t="n">
        <v>1000</v>
      </c>
      <c r="FI56" s="47" t="n">
        <v>1000</v>
      </c>
      <c r="FJ56" s="47" t="n">
        <v>1000</v>
      </c>
      <c r="FK56" s="47" t="n">
        <v>1000</v>
      </c>
      <c r="FL56" s="47" t="n">
        <v>1000</v>
      </c>
      <c r="FM56" s="47" t="n">
        <v>1000</v>
      </c>
      <c r="FN56" s="47" t="n">
        <v>1000</v>
      </c>
      <c r="FO56" s="47" t="n">
        <v>1000</v>
      </c>
      <c r="FP56" s="47" t="n">
        <v>700</v>
      </c>
      <c r="FQ56" s="47" t="n">
        <v>700</v>
      </c>
      <c r="FR56" s="47" t="n">
        <v>700</v>
      </c>
      <c r="FS56" s="47" t="n">
        <v>700</v>
      </c>
      <c r="FT56" s="47" t="n">
        <v>700</v>
      </c>
      <c r="FU56" s="47" t="n">
        <v>700</v>
      </c>
      <c r="FV56" s="47" t="n">
        <v>700</v>
      </c>
      <c r="FW56" s="47" t="n">
        <v>700</v>
      </c>
      <c r="FX56" s="47" t="n">
        <v>700</v>
      </c>
      <c r="FY56" s="47" t="n">
        <v>700</v>
      </c>
      <c r="FZ56" s="47" t="n">
        <v>700</v>
      </c>
      <c r="GA56" s="47" t="n">
        <v>700</v>
      </c>
      <c r="GB56" s="47" t="n">
        <v>700</v>
      </c>
      <c r="GC56" s="47" t="n">
        <v>700</v>
      </c>
      <c r="GD56" s="47" t="n">
        <v>700</v>
      </c>
      <c r="GE56" s="47" t="n">
        <v>700</v>
      </c>
      <c r="GF56" s="47" t="n">
        <v>700</v>
      </c>
      <c r="GG56" s="47" t="n">
        <v>700</v>
      </c>
      <c r="GH56" s="47" t="n">
        <v>700</v>
      </c>
      <c r="GI56" s="47" t="n">
        <v>700</v>
      </c>
      <c r="GJ56" s="47" t="n">
        <v>700</v>
      </c>
      <c r="GK56" s="47" t="n">
        <v>700</v>
      </c>
      <c r="GL56" s="47" t="n">
        <v>700</v>
      </c>
      <c r="GM56" s="47" t="n">
        <v>700</v>
      </c>
      <c r="GN56" s="47" t="n">
        <v>900</v>
      </c>
      <c r="GO56" s="47" t="n">
        <v>900</v>
      </c>
      <c r="GP56" s="47" t="n">
        <v>900</v>
      </c>
      <c r="GQ56" s="47" t="n">
        <v>900</v>
      </c>
      <c r="GR56" s="47" t="n">
        <v>900</v>
      </c>
      <c r="GS56" s="47" t="n">
        <v>900</v>
      </c>
      <c r="GT56" s="47" t="n">
        <v>900</v>
      </c>
      <c r="GU56" s="47" t="n">
        <v>900</v>
      </c>
      <c r="GV56" s="47" t="n">
        <v>900</v>
      </c>
      <c r="GW56" s="47" t="n">
        <v>900</v>
      </c>
      <c r="GX56" s="47" t="n">
        <v>900</v>
      </c>
      <c r="GY56" s="47" t="n">
        <v>900</v>
      </c>
      <c r="GZ56" s="47" t="n">
        <v>900</v>
      </c>
      <c r="HA56" s="47" t="n">
        <v>900</v>
      </c>
      <c r="HB56" s="47" t="n">
        <v>900</v>
      </c>
      <c r="HC56" s="47" t="n">
        <v>900</v>
      </c>
      <c r="HD56" s="47" t="n">
        <v>900</v>
      </c>
      <c r="HE56" s="47" t="n">
        <v>900</v>
      </c>
      <c r="HF56" s="47" t="n">
        <v>900</v>
      </c>
      <c r="HG56" s="47" t="n">
        <v>900</v>
      </c>
      <c r="HH56" s="47" t="n">
        <v>900</v>
      </c>
      <c r="HI56" s="48" t="n">
        <v>900</v>
      </c>
      <c r="HJ56" s="47" t="n">
        <v>900</v>
      </c>
      <c r="HK56" s="47" t="n">
        <v>900</v>
      </c>
      <c r="HL56" s="47" t="n">
        <v>900</v>
      </c>
      <c r="HM56" s="47" t="n">
        <v>900</v>
      </c>
      <c r="HN56" s="47" t="n">
        <v>900</v>
      </c>
      <c r="HO56" s="47" t="n">
        <v>900</v>
      </c>
      <c r="HP56" s="47" t="n">
        <v>900</v>
      </c>
      <c r="HQ56" s="47" t="n">
        <v>900</v>
      </c>
      <c r="HS56" s="47" t="n">
        <v>800</v>
      </c>
      <c r="HT56" s="47" t="n">
        <v>800</v>
      </c>
      <c r="HU56" s="47" t="n">
        <v>800</v>
      </c>
      <c r="HV56" s="47" t="n">
        <v>1000</v>
      </c>
      <c r="HW56" s="47" t="n">
        <v>1000</v>
      </c>
      <c r="HX56" s="47" t="n">
        <v>1000</v>
      </c>
      <c r="HY56" s="47" t="n">
        <v>1000</v>
      </c>
      <c r="HZ56" s="47" t="n">
        <v>1000</v>
      </c>
      <c r="IA56" s="47" t="n">
        <v>1000</v>
      </c>
      <c r="IB56" s="47" t="n">
        <v>1000</v>
      </c>
      <c r="IC56" s="47" t="n">
        <v>1000</v>
      </c>
      <c r="ID56" s="47" t="n">
        <v>1000</v>
      </c>
      <c r="IE56" s="47" t="n">
        <v>1000</v>
      </c>
      <c r="IF56" s="47" t="n">
        <v>1000</v>
      </c>
      <c r="IG56" s="47" t="n">
        <v>1000</v>
      </c>
      <c r="IH56" s="47" t="n">
        <v>1000</v>
      </c>
      <c r="II56" s="47" t="n">
        <v>1000</v>
      </c>
      <c r="IJ56" s="47" t="n">
        <v>1000</v>
      </c>
      <c r="IK56" s="47" t="n">
        <v>700</v>
      </c>
      <c r="IL56" s="47" t="n">
        <v>700</v>
      </c>
      <c r="IM56" s="47" t="n">
        <v>700</v>
      </c>
      <c r="IN56" s="47" t="n">
        <v>700</v>
      </c>
      <c r="IO56" s="47" t="n">
        <v>700</v>
      </c>
      <c r="IP56" s="47" t="n">
        <v>700</v>
      </c>
      <c r="IQ56" s="47" t="n">
        <v>700</v>
      </c>
      <c r="IR56" s="47" t="n">
        <v>700</v>
      </c>
      <c r="IS56" s="47" t="n">
        <v>700</v>
      </c>
      <c r="IT56" s="47" t="n">
        <v>700</v>
      </c>
      <c r="IU56" s="47" t="n">
        <v>700</v>
      </c>
      <c r="IV56" s="47" t="n">
        <v>700</v>
      </c>
      <c r="IW56" s="47" t="n">
        <v>700</v>
      </c>
      <c r="IX56" s="47" t="n">
        <v>700</v>
      </c>
      <c r="IY56" s="47" t="n">
        <v>700</v>
      </c>
      <c r="IZ56" s="47" t="n">
        <v>700</v>
      </c>
      <c r="JA56" s="47" t="n">
        <v>700</v>
      </c>
      <c r="JB56" s="47" t="n">
        <v>700</v>
      </c>
      <c r="JC56" s="47" t="n">
        <v>700</v>
      </c>
      <c r="JD56" s="47" t="n">
        <v>700</v>
      </c>
      <c r="JE56" s="47" t="n">
        <v>700</v>
      </c>
      <c r="JF56" s="47" t="n">
        <v>700</v>
      </c>
      <c r="JG56" s="47" t="n">
        <v>700</v>
      </c>
      <c r="JH56" s="47" t="n">
        <v>700</v>
      </c>
      <c r="JI56" s="47" t="n">
        <v>900</v>
      </c>
      <c r="JJ56" s="47" t="n">
        <v>900</v>
      </c>
      <c r="JK56" s="47" t="n">
        <v>900</v>
      </c>
      <c r="JL56" s="47" t="n">
        <v>900</v>
      </c>
      <c r="JM56" s="47" t="n">
        <v>900</v>
      </c>
      <c r="JN56" s="47" t="n">
        <v>900</v>
      </c>
      <c r="JO56" s="47" t="n">
        <v>900</v>
      </c>
      <c r="JP56" s="47" t="n">
        <v>900</v>
      </c>
      <c r="JQ56" s="47" t="n">
        <v>900</v>
      </c>
      <c r="JR56" s="47" t="n">
        <v>900</v>
      </c>
      <c r="JS56" s="47" t="n">
        <v>900</v>
      </c>
      <c r="JT56" s="47" t="n">
        <v>900</v>
      </c>
      <c r="JU56" s="47" t="n">
        <v>900</v>
      </c>
      <c r="JV56" s="47" t="n">
        <v>900</v>
      </c>
      <c r="JW56" s="47" t="n">
        <v>900</v>
      </c>
      <c r="JX56" s="47" t="n">
        <v>900</v>
      </c>
      <c r="JY56" s="47" t="n">
        <v>900</v>
      </c>
      <c r="JZ56" s="47" t="n">
        <v>900</v>
      </c>
      <c r="KA56" s="47" t="n">
        <v>900</v>
      </c>
      <c r="KB56" s="47" t="n">
        <v>900</v>
      </c>
      <c r="KC56" s="47" t="n">
        <v>900</v>
      </c>
      <c r="KD56" s="48" t="n">
        <v>900</v>
      </c>
      <c r="KE56" s="47" t="n">
        <v>900</v>
      </c>
      <c r="KF56" s="47" t="n">
        <v>900</v>
      </c>
      <c r="KG56" s="47" t="n">
        <v>900</v>
      </c>
      <c r="KH56" s="47" t="n">
        <v>900</v>
      </c>
      <c r="KI56" s="47" t="n">
        <v>900</v>
      </c>
      <c r="KJ56" s="47" t="n">
        <v>900</v>
      </c>
      <c r="KK56" s="47" t="n">
        <v>900</v>
      </c>
      <c r="KL56" s="47" t="n">
        <v>900</v>
      </c>
    </row>
    <row r="57" customFormat="false" ht="15.75" hidden="false" customHeight="true" outlineLevel="0" collapsed="false">
      <c r="A57" s="35" t="s">
        <v>278</v>
      </c>
      <c r="B57" s="35" t="s">
        <v>279</v>
      </c>
      <c r="C57" s="35" t="s">
        <v>164</v>
      </c>
      <c r="D57" s="35" t="s">
        <v>280</v>
      </c>
      <c r="E57" s="35" t="s">
        <v>177</v>
      </c>
      <c r="G57" s="44" t="n">
        <v>291.666666666667</v>
      </c>
      <c r="H57" s="44" t="n">
        <v>291.666666666667</v>
      </c>
      <c r="I57" s="44" t="n">
        <v>291.666666666667</v>
      </c>
      <c r="J57" s="44" t="n">
        <v>291.666666666667</v>
      </c>
      <c r="K57" s="44" t="n">
        <v>291.666666666667</v>
      </c>
      <c r="L57" s="44" t="n">
        <v>291.666666666667</v>
      </c>
      <c r="M57" s="44" t="n">
        <v>291.666666666667</v>
      </c>
      <c r="N57" s="44" t="n">
        <v>291.666666666667</v>
      </c>
      <c r="O57" s="44" t="n">
        <v>291.666666666667</v>
      </c>
      <c r="P57" s="44" t="n">
        <v>291.666666666667</v>
      </c>
      <c r="Q57" s="44" t="n">
        <v>291.666666666667</v>
      </c>
      <c r="R57" s="44" t="n">
        <v>291.666666666667</v>
      </c>
      <c r="S57" s="44" t="n">
        <v>291.666666666667</v>
      </c>
      <c r="T57" s="44" t="n">
        <v>291.666666666667</v>
      </c>
      <c r="U57" s="44" t="n">
        <v>291.666666666667</v>
      </c>
      <c r="V57" s="44" t="n">
        <v>291.666666666667</v>
      </c>
      <c r="W57" s="44" t="n">
        <v>291.666666666667</v>
      </c>
      <c r="X57" s="44" t="n">
        <v>291.666666666667</v>
      </c>
      <c r="Y57" s="44" t="n">
        <v>291.666666666667</v>
      </c>
      <c r="Z57" s="44" t="n">
        <v>291.666666666667</v>
      </c>
      <c r="AA57" s="44" t="n">
        <v>291.666666666667</v>
      </c>
      <c r="AB57" s="44" t="n">
        <v>291.666666666667</v>
      </c>
      <c r="AC57" s="44" t="n">
        <v>291.666666666667</v>
      </c>
      <c r="AD57" s="44" t="n">
        <v>291.666666666667</v>
      </c>
      <c r="AE57" s="44" t="n">
        <v>333.333333333333</v>
      </c>
      <c r="AF57" s="44" t="n">
        <v>333.333333333333</v>
      </c>
      <c r="AG57" s="44" t="n">
        <v>333.333333333333</v>
      </c>
      <c r="AH57" s="44" t="n">
        <v>333.333333333333</v>
      </c>
      <c r="AI57" s="44" t="n">
        <v>333.333333333333</v>
      </c>
      <c r="AJ57" s="44" t="n">
        <v>333.333333333333</v>
      </c>
      <c r="AK57" s="44" t="n">
        <v>333.333333333333</v>
      </c>
      <c r="AL57" s="44" t="n">
        <v>333.333333333333</v>
      </c>
      <c r="AM57" s="44" t="n">
        <v>333.333333333333</v>
      </c>
      <c r="AN57" s="44" t="n">
        <v>333.333333333333</v>
      </c>
      <c r="AO57" s="44" t="n">
        <v>333.333333333333</v>
      </c>
      <c r="AP57" s="44" t="n">
        <v>333.333333333333</v>
      </c>
      <c r="AQ57" s="44" t="n">
        <v>333.333333333333</v>
      </c>
      <c r="AR57" s="44" t="n">
        <v>333.333333333333</v>
      </c>
      <c r="AS57" s="44" t="n">
        <v>333.333333333333</v>
      </c>
      <c r="AT57" s="44" t="n">
        <v>333.333333333333</v>
      </c>
      <c r="AU57" s="44" t="n">
        <v>333.333333333333</v>
      </c>
      <c r="AV57" s="44" t="n">
        <v>333.333333333333</v>
      </c>
      <c r="AW57" s="44" t="n">
        <v>333.333333333333</v>
      </c>
      <c r="AX57" s="44" t="n">
        <v>333.333333333333</v>
      </c>
      <c r="AY57" s="44" t="n">
        <v>333.333333333333</v>
      </c>
      <c r="AZ57" s="44" t="n">
        <v>333.333333333333</v>
      </c>
      <c r="BA57" s="44" t="n">
        <v>333.333333333333</v>
      </c>
      <c r="BB57" s="44" t="n">
        <v>333.333333333333</v>
      </c>
      <c r="BC57" s="44" t="n">
        <v>333.333333333333</v>
      </c>
      <c r="BD57" s="44" t="n">
        <v>333.333333333333</v>
      </c>
      <c r="BE57" s="44" t="n">
        <v>333.333333333333</v>
      </c>
      <c r="BF57" s="44" t="n">
        <v>333.333333333333</v>
      </c>
      <c r="BG57" s="44" t="n">
        <v>333.333333333333</v>
      </c>
      <c r="BH57" s="44" t="n">
        <v>333.333333333333</v>
      </c>
      <c r="BI57" s="44" t="n">
        <v>350</v>
      </c>
      <c r="BJ57" s="44" t="n">
        <v>350</v>
      </c>
      <c r="BK57" s="44" t="n">
        <v>350</v>
      </c>
      <c r="BL57" s="44" t="n">
        <v>350</v>
      </c>
      <c r="BM57" s="44" t="n">
        <v>350</v>
      </c>
      <c r="BN57" s="44" t="n">
        <v>350</v>
      </c>
      <c r="BO57" s="44" t="n">
        <v>350</v>
      </c>
      <c r="BP57" s="44" t="n">
        <v>350</v>
      </c>
      <c r="BQ57" s="44" t="n">
        <v>350</v>
      </c>
      <c r="BR57" s="45" t="n">
        <v>350</v>
      </c>
      <c r="BS57" s="46" t="n">
        <v>350</v>
      </c>
      <c r="BT57" s="46" t="n">
        <v>350</v>
      </c>
      <c r="BU57" s="46" t="n">
        <v>350</v>
      </c>
      <c r="BV57" s="46" t="n">
        <v>350</v>
      </c>
      <c r="BW57" s="46" t="n">
        <v>350</v>
      </c>
      <c r="BX57" s="46" t="n">
        <v>350</v>
      </c>
      <c r="BY57" s="46" t="n">
        <v>350</v>
      </c>
      <c r="BZ57" s="46" t="n">
        <v>350</v>
      </c>
      <c r="EX57" s="47" t="n">
        <v>291.666666666667</v>
      </c>
      <c r="EY57" s="47" t="n">
        <v>291.666666666667</v>
      </c>
      <c r="EZ57" s="47" t="n">
        <v>291.666666666667</v>
      </c>
      <c r="FA57" s="47" t="n">
        <v>291.666666666667</v>
      </c>
      <c r="FB57" s="47" t="n">
        <v>291.666666666667</v>
      </c>
      <c r="FC57" s="47" t="n">
        <v>291.666666666667</v>
      </c>
      <c r="FD57" s="47" t="n">
        <v>291.666666666667</v>
      </c>
      <c r="FE57" s="47" t="n">
        <v>291.666666666667</v>
      </c>
      <c r="FF57" s="47" t="n">
        <v>291.666666666667</v>
      </c>
      <c r="FG57" s="47" t="n">
        <v>291.666666666667</v>
      </c>
      <c r="FH57" s="47" t="n">
        <v>291.666666666667</v>
      </c>
      <c r="FI57" s="47" t="n">
        <v>291.666666666667</v>
      </c>
      <c r="FJ57" s="47" t="n">
        <v>291.666666666667</v>
      </c>
      <c r="FK57" s="47" t="n">
        <v>291.666666666667</v>
      </c>
      <c r="FL57" s="47" t="n">
        <v>291.666666666667</v>
      </c>
      <c r="FM57" s="47" t="n">
        <v>291.666666666667</v>
      </c>
      <c r="FN57" s="47" t="n">
        <v>291.666666666667</v>
      </c>
      <c r="FO57" s="47" t="n">
        <v>291.666666666667</v>
      </c>
      <c r="FP57" s="47" t="n">
        <v>291.666666666667</v>
      </c>
      <c r="FQ57" s="47" t="n">
        <v>291.666666666667</v>
      </c>
      <c r="FR57" s="47" t="n">
        <v>291.666666666667</v>
      </c>
      <c r="FS57" s="47" t="n">
        <v>291.666666666667</v>
      </c>
      <c r="FT57" s="47" t="n">
        <v>291.666666666667</v>
      </c>
      <c r="FU57" s="47" t="n">
        <v>291.666666666667</v>
      </c>
      <c r="FV57" s="47" t="n">
        <v>333.333333333333</v>
      </c>
      <c r="FW57" s="47" t="n">
        <v>333.333333333333</v>
      </c>
      <c r="FX57" s="47" t="n">
        <v>333.333333333333</v>
      </c>
      <c r="FY57" s="47" t="n">
        <v>333.333333333333</v>
      </c>
      <c r="FZ57" s="47" t="n">
        <v>333.333333333333</v>
      </c>
      <c r="GA57" s="47" t="n">
        <v>333.333333333333</v>
      </c>
      <c r="GB57" s="47" t="n">
        <v>333.333333333333</v>
      </c>
      <c r="GC57" s="47" t="n">
        <v>333.333333333333</v>
      </c>
      <c r="GD57" s="47" t="n">
        <v>333.333333333333</v>
      </c>
      <c r="GE57" s="47" t="n">
        <v>333.333333333333</v>
      </c>
      <c r="GF57" s="47" t="n">
        <v>333.333333333333</v>
      </c>
      <c r="GG57" s="47" t="n">
        <v>333.333333333333</v>
      </c>
      <c r="GH57" s="47" t="n">
        <v>333.333333333333</v>
      </c>
      <c r="GI57" s="47" t="n">
        <v>333.333333333333</v>
      </c>
      <c r="GJ57" s="47" t="n">
        <v>333.333333333333</v>
      </c>
      <c r="GK57" s="47" t="n">
        <v>333.333333333333</v>
      </c>
      <c r="GL57" s="47" t="n">
        <v>333.333333333333</v>
      </c>
      <c r="GM57" s="47" t="n">
        <v>333.333333333333</v>
      </c>
      <c r="GN57" s="47" t="n">
        <v>333.333333333333</v>
      </c>
      <c r="GO57" s="47" t="n">
        <v>333.333333333333</v>
      </c>
      <c r="GP57" s="47" t="n">
        <v>333.333333333333</v>
      </c>
      <c r="GQ57" s="47" t="n">
        <v>333.333333333333</v>
      </c>
      <c r="GR57" s="47" t="n">
        <v>333.333333333333</v>
      </c>
      <c r="GS57" s="47" t="n">
        <v>333.333333333333</v>
      </c>
      <c r="GT57" s="47" t="n">
        <v>333.333333333333</v>
      </c>
      <c r="GU57" s="47" t="n">
        <v>333.333333333333</v>
      </c>
      <c r="GV57" s="47" t="n">
        <v>333.333333333333</v>
      </c>
      <c r="GW57" s="47" t="n">
        <v>333.333333333333</v>
      </c>
      <c r="GX57" s="47" t="n">
        <v>333.333333333333</v>
      </c>
      <c r="GY57" s="47" t="n">
        <v>333.333333333333</v>
      </c>
      <c r="GZ57" s="47" t="n">
        <v>350</v>
      </c>
      <c r="HA57" s="47" t="n">
        <v>350</v>
      </c>
      <c r="HB57" s="47" t="n">
        <v>350</v>
      </c>
      <c r="HC57" s="47" t="n">
        <v>350</v>
      </c>
      <c r="HD57" s="47" t="n">
        <v>350</v>
      </c>
      <c r="HE57" s="47" t="n">
        <v>350</v>
      </c>
      <c r="HF57" s="47" t="n">
        <v>350</v>
      </c>
      <c r="HG57" s="47" t="n">
        <v>350</v>
      </c>
      <c r="HH57" s="47" t="n">
        <v>350</v>
      </c>
      <c r="HI57" s="48" t="n">
        <v>350</v>
      </c>
      <c r="HJ57" s="47" t="n">
        <v>350</v>
      </c>
      <c r="HK57" s="47" t="n">
        <v>350</v>
      </c>
      <c r="HL57" s="47" t="n">
        <v>350</v>
      </c>
      <c r="HM57" s="47" t="n">
        <v>350</v>
      </c>
      <c r="HN57" s="47" t="n">
        <v>350</v>
      </c>
      <c r="HO57" s="47" t="n">
        <v>350</v>
      </c>
      <c r="HP57" s="47" t="n">
        <v>350</v>
      </c>
      <c r="HQ57" s="47" t="n">
        <v>350</v>
      </c>
      <c r="HS57" s="47" t="n">
        <v>291.666666666667</v>
      </c>
      <c r="HT57" s="47" t="n">
        <v>291.666666666667</v>
      </c>
      <c r="HU57" s="47" t="n">
        <v>291.666666666667</v>
      </c>
      <c r="HV57" s="47" t="n">
        <v>291.666666666667</v>
      </c>
      <c r="HW57" s="47" t="n">
        <v>291.666666666667</v>
      </c>
      <c r="HX57" s="47" t="n">
        <v>291.666666666667</v>
      </c>
      <c r="HY57" s="47" t="n">
        <v>291.666666666667</v>
      </c>
      <c r="HZ57" s="47" t="n">
        <v>291.666666666667</v>
      </c>
      <c r="IA57" s="47" t="n">
        <v>291.666666666667</v>
      </c>
      <c r="IB57" s="47" t="n">
        <v>291.666666666667</v>
      </c>
      <c r="IC57" s="47" t="n">
        <v>291.666666666667</v>
      </c>
      <c r="ID57" s="47" t="n">
        <v>291.666666666667</v>
      </c>
      <c r="IE57" s="47" t="n">
        <v>291.666666666667</v>
      </c>
      <c r="IF57" s="47" t="n">
        <v>291.666666666667</v>
      </c>
      <c r="IG57" s="47" t="n">
        <v>291.666666666667</v>
      </c>
      <c r="IH57" s="47" t="n">
        <v>291.666666666667</v>
      </c>
      <c r="II57" s="47" t="n">
        <v>291.666666666667</v>
      </c>
      <c r="IJ57" s="47" t="n">
        <v>291.666666666667</v>
      </c>
      <c r="IK57" s="47" t="n">
        <v>291.666666666667</v>
      </c>
      <c r="IL57" s="47" t="n">
        <v>291.666666666667</v>
      </c>
      <c r="IM57" s="47" t="n">
        <v>291.666666666667</v>
      </c>
      <c r="IN57" s="47" t="n">
        <v>291.666666666667</v>
      </c>
      <c r="IO57" s="47" t="n">
        <v>291.666666666667</v>
      </c>
      <c r="IP57" s="47" t="n">
        <v>291.666666666667</v>
      </c>
      <c r="IQ57" s="47" t="n">
        <v>333.333333333333</v>
      </c>
      <c r="IR57" s="47" t="n">
        <v>333.333333333333</v>
      </c>
      <c r="IS57" s="47" t="n">
        <v>333.333333333333</v>
      </c>
      <c r="IT57" s="47" t="n">
        <v>333.333333333333</v>
      </c>
      <c r="IU57" s="47" t="n">
        <v>333.333333333333</v>
      </c>
      <c r="IV57" s="47" t="n">
        <v>333.333333333333</v>
      </c>
      <c r="IW57" s="47" t="n">
        <v>333.333333333333</v>
      </c>
      <c r="IX57" s="47" t="n">
        <v>333.333333333333</v>
      </c>
      <c r="IY57" s="47" t="n">
        <v>333.333333333333</v>
      </c>
      <c r="IZ57" s="47" t="n">
        <v>333.333333333333</v>
      </c>
      <c r="JA57" s="47" t="n">
        <v>333.333333333333</v>
      </c>
      <c r="JB57" s="47" t="n">
        <v>333.333333333333</v>
      </c>
      <c r="JC57" s="47" t="n">
        <v>333.333333333333</v>
      </c>
      <c r="JD57" s="47" t="n">
        <v>333.333333333333</v>
      </c>
      <c r="JE57" s="47" t="n">
        <v>333.333333333333</v>
      </c>
      <c r="JF57" s="47" t="n">
        <v>333.333333333333</v>
      </c>
      <c r="JG57" s="47" t="n">
        <v>333.333333333333</v>
      </c>
      <c r="JH57" s="47" t="n">
        <v>333.333333333333</v>
      </c>
      <c r="JI57" s="47" t="n">
        <v>333.333333333333</v>
      </c>
      <c r="JJ57" s="47" t="n">
        <v>333.333333333333</v>
      </c>
      <c r="JK57" s="47" t="n">
        <v>333.333333333333</v>
      </c>
      <c r="JL57" s="47" t="n">
        <v>333.333333333333</v>
      </c>
      <c r="JM57" s="47" t="n">
        <v>333.333333333333</v>
      </c>
      <c r="JN57" s="47" t="n">
        <v>333.333333333333</v>
      </c>
      <c r="JO57" s="47" t="n">
        <v>333.333333333333</v>
      </c>
      <c r="JP57" s="47" t="n">
        <v>333.333333333333</v>
      </c>
      <c r="JQ57" s="47" t="n">
        <v>333.333333333333</v>
      </c>
      <c r="JR57" s="47" t="n">
        <v>333.333333333333</v>
      </c>
      <c r="JS57" s="47" t="n">
        <v>333.333333333333</v>
      </c>
      <c r="JT57" s="47" t="n">
        <v>333.333333333333</v>
      </c>
      <c r="JU57" s="47" t="n">
        <v>350</v>
      </c>
      <c r="JV57" s="47" t="n">
        <v>350</v>
      </c>
      <c r="JW57" s="47" t="n">
        <v>350</v>
      </c>
      <c r="JX57" s="47" t="n">
        <v>350</v>
      </c>
      <c r="JY57" s="47" t="n">
        <v>350</v>
      </c>
      <c r="JZ57" s="47" t="n">
        <v>350</v>
      </c>
      <c r="KA57" s="47" t="n">
        <v>350</v>
      </c>
      <c r="KB57" s="47" t="n">
        <v>350</v>
      </c>
      <c r="KC57" s="47" t="n">
        <v>350</v>
      </c>
      <c r="KD57" s="48" t="n">
        <v>350</v>
      </c>
      <c r="KE57" s="47" t="n">
        <v>350</v>
      </c>
      <c r="KF57" s="47" t="n">
        <v>350</v>
      </c>
      <c r="KG57" s="47" t="n">
        <v>350</v>
      </c>
      <c r="KH57" s="47" t="n">
        <v>350</v>
      </c>
      <c r="KI57" s="47" t="n">
        <v>350</v>
      </c>
      <c r="KJ57" s="47" t="n">
        <v>350</v>
      </c>
      <c r="KK57" s="47" t="n">
        <v>350</v>
      </c>
      <c r="KL57" s="47" t="n">
        <v>350</v>
      </c>
    </row>
    <row r="58" customFormat="false" ht="15.75" hidden="false" customHeight="true" outlineLevel="0" collapsed="false">
      <c r="A58" s="35" t="s">
        <v>281</v>
      </c>
      <c r="B58" s="35" t="s">
        <v>282</v>
      </c>
      <c r="C58" s="35" t="s">
        <v>164</v>
      </c>
      <c r="D58" s="35" t="s">
        <v>283</v>
      </c>
      <c r="E58" s="35" t="s">
        <v>174</v>
      </c>
      <c r="G58" s="44" t="n">
        <v>0</v>
      </c>
      <c r="H58" s="44" t="n">
        <v>0</v>
      </c>
      <c r="I58" s="44" t="n">
        <v>0</v>
      </c>
      <c r="J58" s="44" t="n">
        <v>0</v>
      </c>
      <c r="K58" s="44" t="n">
        <v>0</v>
      </c>
      <c r="L58" s="44" t="n">
        <v>0</v>
      </c>
      <c r="M58" s="44" t="n">
        <v>5100</v>
      </c>
      <c r="N58" s="44" t="n">
        <v>5100</v>
      </c>
      <c r="O58" s="44" t="n">
        <v>5100</v>
      </c>
      <c r="P58" s="44" t="n">
        <v>5100</v>
      </c>
      <c r="Q58" s="44" t="n">
        <v>5100</v>
      </c>
      <c r="R58" s="44" t="n">
        <v>5100</v>
      </c>
      <c r="S58" s="44" t="n">
        <v>5100</v>
      </c>
      <c r="T58" s="44" t="n">
        <v>5100</v>
      </c>
      <c r="U58" s="44" t="n">
        <v>5100</v>
      </c>
      <c r="V58" s="44" t="n">
        <v>5100</v>
      </c>
      <c r="W58" s="44" t="n">
        <v>5100</v>
      </c>
      <c r="X58" s="44" t="n">
        <v>5100</v>
      </c>
      <c r="Y58" s="44" t="n">
        <v>5140</v>
      </c>
      <c r="Z58" s="44" t="n">
        <v>5140</v>
      </c>
      <c r="AA58" s="44" t="n">
        <v>5140</v>
      </c>
      <c r="AB58" s="44" t="n">
        <v>5140</v>
      </c>
      <c r="AC58" s="44" t="n">
        <v>5140</v>
      </c>
      <c r="AD58" s="44" t="n">
        <v>5140</v>
      </c>
      <c r="AE58" s="44" t="n">
        <v>5140</v>
      </c>
      <c r="AF58" s="44" t="n">
        <v>5140</v>
      </c>
      <c r="AG58" s="44" t="n">
        <v>5140</v>
      </c>
      <c r="AH58" s="44" t="n">
        <v>5140</v>
      </c>
      <c r="AI58" s="44" t="n">
        <v>5140</v>
      </c>
      <c r="AJ58" s="44" t="n">
        <v>5140</v>
      </c>
      <c r="AK58" s="44" t="n">
        <v>5397</v>
      </c>
      <c r="AL58" s="44" t="n">
        <v>5397</v>
      </c>
      <c r="AM58" s="44" t="n">
        <v>5397</v>
      </c>
      <c r="AN58" s="44" t="n">
        <v>5397</v>
      </c>
      <c r="AO58" s="44" t="n">
        <v>5397</v>
      </c>
      <c r="AP58" s="44" t="n">
        <v>5397</v>
      </c>
      <c r="AQ58" s="44" t="n">
        <v>5397</v>
      </c>
      <c r="AR58" s="44" t="n">
        <v>5397</v>
      </c>
      <c r="AS58" s="44" t="n">
        <v>5397</v>
      </c>
      <c r="AT58" s="44" t="n">
        <v>5397</v>
      </c>
      <c r="AU58" s="44" t="n">
        <v>5397</v>
      </c>
      <c r="AV58" s="44" t="n">
        <v>5397</v>
      </c>
      <c r="AW58" s="44" t="n">
        <v>4609.5</v>
      </c>
      <c r="AX58" s="44" t="n">
        <v>4609.5</v>
      </c>
      <c r="AY58" s="44" t="n">
        <v>4609.5</v>
      </c>
      <c r="AZ58" s="44" t="n">
        <v>4609.5</v>
      </c>
      <c r="BA58" s="44" t="n">
        <v>4609.5</v>
      </c>
      <c r="BB58" s="44" t="n">
        <v>4609.5</v>
      </c>
      <c r="BC58" s="44" t="n">
        <v>4609.5</v>
      </c>
      <c r="BD58" s="44" t="n">
        <v>4609.5</v>
      </c>
      <c r="BE58" s="44" t="n">
        <v>4609.5</v>
      </c>
      <c r="BF58" s="44" t="n">
        <v>4609.5</v>
      </c>
      <c r="BG58" s="44" t="n">
        <v>4609.5</v>
      </c>
      <c r="BH58" s="44" t="n">
        <v>4609.5</v>
      </c>
      <c r="BI58" s="44" t="n">
        <v>1700</v>
      </c>
      <c r="BJ58" s="44" t="n">
        <v>1700</v>
      </c>
      <c r="BK58" s="44" t="n">
        <v>1700</v>
      </c>
      <c r="BL58" s="44" t="n">
        <v>1700</v>
      </c>
      <c r="BM58" s="44" t="n">
        <v>1700</v>
      </c>
      <c r="BN58" s="44" t="n">
        <v>1700</v>
      </c>
      <c r="BO58" s="44" t="n">
        <v>1700</v>
      </c>
      <c r="BP58" s="44" t="n">
        <v>1700</v>
      </c>
      <c r="BQ58" s="44" t="n">
        <v>1700</v>
      </c>
      <c r="BR58" s="45" t="n">
        <v>1700</v>
      </c>
      <c r="BS58" s="46" t="n">
        <v>1700</v>
      </c>
      <c r="BT58" s="46" t="n">
        <v>1700</v>
      </c>
      <c r="BU58" s="46" t="n">
        <v>1700</v>
      </c>
      <c r="BV58" s="46" t="n">
        <v>1700</v>
      </c>
      <c r="BW58" s="46" t="n">
        <v>1700</v>
      </c>
      <c r="BX58" s="46" t="n">
        <v>1700</v>
      </c>
      <c r="BY58" s="46" t="n">
        <v>1700</v>
      </c>
      <c r="BZ58" s="46" t="n">
        <v>1700</v>
      </c>
      <c r="EX58" s="47" t="n">
        <v>0</v>
      </c>
      <c r="EY58" s="47" t="n">
        <v>0</v>
      </c>
      <c r="EZ58" s="47" t="n">
        <v>0</v>
      </c>
      <c r="FA58" s="47" t="n">
        <v>0</v>
      </c>
      <c r="FB58" s="47" t="n">
        <v>0</v>
      </c>
      <c r="FC58" s="47" t="n">
        <v>0</v>
      </c>
      <c r="FD58" s="47" t="n">
        <v>5100</v>
      </c>
      <c r="FE58" s="47" t="n">
        <v>5100</v>
      </c>
      <c r="FF58" s="47" t="n">
        <v>5100</v>
      </c>
      <c r="FG58" s="47" t="n">
        <v>5100</v>
      </c>
      <c r="FH58" s="47" t="n">
        <v>5100</v>
      </c>
      <c r="FI58" s="47" t="n">
        <v>5100</v>
      </c>
      <c r="FJ58" s="47" t="n">
        <v>5100</v>
      </c>
      <c r="FK58" s="47" t="n">
        <v>5100</v>
      </c>
      <c r="FL58" s="47" t="n">
        <v>5100</v>
      </c>
      <c r="FM58" s="47" t="n">
        <v>5100</v>
      </c>
      <c r="FN58" s="47" t="n">
        <v>5100</v>
      </c>
      <c r="FO58" s="47" t="n">
        <v>5100</v>
      </c>
      <c r="FP58" s="47" t="n">
        <v>5140</v>
      </c>
      <c r="FQ58" s="47" t="n">
        <v>5140</v>
      </c>
      <c r="FR58" s="47" t="n">
        <v>5140</v>
      </c>
      <c r="FS58" s="47" t="n">
        <v>5140</v>
      </c>
      <c r="FT58" s="47" t="n">
        <v>5140</v>
      </c>
      <c r="FU58" s="47" t="n">
        <v>5140</v>
      </c>
      <c r="FV58" s="47" t="n">
        <v>5140</v>
      </c>
      <c r="FW58" s="47" t="n">
        <v>5140</v>
      </c>
      <c r="FX58" s="47" t="n">
        <v>5140</v>
      </c>
      <c r="FY58" s="47" t="n">
        <v>5140</v>
      </c>
      <c r="FZ58" s="47" t="n">
        <v>5140</v>
      </c>
      <c r="GA58" s="47" t="n">
        <v>5140</v>
      </c>
      <c r="GB58" s="47" t="n">
        <v>5397</v>
      </c>
      <c r="GC58" s="47" t="n">
        <v>5397</v>
      </c>
      <c r="GD58" s="47" t="n">
        <v>5397</v>
      </c>
      <c r="GE58" s="47" t="n">
        <v>5397</v>
      </c>
      <c r="GF58" s="47" t="n">
        <v>5397</v>
      </c>
      <c r="GG58" s="47" t="n">
        <v>5397</v>
      </c>
      <c r="GH58" s="47" t="n">
        <v>5397</v>
      </c>
      <c r="GI58" s="47" t="n">
        <v>5397</v>
      </c>
      <c r="GJ58" s="47" t="n">
        <v>5397</v>
      </c>
      <c r="GK58" s="47" t="n">
        <v>5397</v>
      </c>
      <c r="GL58" s="47" t="n">
        <v>5397</v>
      </c>
      <c r="GM58" s="47" t="n">
        <v>5397</v>
      </c>
      <c r="GN58" s="47" t="n">
        <v>4609.5</v>
      </c>
      <c r="GO58" s="47" t="n">
        <v>4609.5</v>
      </c>
      <c r="GP58" s="47" t="n">
        <v>4609.5</v>
      </c>
      <c r="GQ58" s="47" t="n">
        <v>4609.5</v>
      </c>
      <c r="GR58" s="47" t="n">
        <v>4609.5</v>
      </c>
      <c r="GS58" s="47" t="n">
        <v>4609.5</v>
      </c>
      <c r="GT58" s="47" t="n">
        <v>4609.5</v>
      </c>
      <c r="GU58" s="47" t="n">
        <v>4609.5</v>
      </c>
      <c r="GV58" s="47" t="n">
        <v>4609.5</v>
      </c>
      <c r="GW58" s="47" t="n">
        <v>4609.5</v>
      </c>
      <c r="GX58" s="47" t="n">
        <v>4609.5</v>
      </c>
      <c r="GY58" s="47" t="n">
        <v>4609.5</v>
      </c>
      <c r="GZ58" s="47" t="n">
        <v>1700</v>
      </c>
      <c r="HA58" s="47" t="n">
        <v>1700</v>
      </c>
      <c r="HB58" s="47" t="n">
        <v>1700</v>
      </c>
      <c r="HC58" s="47" t="n">
        <v>1700</v>
      </c>
      <c r="HD58" s="47" t="n">
        <v>1700</v>
      </c>
      <c r="HE58" s="47" t="n">
        <v>1700</v>
      </c>
      <c r="HF58" s="47" t="n">
        <v>1700</v>
      </c>
      <c r="HG58" s="47" t="n">
        <v>1700</v>
      </c>
      <c r="HH58" s="47" t="n">
        <v>1700</v>
      </c>
      <c r="HI58" s="48" t="n">
        <v>1700</v>
      </c>
      <c r="HJ58" s="47" t="n">
        <v>1700</v>
      </c>
      <c r="HK58" s="47" t="n">
        <v>1700</v>
      </c>
      <c r="HL58" s="47" t="n">
        <v>1700</v>
      </c>
      <c r="HM58" s="47" t="n">
        <v>1700</v>
      </c>
      <c r="HN58" s="47" t="n">
        <v>1700</v>
      </c>
      <c r="HO58" s="47" t="n">
        <v>1700</v>
      </c>
      <c r="HP58" s="47" t="n">
        <v>1700</v>
      </c>
      <c r="HQ58" s="47" t="n">
        <v>1700</v>
      </c>
      <c r="HS58" s="47" t="n">
        <v>0</v>
      </c>
      <c r="HT58" s="47" t="n">
        <v>0</v>
      </c>
      <c r="HU58" s="47" t="n">
        <v>0</v>
      </c>
      <c r="HV58" s="47" t="n">
        <v>0</v>
      </c>
      <c r="HW58" s="47" t="n">
        <v>0</v>
      </c>
      <c r="HX58" s="47" t="n">
        <v>0</v>
      </c>
      <c r="HY58" s="47" t="n">
        <v>5100</v>
      </c>
      <c r="HZ58" s="47" t="n">
        <v>5100</v>
      </c>
      <c r="IA58" s="47" t="n">
        <v>5100</v>
      </c>
      <c r="IB58" s="47" t="n">
        <v>5100</v>
      </c>
      <c r="IC58" s="47" t="n">
        <v>5100</v>
      </c>
      <c r="ID58" s="47" t="n">
        <v>5100</v>
      </c>
      <c r="IE58" s="47" t="n">
        <v>5100</v>
      </c>
      <c r="IF58" s="47" t="n">
        <v>5100</v>
      </c>
      <c r="IG58" s="47" t="n">
        <v>5100</v>
      </c>
      <c r="IH58" s="47" t="n">
        <v>5100</v>
      </c>
      <c r="II58" s="47" t="n">
        <v>5100</v>
      </c>
      <c r="IJ58" s="47" t="n">
        <v>5100</v>
      </c>
      <c r="IK58" s="47" t="n">
        <v>5140</v>
      </c>
      <c r="IL58" s="47" t="n">
        <v>5140</v>
      </c>
      <c r="IM58" s="47" t="n">
        <v>5140</v>
      </c>
      <c r="IN58" s="47" t="n">
        <v>5140</v>
      </c>
      <c r="IO58" s="47" t="n">
        <v>5140</v>
      </c>
      <c r="IP58" s="47" t="n">
        <v>5140</v>
      </c>
      <c r="IQ58" s="47" t="n">
        <v>5140</v>
      </c>
      <c r="IR58" s="47" t="n">
        <v>5140</v>
      </c>
      <c r="IS58" s="47" t="n">
        <v>5140</v>
      </c>
      <c r="IT58" s="47" t="n">
        <v>5140</v>
      </c>
      <c r="IU58" s="47" t="n">
        <v>5140</v>
      </c>
      <c r="IV58" s="47" t="n">
        <v>5140</v>
      </c>
      <c r="IW58" s="47" t="n">
        <v>5397</v>
      </c>
      <c r="IX58" s="47" t="n">
        <v>5397</v>
      </c>
      <c r="IY58" s="47" t="n">
        <v>5397</v>
      </c>
      <c r="IZ58" s="47" t="n">
        <v>5397</v>
      </c>
      <c r="JA58" s="47" t="n">
        <v>5397</v>
      </c>
      <c r="JB58" s="47" t="n">
        <v>5397</v>
      </c>
      <c r="JC58" s="47" t="n">
        <v>5397</v>
      </c>
      <c r="JD58" s="47" t="n">
        <v>5397</v>
      </c>
      <c r="JE58" s="47" t="n">
        <v>5397</v>
      </c>
      <c r="JF58" s="47" t="n">
        <v>5397</v>
      </c>
      <c r="JG58" s="47" t="n">
        <v>5397</v>
      </c>
      <c r="JH58" s="47" t="n">
        <v>5397</v>
      </c>
      <c r="JI58" s="47" t="n">
        <v>4609.5</v>
      </c>
      <c r="JJ58" s="47" t="n">
        <v>4609.5</v>
      </c>
      <c r="JK58" s="47" t="n">
        <v>4609.5</v>
      </c>
      <c r="JL58" s="47" t="n">
        <v>4609.5</v>
      </c>
      <c r="JM58" s="47" t="n">
        <v>4609.5</v>
      </c>
      <c r="JN58" s="47" t="n">
        <v>4609.5</v>
      </c>
      <c r="JO58" s="47" t="n">
        <v>4609.5</v>
      </c>
      <c r="JP58" s="47" t="n">
        <v>4609.5</v>
      </c>
      <c r="JQ58" s="47" t="n">
        <v>4609.5</v>
      </c>
      <c r="JR58" s="47" t="n">
        <v>4609.5</v>
      </c>
      <c r="JS58" s="47" t="n">
        <v>4609.5</v>
      </c>
      <c r="JT58" s="47" t="n">
        <v>4609.5</v>
      </c>
      <c r="JU58" s="47" t="n">
        <v>1700</v>
      </c>
      <c r="JV58" s="47" t="n">
        <v>1700</v>
      </c>
      <c r="JW58" s="47" t="n">
        <v>1700</v>
      </c>
      <c r="JX58" s="47" t="n">
        <v>1700</v>
      </c>
      <c r="JY58" s="47" t="n">
        <v>1700</v>
      </c>
      <c r="JZ58" s="47" t="n">
        <v>1700</v>
      </c>
      <c r="KA58" s="47" t="n">
        <v>1700</v>
      </c>
      <c r="KB58" s="47" t="n">
        <v>1700</v>
      </c>
      <c r="KC58" s="47" t="n">
        <v>1700</v>
      </c>
      <c r="KD58" s="48" t="n">
        <v>1700</v>
      </c>
      <c r="KE58" s="47" t="n">
        <v>1700</v>
      </c>
      <c r="KF58" s="47" t="n">
        <v>1700</v>
      </c>
      <c r="KG58" s="47" t="n">
        <v>1700</v>
      </c>
      <c r="KH58" s="47" t="n">
        <v>1700</v>
      </c>
      <c r="KI58" s="47" t="n">
        <v>1700</v>
      </c>
      <c r="KJ58" s="47" t="n">
        <v>1700</v>
      </c>
      <c r="KK58" s="47" t="n">
        <v>1700</v>
      </c>
      <c r="KL58" s="47" t="n">
        <v>1700</v>
      </c>
    </row>
    <row r="59" customFormat="false" ht="15.75" hidden="false" customHeight="true" outlineLevel="0" collapsed="false">
      <c r="A59" s="35" t="s">
        <v>284</v>
      </c>
      <c r="B59" s="35" t="s">
        <v>193</v>
      </c>
      <c r="C59" s="35" t="s">
        <v>164</v>
      </c>
      <c r="D59" s="35" t="s">
        <v>191</v>
      </c>
      <c r="E59" s="35" t="s">
        <v>174</v>
      </c>
      <c r="G59" s="44" t="n">
        <v>0</v>
      </c>
      <c r="H59" s="44" t="n">
        <v>0</v>
      </c>
      <c r="I59" s="44" t="n">
        <v>0</v>
      </c>
      <c r="J59" s="44" t="n">
        <v>0</v>
      </c>
      <c r="K59" s="44" t="n">
        <v>0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4666.66666666667</v>
      </c>
      <c r="Q59" s="44" t="n">
        <v>4666.66666666667</v>
      </c>
      <c r="R59" s="44" t="n">
        <v>4666.66666666667</v>
      </c>
      <c r="S59" s="44" t="n">
        <v>4666.66666666667</v>
      </c>
      <c r="T59" s="44" t="n">
        <v>4666.66666666667</v>
      </c>
      <c r="U59" s="44" t="n">
        <v>4666.66666666667</v>
      </c>
      <c r="V59" s="44" t="n">
        <v>4666.66666666667</v>
      </c>
      <c r="W59" s="44" t="n">
        <v>4666.66666666667</v>
      </c>
      <c r="X59" s="44" t="n">
        <v>4666.66666666667</v>
      </c>
      <c r="Y59" s="44" t="n">
        <v>5000</v>
      </c>
      <c r="Z59" s="44" t="n">
        <v>5000</v>
      </c>
      <c r="AA59" s="44" t="n">
        <v>5000</v>
      </c>
      <c r="AB59" s="44" t="n">
        <v>5166.66666666667</v>
      </c>
      <c r="AC59" s="44" t="n">
        <v>5166.66666666667</v>
      </c>
      <c r="AD59" s="44" t="n">
        <v>5166.66666666667</v>
      </c>
      <c r="AE59" s="44" t="n">
        <v>5833.34666666667</v>
      </c>
      <c r="AF59" s="44" t="n">
        <v>5833.34666666667</v>
      </c>
      <c r="AG59" s="44" t="n">
        <v>5833.34666666667</v>
      </c>
      <c r="AH59" s="44" t="n">
        <v>5833.34666666667</v>
      </c>
      <c r="AI59" s="44" t="n">
        <v>5833.34666666667</v>
      </c>
      <c r="AJ59" s="44" t="n">
        <v>6166.68666666667</v>
      </c>
      <c r="AK59" s="44" t="n">
        <v>6166.68666666667</v>
      </c>
      <c r="AL59" s="44" t="n">
        <v>6166.68666666667</v>
      </c>
      <c r="AM59" s="44" t="n">
        <v>6166.68666666667</v>
      </c>
      <c r="AN59" s="44" t="n">
        <v>6833.33333333333</v>
      </c>
      <c r="AO59" s="44" t="n">
        <v>6833.33333333333</v>
      </c>
      <c r="AP59" s="44" t="n">
        <v>6833.33333333333</v>
      </c>
      <c r="AQ59" s="44" t="n">
        <v>6833.33333333333</v>
      </c>
      <c r="AR59" s="44" t="n">
        <v>6833.33333333333</v>
      </c>
      <c r="AS59" s="44" t="n">
        <v>6833.33333333333</v>
      </c>
      <c r="AT59" s="44" t="n">
        <v>6833.33333333333</v>
      </c>
      <c r="AU59" s="44" t="n">
        <v>6833.33333333333</v>
      </c>
      <c r="AV59" s="44" t="n">
        <v>6833.33333333333</v>
      </c>
      <c r="AW59" s="44" t="n">
        <v>16833.3333333333</v>
      </c>
      <c r="AX59" s="44" t="n">
        <v>16833.3333333333</v>
      </c>
      <c r="AY59" s="44" t="n">
        <v>16833.3333333333</v>
      </c>
      <c r="AZ59" s="44" t="n">
        <v>13902.5</v>
      </c>
      <c r="BA59" s="44" t="n">
        <v>13902.5</v>
      </c>
      <c r="BB59" s="44" t="n">
        <v>13902.5</v>
      </c>
      <c r="BC59" s="44" t="n">
        <v>13902.5</v>
      </c>
      <c r="BD59" s="44" t="n">
        <v>13902.5</v>
      </c>
      <c r="BE59" s="44" t="n">
        <v>13902.5</v>
      </c>
      <c r="BF59" s="44" t="n">
        <v>13902.5</v>
      </c>
      <c r="BG59" s="44" t="n">
        <v>13902.5</v>
      </c>
      <c r="BH59" s="44" t="n">
        <v>13902.5</v>
      </c>
      <c r="BI59" s="44" t="n">
        <v>13902.5</v>
      </c>
      <c r="BJ59" s="44" t="n">
        <v>13977.5</v>
      </c>
      <c r="BK59" s="44" t="n">
        <v>13977.5</v>
      </c>
      <c r="BL59" s="44" t="n">
        <v>16970</v>
      </c>
      <c r="BM59" s="44" t="n">
        <v>16970</v>
      </c>
      <c r="BN59" s="44" t="n">
        <v>16970</v>
      </c>
      <c r="BO59" s="44" t="n">
        <v>16970</v>
      </c>
      <c r="BP59" s="44" t="n">
        <v>16970</v>
      </c>
      <c r="BQ59" s="44" t="n">
        <v>16970</v>
      </c>
      <c r="BR59" s="45" t="n">
        <v>16970</v>
      </c>
      <c r="BS59" s="46" t="n">
        <v>16970</v>
      </c>
      <c r="BT59" s="46" t="n">
        <v>16970</v>
      </c>
      <c r="BU59" s="46" t="n">
        <v>16970</v>
      </c>
      <c r="BV59" s="46" t="n">
        <v>16970</v>
      </c>
      <c r="BW59" s="46" t="n">
        <v>16970</v>
      </c>
      <c r="BX59" s="46" t="n">
        <v>16970</v>
      </c>
      <c r="BY59" s="46" t="n">
        <v>16970</v>
      </c>
      <c r="BZ59" s="46" t="n">
        <v>16970</v>
      </c>
      <c r="EX59" s="47" t="n">
        <v>0</v>
      </c>
      <c r="EY59" s="47" t="n">
        <v>0</v>
      </c>
      <c r="EZ59" s="47" t="n">
        <v>0</v>
      </c>
      <c r="FA59" s="47" t="n">
        <v>0</v>
      </c>
      <c r="FB59" s="47" t="n">
        <v>0</v>
      </c>
      <c r="FC59" s="47" t="n">
        <v>0</v>
      </c>
      <c r="FD59" s="47" t="n">
        <v>0</v>
      </c>
      <c r="FE59" s="47" t="n">
        <v>0</v>
      </c>
      <c r="FF59" s="47" t="n">
        <v>0</v>
      </c>
      <c r="FG59" s="47" t="n">
        <v>4666.66666666667</v>
      </c>
      <c r="FH59" s="47" t="n">
        <v>4666.66666666667</v>
      </c>
      <c r="FI59" s="47" t="n">
        <v>4666.66666666667</v>
      </c>
      <c r="FJ59" s="47" t="n">
        <v>4666.66666666667</v>
      </c>
      <c r="FK59" s="47" t="n">
        <v>4666.66666666667</v>
      </c>
      <c r="FL59" s="47" t="n">
        <v>4666.66666666667</v>
      </c>
      <c r="FM59" s="47" t="n">
        <v>4666.66666666667</v>
      </c>
      <c r="FN59" s="47" t="n">
        <v>4666.66666666667</v>
      </c>
      <c r="FO59" s="47" t="n">
        <v>4666.66666666667</v>
      </c>
      <c r="FP59" s="47" t="n">
        <v>5000</v>
      </c>
      <c r="FQ59" s="47" t="n">
        <v>5000</v>
      </c>
      <c r="FR59" s="47" t="n">
        <v>5000</v>
      </c>
      <c r="FS59" s="47" t="n">
        <v>5166.66666666667</v>
      </c>
      <c r="FT59" s="47" t="n">
        <v>5166.66666666667</v>
      </c>
      <c r="FU59" s="47" t="n">
        <v>5166.66666666667</v>
      </c>
      <c r="FV59" s="47" t="n">
        <v>5833.34666666667</v>
      </c>
      <c r="FW59" s="47" t="n">
        <v>5833.34666666667</v>
      </c>
      <c r="FX59" s="47" t="n">
        <v>5833.34666666667</v>
      </c>
      <c r="FY59" s="47" t="n">
        <v>5833.34666666667</v>
      </c>
      <c r="FZ59" s="47" t="n">
        <v>5833.34666666667</v>
      </c>
      <c r="GA59" s="47" t="n">
        <v>6166.68666666667</v>
      </c>
      <c r="GB59" s="47" t="n">
        <v>6166.68666666667</v>
      </c>
      <c r="GC59" s="47" t="n">
        <v>6166.68666666667</v>
      </c>
      <c r="GD59" s="47" t="n">
        <v>6166.68666666667</v>
      </c>
      <c r="GE59" s="47" t="n">
        <v>6833.33333333333</v>
      </c>
      <c r="GF59" s="47" t="n">
        <v>6833.33333333333</v>
      </c>
      <c r="GG59" s="47" t="n">
        <v>6833.33333333333</v>
      </c>
      <c r="GH59" s="47" t="n">
        <v>6833.33333333333</v>
      </c>
      <c r="GI59" s="47" t="n">
        <v>6833.33333333333</v>
      </c>
      <c r="GJ59" s="47" t="n">
        <v>6833.33333333333</v>
      </c>
      <c r="GK59" s="47" t="n">
        <v>6833.33333333333</v>
      </c>
      <c r="GL59" s="47" t="n">
        <v>6833.33333333333</v>
      </c>
      <c r="GM59" s="47" t="n">
        <v>6833.33333333333</v>
      </c>
      <c r="GN59" s="47" t="n">
        <v>16833.3333333333</v>
      </c>
      <c r="GO59" s="47" t="n">
        <v>16833.3333333333</v>
      </c>
      <c r="GP59" s="47" t="n">
        <v>16833.3333333333</v>
      </c>
      <c r="GQ59" s="47" t="n">
        <v>13902.5</v>
      </c>
      <c r="GR59" s="47" t="n">
        <v>13902.5</v>
      </c>
      <c r="GS59" s="47" t="n">
        <v>13902.5</v>
      </c>
      <c r="GT59" s="47" t="n">
        <v>13902.5</v>
      </c>
      <c r="GU59" s="47" t="n">
        <v>13902.5</v>
      </c>
      <c r="GV59" s="47" t="n">
        <v>13902.5</v>
      </c>
      <c r="GW59" s="47" t="n">
        <v>13902.5</v>
      </c>
      <c r="GX59" s="47" t="n">
        <v>13902.5</v>
      </c>
      <c r="GY59" s="47" t="n">
        <v>13902.5</v>
      </c>
      <c r="GZ59" s="47" t="n">
        <v>13902.5</v>
      </c>
      <c r="HA59" s="47" t="n">
        <v>13977.5</v>
      </c>
      <c r="HB59" s="47" t="n">
        <v>13977.5</v>
      </c>
      <c r="HC59" s="47" t="n">
        <v>16970</v>
      </c>
      <c r="HD59" s="47" t="n">
        <v>16970</v>
      </c>
      <c r="HE59" s="47" t="n">
        <v>16970</v>
      </c>
      <c r="HF59" s="47" t="n">
        <v>16970</v>
      </c>
      <c r="HG59" s="47" t="n">
        <v>16970</v>
      </c>
      <c r="HH59" s="47" t="n">
        <v>16970</v>
      </c>
      <c r="HI59" s="48" t="n">
        <v>16970</v>
      </c>
      <c r="HJ59" s="47" t="n">
        <v>16970</v>
      </c>
      <c r="HK59" s="47" t="n">
        <v>16970</v>
      </c>
      <c r="HL59" s="47" t="n">
        <v>16970</v>
      </c>
      <c r="HM59" s="47" t="n">
        <v>16970</v>
      </c>
      <c r="HN59" s="47" t="n">
        <v>16970</v>
      </c>
      <c r="HO59" s="47" t="n">
        <v>16970</v>
      </c>
      <c r="HP59" s="47" t="n">
        <v>16970</v>
      </c>
      <c r="HQ59" s="47" t="n">
        <v>16970</v>
      </c>
      <c r="HS59" s="47" t="n">
        <v>0</v>
      </c>
      <c r="HT59" s="47" t="n">
        <v>0</v>
      </c>
      <c r="HU59" s="47" t="n">
        <v>0</v>
      </c>
      <c r="HV59" s="47" t="n">
        <v>0</v>
      </c>
      <c r="HW59" s="47" t="n">
        <v>0</v>
      </c>
      <c r="HX59" s="47" t="n">
        <v>0</v>
      </c>
      <c r="HY59" s="47" t="n">
        <v>0</v>
      </c>
      <c r="HZ59" s="47" t="n">
        <v>0</v>
      </c>
      <c r="IA59" s="47" t="n">
        <v>0</v>
      </c>
      <c r="IB59" s="47" t="n">
        <v>4666.66666666667</v>
      </c>
      <c r="IC59" s="47" t="n">
        <v>4666.66666666667</v>
      </c>
      <c r="ID59" s="47" t="n">
        <v>4666.66666666667</v>
      </c>
      <c r="IE59" s="47" t="n">
        <v>4666.66666666667</v>
      </c>
      <c r="IF59" s="47" t="n">
        <v>4666.66666666667</v>
      </c>
      <c r="IG59" s="47" t="n">
        <v>4666.66666666667</v>
      </c>
      <c r="IH59" s="47" t="n">
        <v>4666.66666666667</v>
      </c>
      <c r="II59" s="47" t="n">
        <v>4666.66666666667</v>
      </c>
      <c r="IJ59" s="47" t="n">
        <v>4666.66666666667</v>
      </c>
      <c r="IK59" s="47" t="n">
        <v>5000</v>
      </c>
      <c r="IL59" s="47" t="n">
        <v>5000</v>
      </c>
      <c r="IM59" s="47" t="n">
        <v>5000</v>
      </c>
      <c r="IN59" s="47" t="n">
        <v>5166.66666666667</v>
      </c>
      <c r="IO59" s="47" t="n">
        <v>5166.66666666667</v>
      </c>
      <c r="IP59" s="47" t="n">
        <v>5166.66666666667</v>
      </c>
      <c r="IQ59" s="47" t="n">
        <v>5833.34666666667</v>
      </c>
      <c r="IR59" s="47" t="n">
        <v>5833.34666666667</v>
      </c>
      <c r="IS59" s="47" t="n">
        <v>5833.34666666667</v>
      </c>
      <c r="IT59" s="47" t="n">
        <v>5833.34666666667</v>
      </c>
      <c r="IU59" s="47" t="n">
        <v>5833.34666666667</v>
      </c>
      <c r="IV59" s="47" t="n">
        <v>6166.68666666667</v>
      </c>
      <c r="IW59" s="47" t="n">
        <v>6166.68666666667</v>
      </c>
      <c r="IX59" s="47" t="n">
        <v>6166.68666666667</v>
      </c>
      <c r="IY59" s="47" t="n">
        <v>6166.68666666667</v>
      </c>
      <c r="IZ59" s="47" t="n">
        <v>6833.33333333333</v>
      </c>
      <c r="JA59" s="47" t="n">
        <v>6833.33333333333</v>
      </c>
      <c r="JB59" s="47" t="n">
        <v>6833.33333333333</v>
      </c>
      <c r="JC59" s="47" t="n">
        <v>6833.33333333333</v>
      </c>
      <c r="JD59" s="47" t="n">
        <v>6833.33333333333</v>
      </c>
      <c r="JE59" s="47" t="n">
        <v>6833.33333333333</v>
      </c>
      <c r="JF59" s="47" t="n">
        <v>6833.33333333333</v>
      </c>
      <c r="JG59" s="47" t="n">
        <v>6833.33333333333</v>
      </c>
      <c r="JH59" s="47" t="n">
        <v>6833.33333333333</v>
      </c>
      <c r="JI59" s="47" t="n">
        <v>16833.3333333333</v>
      </c>
      <c r="JJ59" s="47" t="n">
        <v>16833.3333333333</v>
      </c>
      <c r="JK59" s="47" t="n">
        <v>16833.3333333333</v>
      </c>
      <c r="JL59" s="47" t="n">
        <v>13902.5</v>
      </c>
      <c r="JM59" s="47" t="n">
        <v>13902.5</v>
      </c>
      <c r="JN59" s="47" t="n">
        <v>13902.5</v>
      </c>
      <c r="JO59" s="47" t="n">
        <v>13902.5</v>
      </c>
      <c r="JP59" s="47" t="n">
        <v>13902.5</v>
      </c>
      <c r="JQ59" s="47" t="n">
        <v>13902.5</v>
      </c>
      <c r="JR59" s="47" t="n">
        <v>13902.5</v>
      </c>
      <c r="JS59" s="47" t="n">
        <v>13902.5</v>
      </c>
      <c r="JT59" s="47" t="n">
        <v>13902.5</v>
      </c>
      <c r="JU59" s="47" t="n">
        <v>13902.5</v>
      </c>
      <c r="JV59" s="47" t="n">
        <v>13977.5</v>
      </c>
      <c r="JW59" s="47" t="n">
        <v>13977.5</v>
      </c>
      <c r="JX59" s="47" t="n">
        <v>16970</v>
      </c>
      <c r="JY59" s="47" t="n">
        <v>16970</v>
      </c>
      <c r="JZ59" s="47" t="n">
        <v>16970</v>
      </c>
      <c r="KA59" s="47" t="n">
        <v>16970</v>
      </c>
      <c r="KB59" s="47" t="n">
        <v>16970</v>
      </c>
      <c r="KC59" s="47" t="n">
        <v>16970</v>
      </c>
      <c r="KD59" s="48" t="n">
        <v>16970</v>
      </c>
      <c r="KE59" s="47" t="n">
        <v>16970</v>
      </c>
      <c r="KF59" s="47" t="n">
        <v>16970</v>
      </c>
      <c r="KG59" s="47" t="n">
        <v>16970</v>
      </c>
      <c r="KH59" s="47" t="n">
        <v>16970</v>
      </c>
      <c r="KI59" s="47" t="n">
        <v>16970</v>
      </c>
      <c r="KJ59" s="47" t="n">
        <v>16970</v>
      </c>
      <c r="KK59" s="47" t="n">
        <v>16970</v>
      </c>
      <c r="KL59" s="47" t="n">
        <v>16970</v>
      </c>
    </row>
    <row r="60" customFormat="false" ht="16.5" hidden="false" customHeight="true" outlineLevel="0" collapsed="false">
      <c r="A60" s="35" t="s">
        <v>285</v>
      </c>
      <c r="B60" s="35" t="s">
        <v>286</v>
      </c>
      <c r="C60" s="35" t="s">
        <v>164</v>
      </c>
      <c r="D60" s="35" t="s">
        <v>173</v>
      </c>
      <c r="E60" s="35" t="s">
        <v>174</v>
      </c>
      <c r="G60" s="44" t="n">
        <v>5295.83333333333</v>
      </c>
      <c r="H60" s="44" t="n">
        <v>5618.73333333333</v>
      </c>
      <c r="I60" s="44" t="n">
        <v>5618.73333333333</v>
      </c>
      <c r="J60" s="44" t="n">
        <v>5618.73333333333</v>
      </c>
      <c r="K60" s="44" t="n">
        <v>5618.73333333333</v>
      </c>
      <c r="L60" s="44" t="n">
        <v>5618.73333333333</v>
      </c>
      <c r="M60" s="44" t="n">
        <v>5618.73333333333</v>
      </c>
      <c r="N60" s="44" t="n">
        <v>5618.73333333333</v>
      </c>
      <c r="O60" s="44" t="n">
        <v>5941.66666666667</v>
      </c>
      <c r="P60" s="44" t="n">
        <v>5941.66666666667</v>
      </c>
      <c r="Q60" s="44" t="n">
        <v>5941.66666666667</v>
      </c>
      <c r="R60" s="44" t="n">
        <v>5941.66666666667</v>
      </c>
      <c r="S60" s="44" t="n">
        <v>5941.66666666667</v>
      </c>
      <c r="T60" s="44" t="n">
        <v>5941.66666666667</v>
      </c>
      <c r="U60" s="44" t="n">
        <v>5941.66666666667</v>
      </c>
      <c r="V60" s="44" t="n">
        <v>5941.66666666667</v>
      </c>
      <c r="W60" s="44" t="n">
        <v>5941.66666666667</v>
      </c>
      <c r="X60" s="44" t="n">
        <v>5941.66666666667</v>
      </c>
      <c r="Y60" s="44" t="n">
        <v>5941.66666666667</v>
      </c>
      <c r="Z60" s="44" t="n">
        <v>5941.66666666667</v>
      </c>
      <c r="AA60" s="44" t="n">
        <v>6458.33333333333</v>
      </c>
      <c r="AB60" s="44" t="n">
        <v>6458.33333333333</v>
      </c>
      <c r="AC60" s="44" t="n">
        <v>6458.33333333333</v>
      </c>
      <c r="AD60" s="44" t="n">
        <v>6458.33333333333</v>
      </c>
      <c r="AE60" s="44" t="n">
        <v>6458.33333333333</v>
      </c>
      <c r="AF60" s="44" t="n">
        <v>6458.33333333333</v>
      </c>
      <c r="AG60" s="44" t="n">
        <v>6458.33333333333</v>
      </c>
      <c r="AH60" s="44" t="n">
        <v>6458.33333333333</v>
      </c>
      <c r="AI60" s="44" t="n">
        <v>6458.33333333333</v>
      </c>
      <c r="AJ60" s="44" t="n">
        <v>6458.33333333333</v>
      </c>
      <c r="AK60" s="44" t="n">
        <v>6458.33333333333</v>
      </c>
      <c r="AL60" s="44" t="n">
        <v>6458.33333333333</v>
      </c>
      <c r="AM60" s="44" t="n">
        <v>6522.91666666667</v>
      </c>
      <c r="AN60" s="44" t="n">
        <v>6522.91666666667</v>
      </c>
      <c r="AO60" s="44" t="n">
        <v>6522.91666666667</v>
      </c>
      <c r="AP60" s="44" t="n">
        <v>6522.91666666667</v>
      </c>
      <c r="AQ60" s="44" t="n">
        <v>6522.91666666667</v>
      </c>
      <c r="AR60" s="44" t="n">
        <v>6522.91666666667</v>
      </c>
      <c r="AS60" s="44" t="n">
        <v>6522.91666666667</v>
      </c>
      <c r="AT60" s="44" t="n">
        <v>6522.91666666667</v>
      </c>
      <c r="AU60" s="44" t="n">
        <v>6522.91666666667</v>
      </c>
      <c r="AV60" s="44" t="n">
        <v>6522.91666666667</v>
      </c>
      <c r="AW60" s="44" t="n">
        <v>6522.91666666667</v>
      </c>
      <c r="AX60" s="44" t="n">
        <v>6522.91666666667</v>
      </c>
      <c r="AY60" s="44" t="n">
        <v>6522.91666666667</v>
      </c>
      <c r="AZ60" s="44" t="n">
        <v>6522.91666666667</v>
      </c>
      <c r="BA60" s="44" t="n">
        <v>6522.91666666667</v>
      </c>
      <c r="BB60" s="44" t="n">
        <v>6522.91666666667</v>
      </c>
      <c r="BC60" s="44" t="n">
        <v>6522.91666666667</v>
      </c>
      <c r="BD60" s="44" t="n">
        <v>6522.91666666667</v>
      </c>
      <c r="BE60" s="44" t="n">
        <v>6522.91666666667</v>
      </c>
      <c r="BF60" s="44" t="n">
        <v>6522.91666666667</v>
      </c>
      <c r="BG60" s="44" t="n">
        <v>6522.91666666667</v>
      </c>
      <c r="BH60" s="44" t="n">
        <v>6522.91666666667</v>
      </c>
      <c r="BI60" s="44" t="n">
        <v>6522.91666666667</v>
      </c>
      <c r="BJ60" s="44" t="n">
        <v>6522.91666666667</v>
      </c>
      <c r="BK60" s="44" t="n">
        <v>3333.33333333333</v>
      </c>
      <c r="BL60" s="44" t="n">
        <v>3333.33333333333</v>
      </c>
      <c r="BM60" s="44" t="n">
        <v>3333.33333333333</v>
      </c>
      <c r="BN60" s="44" t="n">
        <v>3333.33333333333</v>
      </c>
      <c r="BO60" s="44" t="n">
        <v>3333.33333333333</v>
      </c>
      <c r="BP60" s="44" t="n">
        <v>3333.33333333333</v>
      </c>
      <c r="BQ60" s="44" t="n">
        <v>3333.33333333333</v>
      </c>
      <c r="BR60" s="45" t="n">
        <v>3333.33333333333</v>
      </c>
      <c r="BS60" s="46" t="n">
        <v>3333.33333333333</v>
      </c>
      <c r="BT60" s="46" t="n">
        <v>3333.33333333333</v>
      </c>
      <c r="BU60" s="46" t="n">
        <v>3333.33333333333</v>
      </c>
      <c r="BV60" s="46" t="n">
        <v>3333.33333333333</v>
      </c>
      <c r="BW60" s="46" t="n">
        <v>3333.33333333333</v>
      </c>
      <c r="BX60" s="46" t="n">
        <v>3333.33333333333</v>
      </c>
      <c r="BY60" s="46" t="n">
        <v>3333.33333333333</v>
      </c>
      <c r="BZ60" s="46" t="n">
        <v>3333.33333333333</v>
      </c>
      <c r="CB60" s="52" t="s">
        <v>184</v>
      </c>
      <c r="CC60" s="50" t="n">
        <v>-1962.5</v>
      </c>
      <c r="CD60" s="50" t="n">
        <v>-2285.4</v>
      </c>
      <c r="CE60" s="50" t="n">
        <v>-2285.4</v>
      </c>
      <c r="CF60" s="50" t="n">
        <v>-2285.4</v>
      </c>
      <c r="CG60" s="50" t="n">
        <v>-2285.4</v>
      </c>
      <c r="CH60" s="50" t="n">
        <v>-2285.4</v>
      </c>
      <c r="CI60" s="50" t="n">
        <v>-2285.4</v>
      </c>
      <c r="CJ60" s="50" t="n">
        <v>-2285.4</v>
      </c>
      <c r="CK60" s="50" t="n">
        <v>-2608.33333333333</v>
      </c>
      <c r="CL60" s="50" t="n">
        <v>-2608.33333333333</v>
      </c>
      <c r="CM60" s="50" t="n">
        <v>-2608.33333333333</v>
      </c>
      <c r="CN60" s="50" t="n">
        <v>-2608.33333333333</v>
      </c>
      <c r="CO60" s="50" t="n">
        <v>-2608.33333333333</v>
      </c>
      <c r="CP60" s="50" t="n">
        <v>-2608.33333333333</v>
      </c>
      <c r="CQ60" s="50" t="n">
        <v>-2608.33333333333</v>
      </c>
      <c r="CR60" s="50" t="n">
        <v>-2608.33333333333</v>
      </c>
      <c r="CS60" s="50" t="n">
        <v>-2608.33333333333</v>
      </c>
      <c r="CT60" s="50" t="n">
        <v>-2608.33333333333</v>
      </c>
      <c r="CU60" s="50" t="n">
        <v>-2608.33333333333</v>
      </c>
      <c r="CV60" s="50" t="n">
        <v>-2608.33333333333</v>
      </c>
      <c r="CW60" s="50" t="n">
        <v>-3125</v>
      </c>
      <c r="CX60" s="50" t="n">
        <v>-3125</v>
      </c>
      <c r="CY60" s="50" t="n">
        <v>-3125</v>
      </c>
      <c r="CZ60" s="50" t="n">
        <v>-3125</v>
      </c>
      <c r="DA60" s="50" t="n">
        <v>-3125</v>
      </c>
      <c r="DB60" s="50" t="n">
        <v>-3125</v>
      </c>
      <c r="DC60" s="50" t="n">
        <v>-3125</v>
      </c>
      <c r="DD60" s="50" t="n">
        <v>-3125</v>
      </c>
      <c r="DE60" s="50" t="n">
        <v>-3125</v>
      </c>
      <c r="DF60" s="50" t="n">
        <v>-3125</v>
      </c>
      <c r="DG60" s="50" t="n">
        <v>-3125</v>
      </c>
      <c r="DH60" s="50" t="n">
        <v>-3125</v>
      </c>
      <c r="DI60" s="50" t="n">
        <v>-3189.58333333333</v>
      </c>
      <c r="DJ60" s="50" t="n">
        <v>-3189.58333333333</v>
      </c>
      <c r="DK60" s="50" t="n">
        <v>-3189.58333333333</v>
      </c>
      <c r="DL60" s="50" t="n">
        <v>-3189.58333333333</v>
      </c>
      <c r="DM60" s="50" t="n">
        <v>-3189.58333333333</v>
      </c>
      <c r="DN60" s="50" t="n">
        <v>-3189.58333333333</v>
      </c>
      <c r="DO60" s="50" t="n">
        <v>-3189.58333333333</v>
      </c>
      <c r="DP60" s="50" t="n">
        <v>-3189.58333333333</v>
      </c>
      <c r="DQ60" s="50" t="n">
        <v>-3189.58333333333</v>
      </c>
      <c r="DR60" s="50" t="n">
        <v>-3189.58333333333</v>
      </c>
      <c r="DS60" s="50" t="n">
        <v>-3189.58333333333</v>
      </c>
      <c r="DT60" s="50" t="n">
        <v>-3189.58333333333</v>
      </c>
      <c r="DU60" s="50" t="n">
        <v>-3189.58333333333</v>
      </c>
      <c r="DV60" s="50" t="n">
        <v>-3189.58333333333</v>
      </c>
      <c r="DW60" s="50" t="n">
        <v>-3189.58333333333</v>
      </c>
      <c r="DX60" s="50" t="n">
        <v>-3189.58333333333</v>
      </c>
      <c r="DY60" s="50" t="n">
        <v>-3189.58333333333</v>
      </c>
      <c r="DZ60" s="50" t="n">
        <v>-3189.58333333333</v>
      </c>
      <c r="EA60" s="50" t="n">
        <v>-3189.58333333333</v>
      </c>
      <c r="EB60" s="50" t="n">
        <v>-3189.58333333333</v>
      </c>
      <c r="EC60" s="50" t="n">
        <v>-3189.58333333333</v>
      </c>
      <c r="ED60" s="50" t="n">
        <v>-3189.58333333333</v>
      </c>
      <c r="EE60" s="50" t="n">
        <v>-3189.58333333333</v>
      </c>
      <c r="EF60" s="50" t="n">
        <v>-3189.58333333333</v>
      </c>
      <c r="EG60" s="50" t="n">
        <v>0</v>
      </c>
      <c r="EH60" s="50" t="n">
        <v>0</v>
      </c>
      <c r="EI60" s="50" t="n">
        <v>0</v>
      </c>
      <c r="EJ60" s="50" t="n">
        <v>0</v>
      </c>
      <c r="EK60" s="50" t="n">
        <v>0</v>
      </c>
      <c r="EL60" s="50" t="n">
        <v>0</v>
      </c>
      <c r="EM60" s="50" t="n">
        <v>0</v>
      </c>
      <c r="EN60" s="51" t="n">
        <v>0</v>
      </c>
      <c r="EO60" s="50" t="n">
        <v>0</v>
      </c>
      <c r="EP60" s="50" t="n">
        <v>0</v>
      </c>
      <c r="EQ60" s="50" t="n">
        <v>0</v>
      </c>
      <c r="ER60" s="50" t="n">
        <v>0</v>
      </c>
      <c r="ES60" s="50" t="n">
        <v>0</v>
      </c>
      <c r="ET60" s="50" t="n">
        <v>0</v>
      </c>
      <c r="EU60" s="50" t="n">
        <v>0</v>
      </c>
      <c r="EV60" s="50" t="n">
        <v>0</v>
      </c>
      <c r="EX60" s="47" t="n">
        <v>5295.83333333333</v>
      </c>
      <c r="EY60" s="47" t="n">
        <v>5618.73333333333</v>
      </c>
      <c r="EZ60" s="47" t="n">
        <v>5618.73333333333</v>
      </c>
      <c r="FA60" s="47" t="n">
        <v>5618.73333333333</v>
      </c>
      <c r="FB60" s="47" t="n">
        <v>5618.73333333333</v>
      </c>
      <c r="FC60" s="47" t="n">
        <v>5618.73333333333</v>
      </c>
      <c r="FD60" s="47" t="n">
        <v>5618.73333333333</v>
      </c>
      <c r="FE60" s="47" t="n">
        <v>5618.73333333333</v>
      </c>
      <c r="FF60" s="47" t="n">
        <v>5941.66666666667</v>
      </c>
      <c r="FG60" s="47" t="n">
        <v>5941.66666666667</v>
      </c>
      <c r="FH60" s="47" t="n">
        <v>5941.66666666667</v>
      </c>
      <c r="FI60" s="47" t="n">
        <v>5941.66666666667</v>
      </c>
      <c r="FJ60" s="47" t="n">
        <v>5941.66666666667</v>
      </c>
      <c r="FK60" s="47" t="n">
        <v>5941.66666666667</v>
      </c>
      <c r="FL60" s="47" t="n">
        <v>5941.66666666667</v>
      </c>
      <c r="FM60" s="47" t="n">
        <v>5941.66666666667</v>
      </c>
      <c r="FN60" s="47" t="n">
        <v>5941.66666666667</v>
      </c>
      <c r="FO60" s="47" t="n">
        <v>5941.66666666667</v>
      </c>
      <c r="FP60" s="47" t="n">
        <v>5941.66666666667</v>
      </c>
      <c r="FQ60" s="47" t="n">
        <v>5941.66666666667</v>
      </c>
      <c r="FR60" s="47" t="n">
        <v>6458.33333333333</v>
      </c>
      <c r="FS60" s="47" t="n">
        <v>6458.33333333333</v>
      </c>
      <c r="FT60" s="47" t="n">
        <v>6458.33333333333</v>
      </c>
      <c r="FU60" s="47" t="n">
        <v>6458.33333333333</v>
      </c>
      <c r="FV60" s="47" t="n">
        <v>6458.33333333333</v>
      </c>
      <c r="FW60" s="47" t="n">
        <v>6458.33333333333</v>
      </c>
      <c r="FX60" s="47" t="n">
        <v>6458.33333333333</v>
      </c>
      <c r="FY60" s="47" t="n">
        <v>6458.33333333333</v>
      </c>
      <c r="FZ60" s="47" t="n">
        <v>6458.33333333333</v>
      </c>
      <c r="GA60" s="47" t="n">
        <v>6458.33333333333</v>
      </c>
      <c r="GB60" s="47" t="n">
        <v>6458.33333333333</v>
      </c>
      <c r="GC60" s="47" t="n">
        <v>6458.33333333333</v>
      </c>
      <c r="GD60" s="47" t="n">
        <v>6522.91666666667</v>
      </c>
      <c r="GE60" s="47" t="n">
        <v>6522.91666666667</v>
      </c>
      <c r="GF60" s="47" t="n">
        <v>6522.91666666667</v>
      </c>
      <c r="GG60" s="47" t="n">
        <v>6522.91666666667</v>
      </c>
      <c r="GH60" s="47" t="n">
        <v>6522.91666666667</v>
      </c>
      <c r="GI60" s="47" t="n">
        <v>6522.91666666667</v>
      </c>
      <c r="GJ60" s="47" t="n">
        <v>6522.91666666667</v>
      </c>
      <c r="GK60" s="47" t="n">
        <v>6522.91666666667</v>
      </c>
      <c r="GL60" s="47" t="n">
        <v>6522.91666666667</v>
      </c>
      <c r="GM60" s="47" t="n">
        <v>6522.91666666667</v>
      </c>
      <c r="GN60" s="47" t="n">
        <v>6522.91666666667</v>
      </c>
      <c r="GO60" s="47" t="n">
        <v>6522.91666666667</v>
      </c>
      <c r="GP60" s="47" t="n">
        <v>6522.91666666667</v>
      </c>
      <c r="GQ60" s="47" t="n">
        <v>6522.91666666667</v>
      </c>
      <c r="GR60" s="47" t="n">
        <v>6522.91666666667</v>
      </c>
      <c r="GS60" s="47" t="n">
        <v>6522.91666666667</v>
      </c>
      <c r="GT60" s="47" t="n">
        <v>6522.91666666667</v>
      </c>
      <c r="GU60" s="47" t="n">
        <v>6522.91666666667</v>
      </c>
      <c r="GV60" s="47" t="n">
        <v>6522.91666666667</v>
      </c>
      <c r="GW60" s="47" t="n">
        <v>6522.91666666667</v>
      </c>
      <c r="GX60" s="47" t="n">
        <v>6522.91666666667</v>
      </c>
      <c r="GY60" s="47" t="n">
        <v>6522.91666666667</v>
      </c>
      <c r="GZ60" s="47" t="n">
        <v>6522.91666666667</v>
      </c>
      <c r="HA60" s="47" t="n">
        <v>6522.91666666667</v>
      </c>
      <c r="HB60" s="47" t="n">
        <v>3333.33333333333</v>
      </c>
      <c r="HC60" s="47" t="n">
        <v>3333.33333333333</v>
      </c>
      <c r="HD60" s="47" t="n">
        <v>3333.33333333333</v>
      </c>
      <c r="HE60" s="47" t="n">
        <v>3333.33333333333</v>
      </c>
      <c r="HF60" s="47" t="n">
        <v>3333.33333333333</v>
      </c>
      <c r="HG60" s="47" t="n">
        <v>3333.33333333333</v>
      </c>
      <c r="HH60" s="47" t="n">
        <v>3333.33333333333</v>
      </c>
      <c r="HI60" s="48" t="n">
        <v>3333.33333333333</v>
      </c>
      <c r="HJ60" s="47" t="n">
        <v>3333.33333333333</v>
      </c>
      <c r="HK60" s="47" t="n">
        <v>3333.33333333333</v>
      </c>
      <c r="HL60" s="47" t="n">
        <v>3333.33333333333</v>
      </c>
      <c r="HM60" s="47" t="n">
        <v>3333.33333333333</v>
      </c>
      <c r="HN60" s="47" t="n">
        <v>3333.33333333333</v>
      </c>
      <c r="HO60" s="47" t="n">
        <v>3333.33333333333</v>
      </c>
      <c r="HP60" s="47" t="n">
        <v>3333.33333333333</v>
      </c>
      <c r="HQ60" s="47" t="n">
        <v>3333.33333333333</v>
      </c>
      <c r="HS60" s="47" t="n">
        <v>3333.33333333333</v>
      </c>
      <c r="HT60" s="47" t="n">
        <v>3333.33333333333</v>
      </c>
      <c r="HU60" s="47" t="n">
        <v>3333.33333333333</v>
      </c>
      <c r="HV60" s="47" t="n">
        <v>3333.33333333333</v>
      </c>
      <c r="HW60" s="47" t="n">
        <v>3333.33333333333</v>
      </c>
      <c r="HX60" s="47" t="n">
        <v>3333.33333333333</v>
      </c>
      <c r="HY60" s="47" t="n">
        <v>3333.33333333333</v>
      </c>
      <c r="HZ60" s="47" t="n">
        <v>3333.33333333333</v>
      </c>
      <c r="IA60" s="47" t="n">
        <v>3333.33333333334</v>
      </c>
      <c r="IB60" s="47" t="n">
        <v>3333.33333333334</v>
      </c>
      <c r="IC60" s="47" t="n">
        <v>3333.33333333334</v>
      </c>
      <c r="ID60" s="47" t="n">
        <v>3333.33333333334</v>
      </c>
      <c r="IE60" s="47" t="n">
        <v>3333.33333333334</v>
      </c>
      <c r="IF60" s="47" t="n">
        <v>3333.33333333334</v>
      </c>
      <c r="IG60" s="47" t="n">
        <v>3333.33333333334</v>
      </c>
      <c r="IH60" s="47" t="n">
        <v>3333.33333333334</v>
      </c>
      <c r="II60" s="47" t="n">
        <v>3333.33333333334</v>
      </c>
      <c r="IJ60" s="47" t="n">
        <v>3333.33333333334</v>
      </c>
      <c r="IK60" s="47" t="n">
        <v>3333.33333333334</v>
      </c>
      <c r="IL60" s="47" t="n">
        <v>3333.33333333334</v>
      </c>
      <c r="IM60" s="47" t="n">
        <v>3333.33333333333</v>
      </c>
      <c r="IN60" s="47" t="n">
        <v>3333.33333333333</v>
      </c>
      <c r="IO60" s="47" t="n">
        <v>3333.33333333333</v>
      </c>
      <c r="IP60" s="47" t="n">
        <v>3333.33333333333</v>
      </c>
      <c r="IQ60" s="47" t="n">
        <v>3333.33333333333</v>
      </c>
      <c r="IR60" s="47" t="n">
        <v>3333.33333333333</v>
      </c>
      <c r="IS60" s="47" t="n">
        <v>3333.33333333333</v>
      </c>
      <c r="IT60" s="47" t="n">
        <v>3333.33333333333</v>
      </c>
      <c r="IU60" s="47" t="n">
        <v>3333.33333333333</v>
      </c>
      <c r="IV60" s="47" t="n">
        <v>3333.33333333333</v>
      </c>
      <c r="IW60" s="47" t="n">
        <v>3333.33333333333</v>
      </c>
      <c r="IX60" s="47" t="n">
        <v>3333.33333333333</v>
      </c>
      <c r="IY60" s="47" t="n">
        <v>3333.33333333334</v>
      </c>
      <c r="IZ60" s="47" t="n">
        <v>3333.33333333334</v>
      </c>
      <c r="JA60" s="47" t="n">
        <v>3333.33333333334</v>
      </c>
      <c r="JB60" s="47" t="n">
        <v>3333.33333333334</v>
      </c>
      <c r="JC60" s="47" t="n">
        <v>3333.33333333334</v>
      </c>
      <c r="JD60" s="47" t="n">
        <v>3333.33333333334</v>
      </c>
      <c r="JE60" s="47" t="n">
        <v>3333.33333333334</v>
      </c>
      <c r="JF60" s="47" t="n">
        <v>3333.33333333334</v>
      </c>
      <c r="JG60" s="47" t="n">
        <v>3333.33333333334</v>
      </c>
      <c r="JH60" s="47" t="n">
        <v>3333.33333333334</v>
      </c>
      <c r="JI60" s="47" t="n">
        <v>3333.33333333334</v>
      </c>
      <c r="JJ60" s="47" t="n">
        <v>3333.33333333334</v>
      </c>
      <c r="JK60" s="47" t="n">
        <v>3333.33333333334</v>
      </c>
      <c r="JL60" s="47" t="n">
        <v>3333.33333333334</v>
      </c>
      <c r="JM60" s="47" t="n">
        <v>3333.33333333334</v>
      </c>
      <c r="JN60" s="47" t="n">
        <v>3333.33333333334</v>
      </c>
      <c r="JO60" s="47" t="n">
        <v>3333.33333333334</v>
      </c>
      <c r="JP60" s="47" t="n">
        <v>3333.33333333334</v>
      </c>
      <c r="JQ60" s="47" t="n">
        <v>3333.33333333334</v>
      </c>
      <c r="JR60" s="47" t="n">
        <v>3333.33333333334</v>
      </c>
      <c r="JS60" s="47" t="n">
        <v>3333.33333333334</v>
      </c>
      <c r="JT60" s="47" t="n">
        <v>3333.33333333334</v>
      </c>
      <c r="JU60" s="47" t="n">
        <v>3333.33333333334</v>
      </c>
      <c r="JV60" s="47" t="n">
        <v>3333.33333333334</v>
      </c>
      <c r="JW60" s="47" t="n">
        <v>3333.33333333333</v>
      </c>
      <c r="JX60" s="47" t="n">
        <v>3333.33333333333</v>
      </c>
      <c r="JY60" s="47" t="n">
        <v>3333.33333333333</v>
      </c>
      <c r="JZ60" s="47" t="n">
        <v>3333.33333333333</v>
      </c>
      <c r="KA60" s="47" t="n">
        <v>3333.33333333333</v>
      </c>
      <c r="KB60" s="47" t="n">
        <v>3333.33333333333</v>
      </c>
      <c r="KC60" s="47" t="n">
        <v>3333.33333333333</v>
      </c>
      <c r="KD60" s="48" t="n">
        <v>3333.33333333333</v>
      </c>
      <c r="KE60" s="47" t="n">
        <v>3333.33333333333</v>
      </c>
      <c r="KF60" s="47" t="n">
        <v>3333.33333333333</v>
      </c>
      <c r="KG60" s="47" t="n">
        <v>3333.33333333333</v>
      </c>
      <c r="KH60" s="47" t="n">
        <v>3333.33333333333</v>
      </c>
      <c r="KI60" s="47" t="n">
        <v>3333.33333333333</v>
      </c>
      <c r="KJ60" s="47" t="n">
        <v>3333.33333333333</v>
      </c>
      <c r="KK60" s="47" t="n">
        <v>3333.33333333333</v>
      </c>
      <c r="KL60" s="47" t="n">
        <v>3333.33333333333</v>
      </c>
    </row>
    <row r="61" customFormat="false" ht="15.75" hidden="false" customHeight="true" outlineLevel="0" collapsed="false">
      <c r="A61" s="35" t="s">
        <v>287</v>
      </c>
      <c r="B61" s="35" t="s">
        <v>288</v>
      </c>
      <c r="C61" s="35" t="s">
        <v>164</v>
      </c>
      <c r="D61" s="35" t="s">
        <v>165</v>
      </c>
      <c r="E61" s="35" t="s">
        <v>188</v>
      </c>
      <c r="G61" s="44" t="n">
        <v>1866.47</v>
      </c>
      <c r="H61" s="44" t="n">
        <v>1866.47</v>
      </c>
      <c r="I61" s="44" t="n">
        <v>1866.47</v>
      </c>
      <c r="J61" s="44" t="n">
        <v>1866.47</v>
      </c>
      <c r="K61" s="44" t="n">
        <v>1866.47</v>
      </c>
      <c r="L61" s="44" t="n">
        <v>1866.47</v>
      </c>
      <c r="M61" s="44" t="n">
        <v>50</v>
      </c>
      <c r="N61" s="44" t="n">
        <v>50</v>
      </c>
      <c r="O61" s="44" t="n">
        <v>50</v>
      </c>
      <c r="P61" s="44" t="n">
        <v>50</v>
      </c>
      <c r="Q61" s="44" t="n">
        <v>50</v>
      </c>
      <c r="R61" s="44" t="n">
        <v>50</v>
      </c>
      <c r="S61" s="44" t="n">
        <v>50</v>
      </c>
      <c r="T61" s="44" t="n">
        <v>50</v>
      </c>
      <c r="U61" s="44" t="n">
        <v>50</v>
      </c>
      <c r="V61" s="44" t="n">
        <v>50</v>
      </c>
      <c r="W61" s="44" t="n">
        <v>50</v>
      </c>
      <c r="X61" s="44" t="n">
        <v>50</v>
      </c>
      <c r="Y61" s="44" t="n">
        <v>0</v>
      </c>
      <c r="Z61" s="44" t="n">
        <v>0</v>
      </c>
      <c r="AA61" s="44" t="n">
        <v>0</v>
      </c>
      <c r="AB61" s="44" t="n">
        <v>0</v>
      </c>
      <c r="AC61" s="44" t="n">
        <v>0</v>
      </c>
      <c r="AD61" s="44" t="n">
        <v>0</v>
      </c>
      <c r="AE61" s="44" t="n">
        <v>0</v>
      </c>
      <c r="AF61" s="44" t="n">
        <v>0</v>
      </c>
      <c r="AG61" s="44" t="n">
        <v>0</v>
      </c>
      <c r="AH61" s="44" t="n">
        <v>0</v>
      </c>
      <c r="AI61" s="44" t="n">
        <v>0</v>
      </c>
      <c r="AJ61" s="44" t="n">
        <v>0</v>
      </c>
      <c r="AK61" s="44" t="n">
        <v>0</v>
      </c>
      <c r="AL61" s="44" t="n">
        <v>0</v>
      </c>
      <c r="AM61" s="44" t="n">
        <v>0</v>
      </c>
      <c r="AN61" s="44" t="n">
        <v>0</v>
      </c>
      <c r="AO61" s="44" t="n">
        <v>0</v>
      </c>
      <c r="AP61" s="44" t="n">
        <v>0</v>
      </c>
      <c r="BS61" s="46" t="n">
        <v>0</v>
      </c>
      <c r="BT61" s="46" t="n">
        <v>0</v>
      </c>
      <c r="BU61" s="46" t="n">
        <v>0</v>
      </c>
      <c r="BV61" s="46" t="n">
        <v>0</v>
      </c>
      <c r="BW61" s="46" t="n">
        <v>0</v>
      </c>
      <c r="BX61" s="46" t="n">
        <v>0</v>
      </c>
      <c r="BY61" s="46" t="n">
        <v>0</v>
      </c>
      <c r="BZ61" s="46" t="n">
        <v>0</v>
      </c>
      <c r="EX61" s="47" t="n">
        <v>1866.47</v>
      </c>
      <c r="EY61" s="47" t="n">
        <v>1866.47</v>
      </c>
      <c r="EZ61" s="47" t="n">
        <v>1866.47</v>
      </c>
      <c r="FA61" s="47" t="n">
        <v>1866.47</v>
      </c>
      <c r="FB61" s="47" t="n">
        <v>1866.47</v>
      </c>
      <c r="FC61" s="47" t="n">
        <v>1866.47</v>
      </c>
      <c r="FD61" s="47" t="n">
        <v>50</v>
      </c>
      <c r="FE61" s="47" t="n">
        <v>50</v>
      </c>
      <c r="FF61" s="47" t="n">
        <v>50</v>
      </c>
      <c r="FG61" s="47" t="n">
        <v>50</v>
      </c>
      <c r="FH61" s="47" t="n">
        <v>50</v>
      </c>
      <c r="FI61" s="47" t="n">
        <v>50</v>
      </c>
      <c r="FJ61" s="47" t="n">
        <v>50</v>
      </c>
      <c r="FK61" s="47" t="n">
        <v>50</v>
      </c>
      <c r="FL61" s="47" t="n">
        <v>50</v>
      </c>
      <c r="FM61" s="47" t="n">
        <v>50</v>
      </c>
      <c r="FN61" s="47" t="n">
        <v>50</v>
      </c>
      <c r="FO61" s="47" t="n">
        <v>50</v>
      </c>
      <c r="FP61" s="47" t="n">
        <v>0</v>
      </c>
      <c r="FQ61" s="47" t="n">
        <v>0</v>
      </c>
      <c r="FR61" s="47" t="n">
        <v>0</v>
      </c>
      <c r="FS61" s="47" t="n">
        <v>0</v>
      </c>
      <c r="FT61" s="47" t="n">
        <v>0</v>
      </c>
      <c r="FU61" s="47" t="n">
        <v>0</v>
      </c>
      <c r="FV61" s="47" t="n">
        <v>0</v>
      </c>
      <c r="FW61" s="47" t="n">
        <v>0</v>
      </c>
      <c r="FX61" s="47" t="n">
        <v>0</v>
      </c>
      <c r="FY61" s="47" t="n">
        <v>0</v>
      </c>
      <c r="FZ61" s="47" t="n">
        <v>0</v>
      </c>
      <c r="GA61" s="47" t="n">
        <v>0</v>
      </c>
      <c r="GB61" s="47" t="n">
        <v>0</v>
      </c>
      <c r="GC61" s="47" t="n">
        <v>0</v>
      </c>
      <c r="GD61" s="47" t="n">
        <v>0</v>
      </c>
      <c r="GE61" s="47" t="n">
        <v>0</v>
      </c>
      <c r="GF61" s="47" t="n">
        <v>0</v>
      </c>
      <c r="GG61" s="47" t="n">
        <v>0</v>
      </c>
      <c r="GH61" s="47" t="n">
        <v>0</v>
      </c>
      <c r="GI61" s="47" t="n">
        <v>0</v>
      </c>
      <c r="GJ61" s="47" t="n">
        <v>0</v>
      </c>
      <c r="GK61" s="47" t="n">
        <v>0</v>
      </c>
      <c r="GL61" s="47" t="n">
        <v>0</v>
      </c>
      <c r="GM61" s="47" t="n">
        <v>0</v>
      </c>
      <c r="GN61" s="47" t="n">
        <v>0</v>
      </c>
      <c r="GO61" s="47" t="n">
        <v>0</v>
      </c>
      <c r="GP61" s="47" t="n">
        <v>0</v>
      </c>
      <c r="GQ61" s="47" t="n">
        <v>0</v>
      </c>
      <c r="GR61" s="47" t="n">
        <v>0</v>
      </c>
      <c r="GS61" s="47" t="n">
        <v>0</v>
      </c>
      <c r="GT61" s="47" t="n">
        <v>0</v>
      </c>
      <c r="GU61" s="47" t="n">
        <v>0</v>
      </c>
      <c r="GV61" s="47" t="n">
        <v>0</v>
      </c>
      <c r="GW61" s="47" t="n">
        <v>0</v>
      </c>
      <c r="GX61" s="47" t="n">
        <v>0</v>
      </c>
      <c r="GY61" s="47" t="n">
        <v>0</v>
      </c>
      <c r="GZ61" s="47" t="n">
        <v>0</v>
      </c>
      <c r="HA61" s="47" t="n">
        <v>0</v>
      </c>
      <c r="HB61" s="47" t="n">
        <v>0</v>
      </c>
      <c r="HC61" s="47" t="n">
        <v>0</v>
      </c>
      <c r="HD61" s="47" t="n">
        <v>0</v>
      </c>
      <c r="HE61" s="47" t="n">
        <v>0</v>
      </c>
      <c r="HF61" s="47" t="n">
        <v>0</v>
      </c>
      <c r="HG61" s="47" t="n">
        <v>0</v>
      </c>
      <c r="HH61" s="47" t="n">
        <v>0</v>
      </c>
      <c r="HI61" s="48" t="n">
        <v>0</v>
      </c>
      <c r="HJ61" s="47" t="n">
        <v>0</v>
      </c>
      <c r="HK61" s="47" t="n">
        <v>0</v>
      </c>
      <c r="HL61" s="47" t="n">
        <v>0</v>
      </c>
      <c r="HM61" s="47" t="n">
        <v>0</v>
      </c>
      <c r="HN61" s="47" t="n">
        <v>0</v>
      </c>
      <c r="HO61" s="47" t="n">
        <v>0</v>
      </c>
      <c r="HP61" s="47" t="n">
        <v>0</v>
      </c>
      <c r="HQ61" s="47" t="n">
        <v>0</v>
      </c>
      <c r="HS61" s="47" t="n">
        <v>1866.47</v>
      </c>
      <c r="HT61" s="47" t="n">
        <v>1866.47</v>
      </c>
      <c r="HU61" s="47" t="n">
        <v>1866.47</v>
      </c>
      <c r="HV61" s="47" t="n">
        <v>1866.47</v>
      </c>
      <c r="HW61" s="47" t="n">
        <v>1866.47</v>
      </c>
      <c r="HX61" s="47" t="n">
        <v>1866.47</v>
      </c>
      <c r="HY61" s="47" t="n">
        <v>50</v>
      </c>
      <c r="HZ61" s="47" t="n">
        <v>50</v>
      </c>
      <c r="IA61" s="47" t="n">
        <v>50</v>
      </c>
      <c r="IB61" s="47" t="n">
        <v>50</v>
      </c>
      <c r="IC61" s="47" t="n">
        <v>50</v>
      </c>
      <c r="ID61" s="47" t="n">
        <v>50</v>
      </c>
      <c r="IE61" s="47" t="n">
        <v>50</v>
      </c>
      <c r="IF61" s="47" t="n">
        <v>50</v>
      </c>
      <c r="IG61" s="47" t="n">
        <v>50</v>
      </c>
      <c r="IH61" s="47" t="n">
        <v>50</v>
      </c>
      <c r="II61" s="47" t="n">
        <v>50</v>
      </c>
      <c r="IJ61" s="47" t="n">
        <v>50</v>
      </c>
      <c r="IK61" s="47" t="n">
        <v>0</v>
      </c>
      <c r="IL61" s="47" t="n">
        <v>0</v>
      </c>
      <c r="IM61" s="47" t="n">
        <v>0</v>
      </c>
      <c r="IN61" s="47" t="n">
        <v>0</v>
      </c>
      <c r="IO61" s="47" t="n">
        <v>0</v>
      </c>
      <c r="IP61" s="47" t="n">
        <v>0</v>
      </c>
      <c r="IQ61" s="47" t="n">
        <v>0</v>
      </c>
      <c r="IR61" s="47" t="n">
        <v>0</v>
      </c>
      <c r="IS61" s="47" t="n">
        <v>0</v>
      </c>
      <c r="IT61" s="47" t="n">
        <v>0</v>
      </c>
      <c r="IU61" s="47" t="n">
        <v>0</v>
      </c>
      <c r="IV61" s="47" t="n">
        <v>0</v>
      </c>
      <c r="IW61" s="47" t="n">
        <v>0</v>
      </c>
      <c r="IX61" s="47" t="n">
        <v>0</v>
      </c>
      <c r="IY61" s="47" t="n">
        <v>0</v>
      </c>
      <c r="IZ61" s="47" t="n">
        <v>0</v>
      </c>
      <c r="JA61" s="47" t="n">
        <v>0</v>
      </c>
      <c r="JB61" s="47" t="n">
        <v>0</v>
      </c>
      <c r="JC61" s="47" t="n">
        <v>0</v>
      </c>
      <c r="JD61" s="47" t="n">
        <v>0</v>
      </c>
      <c r="JE61" s="47" t="n">
        <v>0</v>
      </c>
      <c r="JF61" s="47" t="n">
        <v>0</v>
      </c>
      <c r="JG61" s="47" t="n">
        <v>0</v>
      </c>
      <c r="JH61" s="47" t="n">
        <v>0</v>
      </c>
      <c r="JI61" s="47" t="n">
        <v>0</v>
      </c>
      <c r="JJ61" s="47" t="n">
        <v>0</v>
      </c>
      <c r="JK61" s="47" t="n">
        <v>0</v>
      </c>
      <c r="JL61" s="47" t="n">
        <v>0</v>
      </c>
      <c r="JM61" s="47" t="n">
        <v>0</v>
      </c>
      <c r="JN61" s="47" t="n">
        <v>0</v>
      </c>
      <c r="JO61" s="47" t="n">
        <v>0</v>
      </c>
      <c r="JP61" s="47" t="n">
        <v>0</v>
      </c>
      <c r="JQ61" s="47" t="n">
        <v>0</v>
      </c>
      <c r="JR61" s="47" t="n">
        <v>0</v>
      </c>
      <c r="JS61" s="47" t="n">
        <v>0</v>
      </c>
      <c r="JT61" s="47" t="n">
        <v>0</v>
      </c>
      <c r="JU61" s="47" t="n">
        <v>0</v>
      </c>
      <c r="JV61" s="47" t="n">
        <v>0</v>
      </c>
      <c r="JW61" s="47" t="n">
        <v>0</v>
      </c>
      <c r="JX61" s="47" t="n">
        <v>0</v>
      </c>
      <c r="JY61" s="47" t="n">
        <v>0</v>
      </c>
      <c r="JZ61" s="47" t="n">
        <v>0</v>
      </c>
      <c r="KA61" s="47" t="n">
        <v>0</v>
      </c>
      <c r="KB61" s="47" t="n">
        <v>0</v>
      </c>
      <c r="KC61" s="47" t="n">
        <v>0</v>
      </c>
      <c r="KD61" s="48" t="n">
        <v>0</v>
      </c>
      <c r="KE61" s="47" t="n">
        <v>0</v>
      </c>
      <c r="KF61" s="47" t="n">
        <v>0</v>
      </c>
      <c r="KG61" s="47" t="n">
        <v>0</v>
      </c>
      <c r="KH61" s="47" t="n">
        <v>0</v>
      </c>
      <c r="KI61" s="47" t="n">
        <v>0</v>
      </c>
      <c r="KJ61" s="47" t="n">
        <v>0</v>
      </c>
      <c r="KK61" s="47" t="n">
        <v>0</v>
      </c>
      <c r="KL61" s="47" t="n">
        <v>0</v>
      </c>
    </row>
    <row r="62" customFormat="false" ht="15.75" hidden="false" customHeight="true" outlineLevel="0" collapsed="false">
      <c r="A62" s="35" t="s">
        <v>289</v>
      </c>
      <c r="B62" s="35" t="s">
        <v>290</v>
      </c>
      <c r="C62" s="35" t="s">
        <v>164</v>
      </c>
      <c r="D62" s="35" t="s">
        <v>165</v>
      </c>
      <c r="E62" s="35" t="s">
        <v>188</v>
      </c>
      <c r="G62" s="44" t="n">
        <v>0</v>
      </c>
      <c r="H62" s="44" t="n">
        <v>0</v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200.01</v>
      </c>
      <c r="O62" s="44" t="n">
        <v>266.68</v>
      </c>
      <c r="P62" s="44" t="n">
        <v>266.68</v>
      </c>
      <c r="Q62" s="44" t="n">
        <v>266.68</v>
      </c>
      <c r="R62" s="44" t="n">
        <v>266.68</v>
      </c>
      <c r="S62" s="44" t="n">
        <v>266.68</v>
      </c>
      <c r="T62" s="44" t="n">
        <v>266.68</v>
      </c>
      <c r="U62" s="44" t="n">
        <v>266.68</v>
      </c>
      <c r="V62" s="44" t="n">
        <v>266.68</v>
      </c>
      <c r="W62" s="44" t="n">
        <v>266.68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  <c r="AL62" s="44" t="n">
        <v>0</v>
      </c>
      <c r="AM62" s="44" t="n">
        <v>0</v>
      </c>
      <c r="AN62" s="44" t="n">
        <v>0</v>
      </c>
      <c r="AO62" s="44" t="n">
        <v>0</v>
      </c>
      <c r="AP62" s="44" t="n">
        <v>0</v>
      </c>
      <c r="BS62" s="46" t="n">
        <v>0</v>
      </c>
      <c r="BT62" s="46" t="n">
        <v>0</v>
      </c>
      <c r="BU62" s="46" t="n">
        <v>0</v>
      </c>
      <c r="BV62" s="46" t="n">
        <v>0</v>
      </c>
      <c r="BW62" s="46" t="n">
        <v>0</v>
      </c>
      <c r="BX62" s="46" t="n">
        <v>0</v>
      </c>
      <c r="BY62" s="46" t="n">
        <v>0</v>
      </c>
      <c r="BZ62" s="46" t="n">
        <v>0</v>
      </c>
      <c r="EX62" s="47" t="n">
        <v>0</v>
      </c>
      <c r="EY62" s="47" t="n">
        <v>0</v>
      </c>
      <c r="EZ62" s="47" t="n">
        <v>0</v>
      </c>
      <c r="FA62" s="47" t="n">
        <v>0</v>
      </c>
      <c r="FB62" s="47" t="n">
        <v>0</v>
      </c>
      <c r="FC62" s="47" t="n">
        <v>0</v>
      </c>
      <c r="FD62" s="47" t="n">
        <v>0</v>
      </c>
      <c r="FE62" s="47" t="n">
        <v>200.01</v>
      </c>
      <c r="FF62" s="47" t="n">
        <v>266.68</v>
      </c>
      <c r="FG62" s="47" t="n">
        <v>266.68</v>
      </c>
      <c r="FH62" s="47" t="n">
        <v>266.68</v>
      </c>
      <c r="FI62" s="47" t="n">
        <v>266.68</v>
      </c>
      <c r="FJ62" s="47" t="n">
        <v>266.68</v>
      </c>
      <c r="FK62" s="47" t="n">
        <v>266.68</v>
      </c>
      <c r="FL62" s="47" t="n">
        <v>266.68</v>
      </c>
      <c r="FM62" s="47" t="n">
        <v>266.68</v>
      </c>
      <c r="FN62" s="47" t="n">
        <v>266.68</v>
      </c>
      <c r="FO62" s="47" t="n">
        <v>0</v>
      </c>
      <c r="FP62" s="47" t="n">
        <v>0</v>
      </c>
      <c r="FQ62" s="47" t="n">
        <v>0</v>
      </c>
      <c r="FR62" s="47" t="n">
        <v>0</v>
      </c>
      <c r="FS62" s="47" t="n">
        <v>0</v>
      </c>
      <c r="FT62" s="47" t="n">
        <v>0</v>
      </c>
      <c r="FU62" s="47" t="n">
        <v>0</v>
      </c>
      <c r="FV62" s="47" t="n">
        <v>0</v>
      </c>
      <c r="FW62" s="47" t="n">
        <v>0</v>
      </c>
      <c r="FX62" s="47" t="n">
        <v>0</v>
      </c>
      <c r="FY62" s="47" t="n">
        <v>0</v>
      </c>
      <c r="FZ62" s="47" t="n">
        <v>0</v>
      </c>
      <c r="GA62" s="47" t="n">
        <v>0</v>
      </c>
      <c r="GB62" s="47" t="n">
        <v>0</v>
      </c>
      <c r="GC62" s="47" t="n">
        <v>0</v>
      </c>
      <c r="GD62" s="47" t="n">
        <v>0</v>
      </c>
      <c r="GE62" s="47" t="n">
        <v>0</v>
      </c>
      <c r="GF62" s="47" t="n">
        <v>0</v>
      </c>
      <c r="GG62" s="47" t="n">
        <v>0</v>
      </c>
      <c r="GH62" s="47" t="n">
        <v>0</v>
      </c>
      <c r="GI62" s="47" t="n">
        <v>0</v>
      </c>
      <c r="GJ62" s="47" t="n">
        <v>0</v>
      </c>
      <c r="GK62" s="47" t="n">
        <v>0</v>
      </c>
      <c r="GL62" s="47" t="n">
        <v>0</v>
      </c>
      <c r="GM62" s="47" t="n">
        <v>0</v>
      </c>
      <c r="GN62" s="47" t="n">
        <v>0</v>
      </c>
      <c r="GO62" s="47" t="n">
        <v>0</v>
      </c>
      <c r="GP62" s="47" t="n">
        <v>0</v>
      </c>
      <c r="GQ62" s="47" t="n">
        <v>0</v>
      </c>
      <c r="GR62" s="47" t="n">
        <v>0</v>
      </c>
      <c r="GS62" s="47" t="n">
        <v>0</v>
      </c>
      <c r="GT62" s="47" t="n">
        <v>0</v>
      </c>
      <c r="GU62" s="47" t="n">
        <v>0</v>
      </c>
      <c r="GV62" s="47" t="n">
        <v>0</v>
      </c>
      <c r="GW62" s="47" t="n">
        <v>0</v>
      </c>
      <c r="GX62" s="47" t="n">
        <v>0</v>
      </c>
      <c r="GY62" s="47" t="n">
        <v>0</v>
      </c>
      <c r="GZ62" s="47" t="n">
        <v>0</v>
      </c>
      <c r="HA62" s="47" t="n">
        <v>0</v>
      </c>
      <c r="HB62" s="47" t="n">
        <v>0</v>
      </c>
      <c r="HC62" s="47" t="n">
        <v>0</v>
      </c>
      <c r="HD62" s="47" t="n">
        <v>0</v>
      </c>
      <c r="HE62" s="47" t="n">
        <v>0</v>
      </c>
      <c r="HF62" s="47" t="n">
        <v>0</v>
      </c>
      <c r="HG62" s="47" t="n">
        <v>0</v>
      </c>
      <c r="HH62" s="47" t="n">
        <v>0</v>
      </c>
      <c r="HI62" s="48" t="n">
        <v>0</v>
      </c>
      <c r="HJ62" s="47" t="n">
        <v>0</v>
      </c>
      <c r="HK62" s="47" t="n">
        <v>0</v>
      </c>
      <c r="HL62" s="47" t="n">
        <v>0</v>
      </c>
      <c r="HM62" s="47" t="n">
        <v>0</v>
      </c>
      <c r="HN62" s="47" t="n">
        <v>0</v>
      </c>
      <c r="HO62" s="47" t="n">
        <v>0</v>
      </c>
      <c r="HP62" s="47" t="n">
        <v>0</v>
      </c>
      <c r="HQ62" s="47" t="n">
        <v>0</v>
      </c>
      <c r="HS62" s="47" t="n">
        <v>0</v>
      </c>
      <c r="HT62" s="47" t="n">
        <v>0</v>
      </c>
      <c r="HU62" s="47" t="n">
        <v>0</v>
      </c>
      <c r="HV62" s="47" t="n">
        <v>0</v>
      </c>
      <c r="HW62" s="47" t="n">
        <v>0</v>
      </c>
      <c r="HX62" s="47" t="n">
        <v>0</v>
      </c>
      <c r="HY62" s="47" t="n">
        <v>0</v>
      </c>
      <c r="HZ62" s="47" t="n">
        <v>200.01</v>
      </c>
      <c r="IA62" s="47" t="n">
        <v>266.68</v>
      </c>
      <c r="IB62" s="47" t="n">
        <v>266.68</v>
      </c>
      <c r="IC62" s="47" t="n">
        <v>266.68</v>
      </c>
      <c r="ID62" s="47" t="n">
        <v>266.68</v>
      </c>
      <c r="IE62" s="47" t="n">
        <v>266.68</v>
      </c>
      <c r="IF62" s="47" t="n">
        <v>266.68</v>
      </c>
      <c r="IG62" s="47" t="n">
        <v>266.68</v>
      </c>
      <c r="IH62" s="47" t="n">
        <v>266.68</v>
      </c>
      <c r="II62" s="47" t="n">
        <v>266.68</v>
      </c>
      <c r="IJ62" s="47" t="n">
        <v>0</v>
      </c>
      <c r="IK62" s="47" t="n">
        <v>0</v>
      </c>
      <c r="IL62" s="47" t="n">
        <v>0</v>
      </c>
      <c r="IM62" s="47" t="n">
        <v>0</v>
      </c>
      <c r="IN62" s="47" t="n">
        <v>0</v>
      </c>
      <c r="IO62" s="47" t="n">
        <v>0</v>
      </c>
      <c r="IP62" s="47" t="n">
        <v>0</v>
      </c>
      <c r="IQ62" s="47" t="n">
        <v>0</v>
      </c>
      <c r="IR62" s="47" t="n">
        <v>0</v>
      </c>
      <c r="IS62" s="47" t="n">
        <v>0</v>
      </c>
      <c r="IT62" s="47" t="n">
        <v>0</v>
      </c>
      <c r="IU62" s="47" t="n">
        <v>0</v>
      </c>
      <c r="IV62" s="47" t="n">
        <v>0</v>
      </c>
      <c r="IW62" s="47" t="n">
        <v>0</v>
      </c>
      <c r="IX62" s="47" t="n">
        <v>0</v>
      </c>
      <c r="IY62" s="47" t="n">
        <v>0</v>
      </c>
      <c r="IZ62" s="47" t="n">
        <v>0</v>
      </c>
      <c r="JA62" s="47" t="n">
        <v>0</v>
      </c>
      <c r="JB62" s="47" t="n">
        <v>0</v>
      </c>
      <c r="JC62" s="47" t="n">
        <v>0</v>
      </c>
      <c r="JD62" s="47" t="n">
        <v>0</v>
      </c>
      <c r="JE62" s="47" t="n">
        <v>0</v>
      </c>
      <c r="JF62" s="47" t="n">
        <v>0</v>
      </c>
      <c r="JG62" s="47" t="n">
        <v>0</v>
      </c>
      <c r="JH62" s="47" t="n">
        <v>0</v>
      </c>
      <c r="JI62" s="47" t="n">
        <v>0</v>
      </c>
      <c r="JJ62" s="47" t="n">
        <v>0</v>
      </c>
      <c r="JK62" s="47" t="n">
        <v>0</v>
      </c>
      <c r="JL62" s="47" t="n">
        <v>0</v>
      </c>
      <c r="JM62" s="47" t="n">
        <v>0</v>
      </c>
      <c r="JN62" s="47" t="n">
        <v>0</v>
      </c>
      <c r="JO62" s="47" t="n">
        <v>0</v>
      </c>
      <c r="JP62" s="47" t="n">
        <v>0</v>
      </c>
      <c r="JQ62" s="47" t="n">
        <v>0</v>
      </c>
      <c r="JR62" s="47" t="n">
        <v>0</v>
      </c>
      <c r="JS62" s="47" t="n">
        <v>0</v>
      </c>
      <c r="JT62" s="47" t="n">
        <v>0</v>
      </c>
      <c r="JU62" s="47" t="n">
        <v>0</v>
      </c>
      <c r="JV62" s="47" t="n">
        <v>0</v>
      </c>
      <c r="JW62" s="47" t="n">
        <v>0</v>
      </c>
      <c r="JX62" s="47" t="n">
        <v>0</v>
      </c>
      <c r="JY62" s="47" t="n">
        <v>0</v>
      </c>
      <c r="JZ62" s="47" t="n">
        <v>0</v>
      </c>
      <c r="KA62" s="47" t="n">
        <v>0</v>
      </c>
      <c r="KB62" s="47" t="n">
        <v>0</v>
      </c>
      <c r="KC62" s="47" t="n">
        <v>0</v>
      </c>
      <c r="KD62" s="48" t="n">
        <v>0</v>
      </c>
      <c r="KE62" s="47" t="n">
        <v>0</v>
      </c>
      <c r="KF62" s="47" t="n">
        <v>0</v>
      </c>
      <c r="KG62" s="47" t="n">
        <v>0</v>
      </c>
      <c r="KH62" s="47" t="n">
        <v>0</v>
      </c>
      <c r="KI62" s="47" t="n">
        <v>0</v>
      </c>
      <c r="KJ62" s="47" t="n">
        <v>0</v>
      </c>
      <c r="KK62" s="47" t="n">
        <v>0</v>
      </c>
      <c r="KL62" s="47" t="n">
        <v>0</v>
      </c>
    </row>
    <row r="63" customFormat="false" ht="15.75" hidden="false" customHeight="true" outlineLevel="0" collapsed="false">
      <c r="A63" s="35" t="s">
        <v>291</v>
      </c>
      <c r="B63" s="35" t="s">
        <v>292</v>
      </c>
      <c r="C63" s="35" t="s">
        <v>164</v>
      </c>
      <c r="D63" s="35" t="s">
        <v>165</v>
      </c>
      <c r="E63" s="35" t="s">
        <v>166</v>
      </c>
      <c r="G63" s="44" t="n">
        <v>225</v>
      </c>
      <c r="H63" s="44" t="n">
        <v>225</v>
      </c>
      <c r="I63" s="44" t="n">
        <v>225</v>
      </c>
      <c r="J63" s="44" t="n">
        <v>225</v>
      </c>
      <c r="K63" s="44" t="n">
        <v>225</v>
      </c>
      <c r="L63" s="44" t="n">
        <v>225</v>
      </c>
      <c r="M63" s="44" t="n">
        <v>0</v>
      </c>
      <c r="N63" s="44" t="n">
        <v>0</v>
      </c>
      <c r="O63" s="44" t="n">
        <v>0</v>
      </c>
      <c r="P63" s="44" t="n">
        <v>0</v>
      </c>
      <c r="Q63" s="44" t="n">
        <v>0</v>
      </c>
      <c r="R63" s="44" t="n">
        <v>0</v>
      </c>
      <c r="S63" s="44" t="n">
        <v>0</v>
      </c>
      <c r="T63" s="44" t="n">
        <v>0</v>
      </c>
      <c r="U63" s="44" t="n">
        <v>0</v>
      </c>
      <c r="V63" s="44" t="n">
        <v>0</v>
      </c>
      <c r="W63" s="44" t="n">
        <v>0</v>
      </c>
      <c r="X63" s="44" t="n">
        <v>0</v>
      </c>
      <c r="Y63" s="44" t="n">
        <v>0</v>
      </c>
      <c r="Z63" s="44" t="n">
        <v>0</v>
      </c>
      <c r="AA63" s="44" t="n">
        <v>0</v>
      </c>
      <c r="AB63" s="44" t="n">
        <v>0</v>
      </c>
      <c r="AC63" s="44" t="n">
        <v>0</v>
      </c>
      <c r="AD63" s="44" t="n">
        <v>0</v>
      </c>
      <c r="AE63" s="44" t="n">
        <v>0</v>
      </c>
      <c r="AF63" s="44" t="n">
        <v>0</v>
      </c>
      <c r="AG63" s="44" t="n">
        <v>0</v>
      </c>
      <c r="AH63" s="44" t="n">
        <v>0</v>
      </c>
      <c r="AI63" s="44" t="n">
        <v>0</v>
      </c>
      <c r="AJ63" s="44" t="n">
        <v>0</v>
      </c>
      <c r="AK63" s="44" t="n">
        <v>0</v>
      </c>
      <c r="AL63" s="44" t="n">
        <v>0</v>
      </c>
      <c r="AM63" s="44" t="n">
        <v>0</v>
      </c>
      <c r="AN63" s="44" t="n">
        <v>0</v>
      </c>
      <c r="AO63" s="44" t="n">
        <v>0</v>
      </c>
      <c r="AP63" s="44" t="n">
        <v>0</v>
      </c>
      <c r="BS63" s="46" t="n">
        <v>0</v>
      </c>
      <c r="BT63" s="46" t="n">
        <v>0</v>
      </c>
      <c r="BU63" s="46" t="n">
        <v>0</v>
      </c>
      <c r="BV63" s="46" t="n">
        <v>0</v>
      </c>
      <c r="BW63" s="46" t="n">
        <v>0</v>
      </c>
      <c r="BX63" s="46" t="n">
        <v>0</v>
      </c>
      <c r="BY63" s="46" t="n">
        <v>0</v>
      </c>
      <c r="BZ63" s="46" t="n">
        <v>0</v>
      </c>
      <c r="EX63" s="47" t="n">
        <v>225</v>
      </c>
      <c r="EY63" s="47" t="n">
        <v>225</v>
      </c>
      <c r="EZ63" s="47" t="n">
        <v>225</v>
      </c>
      <c r="FA63" s="47" t="n">
        <v>225</v>
      </c>
      <c r="FB63" s="47" t="n">
        <v>225</v>
      </c>
      <c r="FC63" s="47" t="n">
        <v>225</v>
      </c>
      <c r="FD63" s="47" t="n">
        <v>0</v>
      </c>
      <c r="FE63" s="47" t="n">
        <v>0</v>
      </c>
      <c r="FF63" s="47" t="n">
        <v>0</v>
      </c>
      <c r="FG63" s="47" t="n">
        <v>0</v>
      </c>
      <c r="FH63" s="47" t="n">
        <v>0</v>
      </c>
      <c r="FI63" s="47" t="n">
        <v>0</v>
      </c>
      <c r="FJ63" s="47" t="n">
        <v>0</v>
      </c>
      <c r="FK63" s="47" t="n">
        <v>0</v>
      </c>
      <c r="FL63" s="47" t="n">
        <v>0</v>
      </c>
      <c r="FM63" s="47" t="n">
        <v>0</v>
      </c>
      <c r="FN63" s="47" t="n">
        <v>0</v>
      </c>
      <c r="FO63" s="47" t="n">
        <v>0</v>
      </c>
      <c r="FP63" s="47" t="n">
        <v>0</v>
      </c>
      <c r="FQ63" s="47" t="n">
        <v>0</v>
      </c>
      <c r="FR63" s="47" t="n">
        <v>0</v>
      </c>
      <c r="FS63" s="47" t="n">
        <v>0</v>
      </c>
      <c r="FT63" s="47" t="n">
        <v>0</v>
      </c>
      <c r="FU63" s="47" t="n">
        <v>0</v>
      </c>
      <c r="FV63" s="47" t="n">
        <v>0</v>
      </c>
      <c r="FW63" s="47" t="n">
        <v>0</v>
      </c>
      <c r="FX63" s="47" t="n">
        <v>0</v>
      </c>
      <c r="FY63" s="47" t="n">
        <v>0</v>
      </c>
      <c r="FZ63" s="47" t="n">
        <v>0</v>
      </c>
      <c r="GA63" s="47" t="n">
        <v>0</v>
      </c>
      <c r="GB63" s="47" t="n">
        <v>0</v>
      </c>
      <c r="GC63" s="47" t="n">
        <v>0</v>
      </c>
      <c r="GD63" s="47" t="n">
        <v>0</v>
      </c>
      <c r="GE63" s="47" t="n">
        <v>0</v>
      </c>
      <c r="GF63" s="47" t="n">
        <v>0</v>
      </c>
      <c r="GG63" s="47" t="n">
        <v>0</v>
      </c>
      <c r="GH63" s="47" t="n">
        <v>0</v>
      </c>
      <c r="GI63" s="47" t="n">
        <v>0</v>
      </c>
      <c r="GJ63" s="47" t="n">
        <v>0</v>
      </c>
      <c r="GK63" s="47" t="n">
        <v>0</v>
      </c>
      <c r="GL63" s="47" t="n">
        <v>0</v>
      </c>
      <c r="GM63" s="47" t="n">
        <v>0</v>
      </c>
      <c r="GN63" s="47" t="n">
        <v>0</v>
      </c>
      <c r="GO63" s="47" t="n">
        <v>0</v>
      </c>
      <c r="GP63" s="47" t="n">
        <v>0</v>
      </c>
      <c r="GQ63" s="47" t="n">
        <v>0</v>
      </c>
      <c r="GR63" s="47" t="n">
        <v>0</v>
      </c>
      <c r="GS63" s="47" t="n">
        <v>0</v>
      </c>
      <c r="GT63" s="47" t="n">
        <v>0</v>
      </c>
      <c r="GU63" s="47" t="n">
        <v>0</v>
      </c>
      <c r="GV63" s="47" t="n">
        <v>0</v>
      </c>
      <c r="GW63" s="47" t="n">
        <v>0</v>
      </c>
      <c r="GX63" s="47" t="n">
        <v>0</v>
      </c>
      <c r="GY63" s="47" t="n">
        <v>0</v>
      </c>
      <c r="GZ63" s="47" t="n">
        <v>0</v>
      </c>
      <c r="HA63" s="47" t="n">
        <v>0</v>
      </c>
      <c r="HB63" s="47" t="n">
        <v>0</v>
      </c>
      <c r="HC63" s="47" t="n">
        <v>0</v>
      </c>
      <c r="HD63" s="47" t="n">
        <v>0</v>
      </c>
      <c r="HE63" s="47" t="n">
        <v>0</v>
      </c>
      <c r="HF63" s="47" t="n">
        <v>0</v>
      </c>
      <c r="HG63" s="47" t="n">
        <v>0</v>
      </c>
      <c r="HH63" s="47" t="n">
        <v>0</v>
      </c>
      <c r="HI63" s="48" t="n">
        <v>0</v>
      </c>
      <c r="HJ63" s="47" t="n">
        <v>0</v>
      </c>
      <c r="HK63" s="47" t="n">
        <v>0</v>
      </c>
      <c r="HL63" s="47" t="n">
        <v>0</v>
      </c>
      <c r="HM63" s="47" t="n">
        <v>0</v>
      </c>
      <c r="HN63" s="47" t="n">
        <v>0</v>
      </c>
      <c r="HO63" s="47" t="n">
        <v>0</v>
      </c>
      <c r="HP63" s="47" t="n">
        <v>0</v>
      </c>
      <c r="HQ63" s="47" t="n">
        <v>0</v>
      </c>
      <c r="HS63" s="47" t="n">
        <v>225</v>
      </c>
      <c r="HT63" s="47" t="n">
        <v>225</v>
      </c>
      <c r="HU63" s="47" t="n">
        <v>225</v>
      </c>
      <c r="HV63" s="47" t="n">
        <v>225</v>
      </c>
      <c r="HW63" s="47" t="n">
        <v>225</v>
      </c>
      <c r="HX63" s="47" t="n">
        <v>225</v>
      </c>
      <c r="HY63" s="47" t="n">
        <v>0</v>
      </c>
      <c r="HZ63" s="47" t="n">
        <v>0</v>
      </c>
      <c r="IA63" s="47" t="n">
        <v>0</v>
      </c>
      <c r="IB63" s="47" t="n">
        <v>0</v>
      </c>
      <c r="IC63" s="47" t="n">
        <v>0</v>
      </c>
      <c r="ID63" s="47" t="n">
        <v>0</v>
      </c>
      <c r="IE63" s="47" t="n">
        <v>0</v>
      </c>
      <c r="IF63" s="47" t="n">
        <v>0</v>
      </c>
      <c r="IG63" s="47" t="n">
        <v>0</v>
      </c>
      <c r="IH63" s="47" t="n">
        <v>0</v>
      </c>
      <c r="II63" s="47" t="n">
        <v>0</v>
      </c>
      <c r="IJ63" s="47" t="n">
        <v>0</v>
      </c>
      <c r="IK63" s="47" t="n">
        <v>0</v>
      </c>
      <c r="IL63" s="47" t="n">
        <v>0</v>
      </c>
      <c r="IM63" s="47" t="n">
        <v>0</v>
      </c>
      <c r="IN63" s="47" t="n">
        <v>0</v>
      </c>
      <c r="IO63" s="47" t="n">
        <v>0</v>
      </c>
      <c r="IP63" s="47" t="n">
        <v>0</v>
      </c>
      <c r="IQ63" s="47" t="n">
        <v>0</v>
      </c>
      <c r="IR63" s="47" t="n">
        <v>0</v>
      </c>
      <c r="IS63" s="47" t="n">
        <v>0</v>
      </c>
      <c r="IT63" s="47" t="n">
        <v>0</v>
      </c>
      <c r="IU63" s="47" t="n">
        <v>0</v>
      </c>
      <c r="IV63" s="47" t="n">
        <v>0</v>
      </c>
      <c r="IW63" s="47" t="n">
        <v>0</v>
      </c>
      <c r="IX63" s="47" t="n">
        <v>0</v>
      </c>
      <c r="IY63" s="47" t="n">
        <v>0</v>
      </c>
      <c r="IZ63" s="47" t="n">
        <v>0</v>
      </c>
      <c r="JA63" s="47" t="n">
        <v>0</v>
      </c>
      <c r="JB63" s="47" t="n">
        <v>0</v>
      </c>
      <c r="JC63" s="47" t="n">
        <v>0</v>
      </c>
      <c r="JD63" s="47" t="n">
        <v>0</v>
      </c>
      <c r="JE63" s="47" t="n">
        <v>0</v>
      </c>
      <c r="JF63" s="47" t="n">
        <v>0</v>
      </c>
      <c r="JG63" s="47" t="n">
        <v>0</v>
      </c>
      <c r="JH63" s="47" t="n">
        <v>0</v>
      </c>
      <c r="JI63" s="47" t="n">
        <v>0</v>
      </c>
      <c r="JJ63" s="47" t="n">
        <v>0</v>
      </c>
      <c r="JK63" s="47" t="n">
        <v>0</v>
      </c>
      <c r="JL63" s="47" t="n">
        <v>0</v>
      </c>
      <c r="JM63" s="47" t="n">
        <v>0</v>
      </c>
      <c r="JN63" s="47" t="n">
        <v>0</v>
      </c>
      <c r="JO63" s="47" t="n">
        <v>0</v>
      </c>
      <c r="JP63" s="47" t="n">
        <v>0</v>
      </c>
      <c r="JQ63" s="47" t="n">
        <v>0</v>
      </c>
      <c r="JR63" s="47" t="n">
        <v>0</v>
      </c>
      <c r="JS63" s="47" t="n">
        <v>0</v>
      </c>
      <c r="JT63" s="47" t="n">
        <v>0</v>
      </c>
      <c r="JU63" s="47" t="n">
        <v>0</v>
      </c>
      <c r="JV63" s="47" t="n">
        <v>0</v>
      </c>
      <c r="JW63" s="47" t="n">
        <v>0</v>
      </c>
      <c r="JX63" s="47" t="n">
        <v>0</v>
      </c>
      <c r="JY63" s="47" t="n">
        <v>0</v>
      </c>
      <c r="JZ63" s="47" t="n">
        <v>0</v>
      </c>
      <c r="KA63" s="47" t="n">
        <v>0</v>
      </c>
      <c r="KB63" s="47" t="n">
        <v>0</v>
      </c>
      <c r="KC63" s="47" t="n">
        <v>0</v>
      </c>
      <c r="KD63" s="48" t="n">
        <v>0</v>
      </c>
      <c r="KE63" s="47" t="n">
        <v>0</v>
      </c>
      <c r="KF63" s="47" t="n">
        <v>0</v>
      </c>
      <c r="KG63" s="47" t="n">
        <v>0</v>
      </c>
      <c r="KH63" s="47" t="n">
        <v>0</v>
      </c>
      <c r="KI63" s="47" t="n">
        <v>0</v>
      </c>
      <c r="KJ63" s="47" t="n">
        <v>0</v>
      </c>
      <c r="KK63" s="47" t="n">
        <v>0</v>
      </c>
      <c r="KL63" s="47" t="n">
        <v>0</v>
      </c>
    </row>
    <row r="64" customFormat="false" ht="15.75" hidden="false" customHeight="true" outlineLevel="0" collapsed="false">
      <c r="A64" s="35" t="s">
        <v>293</v>
      </c>
      <c r="B64" s="35" t="s">
        <v>294</v>
      </c>
      <c r="C64" s="35" t="s">
        <v>164</v>
      </c>
      <c r="D64" s="35" t="s">
        <v>165</v>
      </c>
      <c r="E64" s="35" t="s">
        <v>174</v>
      </c>
      <c r="G64" s="44" t="n">
        <v>4750</v>
      </c>
      <c r="H64" s="44" t="n">
        <v>4750</v>
      </c>
      <c r="I64" s="44" t="n">
        <v>4750</v>
      </c>
      <c r="J64" s="44" t="n">
        <v>4750</v>
      </c>
      <c r="K64" s="44" t="n">
        <v>4750</v>
      </c>
      <c r="L64" s="44" t="n">
        <v>4750</v>
      </c>
      <c r="M64" s="44" t="n">
        <v>6000</v>
      </c>
      <c r="N64" s="44" t="n">
        <v>6000</v>
      </c>
      <c r="O64" s="44" t="n">
        <v>6000</v>
      </c>
      <c r="P64" s="44" t="n">
        <v>6000</v>
      </c>
      <c r="Q64" s="44" t="n">
        <v>6000</v>
      </c>
      <c r="R64" s="44" t="n">
        <v>6000</v>
      </c>
      <c r="S64" s="44" t="n">
        <v>6000</v>
      </c>
      <c r="T64" s="44" t="n">
        <v>6000</v>
      </c>
      <c r="U64" s="44" t="n">
        <v>6000</v>
      </c>
      <c r="V64" s="44" t="n">
        <v>6000</v>
      </c>
      <c r="W64" s="44" t="n">
        <v>6000</v>
      </c>
      <c r="X64" s="44" t="n">
        <v>6000</v>
      </c>
      <c r="Y64" s="44" t="n">
        <v>1300</v>
      </c>
      <c r="Z64" s="44" t="n">
        <v>1300</v>
      </c>
      <c r="AA64" s="44" t="n">
        <v>1300</v>
      </c>
      <c r="AB64" s="44" t="n">
        <v>1300</v>
      </c>
      <c r="AC64" s="44" t="n">
        <v>1300</v>
      </c>
      <c r="AD64" s="44" t="n">
        <v>1300</v>
      </c>
      <c r="AE64" s="44" t="n">
        <v>1300</v>
      </c>
      <c r="AF64" s="44" t="n">
        <v>1300</v>
      </c>
      <c r="AG64" s="44" t="n">
        <v>1300</v>
      </c>
      <c r="AH64" s="44" t="n">
        <v>1300</v>
      </c>
      <c r="AI64" s="44" t="n">
        <v>1300</v>
      </c>
      <c r="AJ64" s="44" t="n">
        <v>1300</v>
      </c>
      <c r="AK64" s="44" t="n">
        <v>1300</v>
      </c>
      <c r="AL64" s="44" t="n">
        <v>1300</v>
      </c>
      <c r="AM64" s="44" t="n">
        <v>1300</v>
      </c>
      <c r="AN64" s="44" t="n">
        <v>1300</v>
      </c>
      <c r="AO64" s="44" t="n">
        <v>1300</v>
      </c>
      <c r="AP64" s="44" t="n">
        <v>1300</v>
      </c>
      <c r="AQ64" s="44" t="n">
        <v>1300</v>
      </c>
      <c r="AR64" s="44" t="n">
        <v>1300</v>
      </c>
      <c r="AS64" s="44" t="n">
        <v>1300</v>
      </c>
      <c r="AT64" s="44" t="n">
        <v>1300</v>
      </c>
      <c r="AU64" s="44" t="n">
        <v>1300</v>
      </c>
      <c r="AV64" s="44" t="n">
        <v>1300</v>
      </c>
      <c r="AW64" s="44" t="n">
        <v>0</v>
      </c>
      <c r="AX64" s="44" t="n">
        <v>0</v>
      </c>
      <c r="AY64" s="44" t="n">
        <v>0</v>
      </c>
      <c r="AZ64" s="44" t="n">
        <v>0</v>
      </c>
      <c r="BA64" s="44" t="n">
        <v>0</v>
      </c>
      <c r="BB64" s="44" t="n">
        <v>0</v>
      </c>
      <c r="BC64" s="44" t="n">
        <v>0</v>
      </c>
      <c r="BD64" s="44" t="n">
        <v>0</v>
      </c>
      <c r="BE64" s="44" t="n">
        <v>0</v>
      </c>
      <c r="BF64" s="44" t="n">
        <v>0</v>
      </c>
      <c r="BG64" s="44" t="n">
        <v>0</v>
      </c>
      <c r="BH64" s="44" t="n">
        <v>0</v>
      </c>
      <c r="BI64" s="44" t="n">
        <v>0</v>
      </c>
      <c r="BJ64" s="44" t="n">
        <v>0</v>
      </c>
      <c r="BK64" s="44" t="n">
        <v>0</v>
      </c>
      <c r="BL64" s="44" t="n">
        <v>0</v>
      </c>
      <c r="BM64" s="44" t="n">
        <v>0</v>
      </c>
      <c r="BN64" s="44" t="n">
        <v>0</v>
      </c>
      <c r="BO64" s="44" t="n">
        <v>0</v>
      </c>
      <c r="BP64" s="44" t="n">
        <v>0</v>
      </c>
      <c r="BQ64" s="44" t="n">
        <v>0</v>
      </c>
      <c r="BR64" s="45" t="n">
        <v>0</v>
      </c>
      <c r="BS64" s="46" t="n">
        <v>0</v>
      </c>
      <c r="BT64" s="46" t="n">
        <v>0</v>
      </c>
      <c r="BU64" s="46" t="n">
        <v>0</v>
      </c>
      <c r="BV64" s="46" t="n">
        <v>0</v>
      </c>
      <c r="BW64" s="46" t="n">
        <v>0</v>
      </c>
      <c r="BX64" s="46" t="n">
        <v>0</v>
      </c>
      <c r="BY64" s="46" t="n">
        <v>0</v>
      </c>
      <c r="BZ64" s="46" t="n">
        <v>0</v>
      </c>
      <c r="CB64" s="52" t="s">
        <v>184</v>
      </c>
      <c r="CC64" s="50" t="n">
        <v>-4750</v>
      </c>
      <c r="CD64" s="50" t="n">
        <v>-4750</v>
      </c>
      <c r="CE64" s="50" t="n">
        <v>-4750</v>
      </c>
      <c r="CF64" s="50" t="n">
        <v>-4750</v>
      </c>
      <c r="CG64" s="50" t="n">
        <v>-4750</v>
      </c>
      <c r="CH64" s="50" t="n">
        <v>-4750</v>
      </c>
      <c r="CI64" s="50" t="n">
        <v>-6000</v>
      </c>
      <c r="CJ64" s="50" t="n">
        <v>-6000</v>
      </c>
      <c r="CK64" s="50" t="n">
        <v>-6000</v>
      </c>
      <c r="CL64" s="50" t="n">
        <v>-6000</v>
      </c>
      <c r="CM64" s="50" t="n">
        <v>-6000</v>
      </c>
      <c r="CN64" s="50" t="n">
        <v>-6000</v>
      </c>
      <c r="CO64" s="50" t="n">
        <v>-6000</v>
      </c>
      <c r="CP64" s="50" t="n">
        <v>-6000</v>
      </c>
      <c r="CQ64" s="50" t="n">
        <v>-6000</v>
      </c>
      <c r="CR64" s="50" t="n">
        <v>-6000</v>
      </c>
      <c r="CS64" s="50" t="n">
        <v>-6000</v>
      </c>
      <c r="CT64" s="50" t="n">
        <v>-6000</v>
      </c>
      <c r="CU64" s="50" t="n">
        <v>-1300</v>
      </c>
      <c r="CV64" s="50" t="n">
        <v>-1300</v>
      </c>
      <c r="CW64" s="50" t="n">
        <v>-1300</v>
      </c>
      <c r="CX64" s="50" t="n">
        <v>-1300</v>
      </c>
      <c r="CY64" s="50" t="n">
        <v>-1300</v>
      </c>
      <c r="CZ64" s="50" t="n">
        <v>-1300</v>
      </c>
      <c r="DA64" s="50" t="n">
        <v>-1300</v>
      </c>
      <c r="DB64" s="50" t="n">
        <v>-1300</v>
      </c>
      <c r="DC64" s="50" t="n">
        <v>-1300</v>
      </c>
      <c r="DD64" s="50" t="n">
        <v>-1300</v>
      </c>
      <c r="DE64" s="50" t="n">
        <v>-1300</v>
      </c>
      <c r="DF64" s="50" t="n">
        <v>-1300</v>
      </c>
      <c r="DG64" s="50" t="n">
        <v>-1300</v>
      </c>
      <c r="DH64" s="50" t="n">
        <v>-1300</v>
      </c>
      <c r="DI64" s="50" t="n">
        <v>-1300</v>
      </c>
      <c r="DJ64" s="50" t="n">
        <v>-1300</v>
      </c>
      <c r="DK64" s="50" t="n">
        <v>-1300</v>
      </c>
      <c r="DL64" s="50" t="n">
        <v>-1300</v>
      </c>
      <c r="DM64" s="50" t="n">
        <v>-1300</v>
      </c>
      <c r="DN64" s="50" t="n">
        <v>-1300</v>
      </c>
      <c r="DO64" s="50" t="n">
        <v>-1300</v>
      </c>
      <c r="DP64" s="50" t="n">
        <v>-1300</v>
      </c>
      <c r="DQ64" s="50" t="n">
        <v>-1300</v>
      </c>
      <c r="DR64" s="50" t="n">
        <v>-1300</v>
      </c>
      <c r="DS64" s="50" t="n">
        <v>0</v>
      </c>
      <c r="DT64" s="50" t="n">
        <v>0</v>
      </c>
      <c r="DU64" s="50" t="n">
        <v>0</v>
      </c>
      <c r="DV64" s="50" t="n">
        <v>0</v>
      </c>
      <c r="DW64" s="50" t="n">
        <v>0</v>
      </c>
      <c r="DX64" s="50" t="n">
        <v>0</v>
      </c>
      <c r="DY64" s="50" t="n">
        <v>0</v>
      </c>
      <c r="DZ64" s="50" t="n">
        <v>0</v>
      </c>
      <c r="EA64" s="50" t="n">
        <v>0</v>
      </c>
      <c r="EB64" s="50" t="n">
        <v>0</v>
      </c>
      <c r="EC64" s="50" t="n">
        <v>0</v>
      </c>
      <c r="ED64" s="50" t="n">
        <v>0</v>
      </c>
      <c r="EE64" s="50" t="n">
        <v>0</v>
      </c>
      <c r="EF64" s="50" t="n">
        <v>0</v>
      </c>
      <c r="EG64" s="50" t="n">
        <v>0</v>
      </c>
      <c r="EH64" s="50" t="n">
        <v>0</v>
      </c>
      <c r="EI64" s="50" t="n">
        <v>0</v>
      </c>
      <c r="EJ64" s="50" t="n">
        <v>0</v>
      </c>
      <c r="EK64" s="50" t="n">
        <v>0</v>
      </c>
      <c r="EL64" s="50" t="n">
        <v>0</v>
      </c>
      <c r="EM64" s="50" t="n">
        <v>0</v>
      </c>
      <c r="EN64" s="51" t="n">
        <v>0</v>
      </c>
      <c r="EO64" s="50" t="n">
        <v>0</v>
      </c>
      <c r="EP64" s="50" t="n">
        <v>0</v>
      </c>
      <c r="EQ64" s="50" t="n">
        <v>0</v>
      </c>
      <c r="ER64" s="50" t="n">
        <v>0</v>
      </c>
      <c r="ES64" s="50" t="n">
        <v>0</v>
      </c>
      <c r="ET64" s="50" t="n">
        <v>0</v>
      </c>
      <c r="EU64" s="50" t="n">
        <v>0</v>
      </c>
      <c r="EV64" s="50" t="n">
        <v>0</v>
      </c>
      <c r="EX64" s="47" t="n">
        <v>4750</v>
      </c>
      <c r="EY64" s="47" t="n">
        <v>4750</v>
      </c>
      <c r="EZ64" s="47" t="n">
        <v>4750</v>
      </c>
      <c r="FA64" s="47" t="n">
        <v>4750</v>
      </c>
      <c r="FB64" s="47" t="n">
        <v>4750</v>
      </c>
      <c r="FC64" s="47" t="n">
        <v>4750</v>
      </c>
      <c r="FD64" s="47" t="n">
        <v>6000</v>
      </c>
      <c r="FE64" s="47" t="n">
        <v>6000</v>
      </c>
      <c r="FF64" s="47" t="n">
        <v>6000</v>
      </c>
      <c r="FG64" s="47" t="n">
        <v>6000</v>
      </c>
      <c r="FH64" s="47" t="n">
        <v>6000</v>
      </c>
      <c r="FI64" s="47" t="n">
        <v>6000</v>
      </c>
      <c r="FJ64" s="47" t="n">
        <v>6000</v>
      </c>
      <c r="FK64" s="47" t="n">
        <v>6000</v>
      </c>
      <c r="FL64" s="47" t="n">
        <v>6000</v>
      </c>
      <c r="FM64" s="47" t="n">
        <v>6000</v>
      </c>
      <c r="FN64" s="47" t="n">
        <v>6000</v>
      </c>
      <c r="FO64" s="47" t="n">
        <v>6000</v>
      </c>
      <c r="FP64" s="47" t="n">
        <v>1300</v>
      </c>
      <c r="FQ64" s="47" t="n">
        <v>1300</v>
      </c>
      <c r="FR64" s="47" t="n">
        <v>1300</v>
      </c>
      <c r="FS64" s="47" t="n">
        <v>1300</v>
      </c>
      <c r="FT64" s="47" t="n">
        <v>1300</v>
      </c>
      <c r="FU64" s="47" t="n">
        <v>1300</v>
      </c>
      <c r="FV64" s="47" t="n">
        <v>1300</v>
      </c>
      <c r="FW64" s="47" t="n">
        <v>1300</v>
      </c>
      <c r="FX64" s="47" t="n">
        <v>1300</v>
      </c>
      <c r="FY64" s="47" t="n">
        <v>1300</v>
      </c>
      <c r="FZ64" s="47" t="n">
        <v>1300</v>
      </c>
      <c r="GA64" s="47" t="n">
        <v>1300</v>
      </c>
      <c r="GB64" s="47" t="n">
        <v>1300</v>
      </c>
      <c r="GC64" s="47" t="n">
        <v>1300</v>
      </c>
      <c r="GD64" s="47" t="n">
        <v>1300</v>
      </c>
      <c r="GE64" s="47" t="n">
        <v>1300</v>
      </c>
      <c r="GF64" s="47" t="n">
        <v>1300</v>
      </c>
      <c r="GG64" s="47" t="n">
        <v>1300</v>
      </c>
      <c r="GH64" s="47" t="n">
        <v>1300</v>
      </c>
      <c r="GI64" s="47" t="n">
        <v>1300</v>
      </c>
      <c r="GJ64" s="47" t="n">
        <v>1300</v>
      </c>
      <c r="GK64" s="47" t="n">
        <v>1300</v>
      </c>
      <c r="GL64" s="47" t="n">
        <v>1300</v>
      </c>
      <c r="GM64" s="47" t="n">
        <v>1300</v>
      </c>
      <c r="GN64" s="47" t="n">
        <v>0</v>
      </c>
      <c r="GO64" s="47" t="n">
        <v>0</v>
      </c>
      <c r="GP64" s="47" t="n">
        <v>0</v>
      </c>
      <c r="GQ64" s="47" t="n">
        <v>0</v>
      </c>
      <c r="GR64" s="47" t="n">
        <v>0</v>
      </c>
      <c r="GS64" s="47" t="n">
        <v>0</v>
      </c>
      <c r="GT64" s="47" t="n">
        <v>0</v>
      </c>
      <c r="GU64" s="47" t="n">
        <v>0</v>
      </c>
      <c r="GV64" s="47" t="n">
        <v>0</v>
      </c>
      <c r="GW64" s="47" t="n">
        <v>0</v>
      </c>
      <c r="GX64" s="47" t="n">
        <v>0</v>
      </c>
      <c r="GY64" s="47" t="n">
        <v>0</v>
      </c>
      <c r="GZ64" s="47" t="n">
        <v>0</v>
      </c>
      <c r="HA64" s="47" t="n">
        <v>0</v>
      </c>
      <c r="HB64" s="47" t="n">
        <v>0</v>
      </c>
      <c r="HC64" s="47" t="n">
        <v>0</v>
      </c>
      <c r="HD64" s="47" t="n">
        <v>0</v>
      </c>
      <c r="HE64" s="47" t="n">
        <v>0</v>
      </c>
      <c r="HF64" s="47" t="n">
        <v>0</v>
      </c>
      <c r="HG64" s="47" t="n">
        <v>0</v>
      </c>
      <c r="HH64" s="47" t="n">
        <v>0</v>
      </c>
      <c r="HI64" s="48" t="n">
        <v>0</v>
      </c>
      <c r="HJ64" s="47" t="n">
        <v>0</v>
      </c>
      <c r="HK64" s="47" t="n">
        <v>0</v>
      </c>
      <c r="HL64" s="47" t="n">
        <v>0</v>
      </c>
      <c r="HM64" s="47" t="n">
        <v>0</v>
      </c>
      <c r="HN64" s="47" t="n">
        <v>0</v>
      </c>
      <c r="HO64" s="47" t="n">
        <v>0</v>
      </c>
      <c r="HP64" s="47" t="n">
        <v>0</v>
      </c>
      <c r="HQ64" s="47" t="n">
        <v>0</v>
      </c>
      <c r="HS64" s="47" t="n">
        <v>0</v>
      </c>
      <c r="HT64" s="47" t="n">
        <v>0</v>
      </c>
      <c r="HU64" s="47" t="n">
        <v>0</v>
      </c>
      <c r="HV64" s="47" t="n">
        <v>0</v>
      </c>
      <c r="HW64" s="47" t="n">
        <v>0</v>
      </c>
      <c r="HX64" s="47" t="n">
        <v>0</v>
      </c>
      <c r="HY64" s="47" t="n">
        <v>0</v>
      </c>
      <c r="HZ64" s="47" t="n">
        <v>0</v>
      </c>
      <c r="IA64" s="47" t="n">
        <v>0</v>
      </c>
      <c r="IB64" s="47" t="n">
        <v>0</v>
      </c>
      <c r="IC64" s="47" t="n">
        <v>0</v>
      </c>
      <c r="ID64" s="47" t="n">
        <v>0</v>
      </c>
      <c r="IE64" s="47" t="n">
        <v>0</v>
      </c>
      <c r="IF64" s="47" t="n">
        <v>0</v>
      </c>
      <c r="IG64" s="47" t="n">
        <v>0</v>
      </c>
      <c r="IH64" s="47" t="n">
        <v>0</v>
      </c>
      <c r="II64" s="47" t="n">
        <v>0</v>
      </c>
      <c r="IJ64" s="47" t="n">
        <v>0</v>
      </c>
      <c r="IK64" s="47" t="n">
        <v>0</v>
      </c>
      <c r="IL64" s="47" t="n">
        <v>0</v>
      </c>
      <c r="IM64" s="47" t="n">
        <v>0</v>
      </c>
      <c r="IN64" s="47" t="n">
        <v>0</v>
      </c>
      <c r="IO64" s="47" t="n">
        <v>0</v>
      </c>
      <c r="IP64" s="47" t="n">
        <v>0</v>
      </c>
      <c r="IQ64" s="47" t="n">
        <v>0</v>
      </c>
      <c r="IR64" s="47" t="n">
        <v>0</v>
      </c>
      <c r="IS64" s="47" t="n">
        <v>0</v>
      </c>
      <c r="IT64" s="47" t="n">
        <v>0</v>
      </c>
      <c r="IU64" s="47" t="n">
        <v>0</v>
      </c>
      <c r="IV64" s="47" t="n">
        <v>0</v>
      </c>
      <c r="IW64" s="47" t="n">
        <v>0</v>
      </c>
      <c r="IX64" s="47" t="n">
        <v>0</v>
      </c>
      <c r="IY64" s="47" t="n">
        <v>0</v>
      </c>
      <c r="IZ64" s="47" t="n">
        <v>0</v>
      </c>
      <c r="JA64" s="47" t="n">
        <v>0</v>
      </c>
      <c r="JB64" s="47" t="n">
        <v>0</v>
      </c>
      <c r="JC64" s="47" t="n">
        <v>0</v>
      </c>
      <c r="JD64" s="47" t="n">
        <v>0</v>
      </c>
      <c r="JE64" s="47" t="n">
        <v>0</v>
      </c>
      <c r="JF64" s="47" t="n">
        <v>0</v>
      </c>
      <c r="JG64" s="47" t="n">
        <v>0</v>
      </c>
      <c r="JH64" s="47" t="n">
        <v>0</v>
      </c>
      <c r="JI64" s="47" t="n">
        <v>0</v>
      </c>
      <c r="JJ64" s="47" t="n">
        <v>0</v>
      </c>
      <c r="JK64" s="47" t="n">
        <v>0</v>
      </c>
      <c r="JL64" s="47" t="n">
        <v>0</v>
      </c>
      <c r="JM64" s="47" t="n">
        <v>0</v>
      </c>
      <c r="JN64" s="47" t="n">
        <v>0</v>
      </c>
      <c r="JO64" s="47" t="n">
        <v>0</v>
      </c>
      <c r="JP64" s="47" t="n">
        <v>0</v>
      </c>
      <c r="JQ64" s="47" t="n">
        <v>0</v>
      </c>
      <c r="JR64" s="47" t="n">
        <v>0</v>
      </c>
      <c r="JS64" s="47" t="n">
        <v>0</v>
      </c>
      <c r="JT64" s="47" t="n">
        <v>0</v>
      </c>
      <c r="JU64" s="47" t="n">
        <v>0</v>
      </c>
      <c r="JV64" s="47" t="n">
        <v>0</v>
      </c>
      <c r="JW64" s="47" t="n">
        <v>0</v>
      </c>
      <c r="JX64" s="47" t="n">
        <v>0</v>
      </c>
      <c r="JY64" s="47" t="n">
        <v>0</v>
      </c>
      <c r="JZ64" s="47" t="n">
        <v>0</v>
      </c>
      <c r="KA64" s="47" t="n">
        <v>0</v>
      </c>
      <c r="KB64" s="47" t="n">
        <v>0</v>
      </c>
      <c r="KC64" s="47" t="n">
        <v>0</v>
      </c>
      <c r="KD64" s="48" t="n">
        <v>0</v>
      </c>
      <c r="KE64" s="47" t="n">
        <v>0</v>
      </c>
      <c r="KF64" s="47" t="n">
        <v>0</v>
      </c>
      <c r="KG64" s="47" t="n">
        <v>0</v>
      </c>
      <c r="KH64" s="47" t="n">
        <v>0</v>
      </c>
      <c r="KI64" s="47" t="n">
        <v>0</v>
      </c>
      <c r="KJ64" s="47" t="n">
        <v>0</v>
      </c>
      <c r="KK64" s="47" t="n">
        <v>0</v>
      </c>
      <c r="KL64" s="47" t="n">
        <v>0</v>
      </c>
    </row>
    <row r="65" customFormat="false" ht="15.75" hidden="false" customHeight="true" outlineLevel="0" collapsed="false">
      <c r="A65" s="35" t="s">
        <v>295</v>
      </c>
      <c r="B65" s="35" t="s">
        <v>296</v>
      </c>
      <c r="C65" s="35" t="s">
        <v>164</v>
      </c>
      <c r="D65" s="35" t="s">
        <v>180</v>
      </c>
      <c r="E65" s="35" t="s">
        <v>166</v>
      </c>
      <c r="G65" s="44" t="n">
        <v>0</v>
      </c>
      <c r="H65" s="44" t="n">
        <v>0</v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937.5</v>
      </c>
      <c r="U65" s="44" t="n">
        <v>937.5</v>
      </c>
      <c r="V65" s="44" t="n">
        <v>937.5</v>
      </c>
      <c r="W65" s="44" t="n">
        <v>937.5</v>
      </c>
      <c r="X65" s="44" t="n">
        <v>937.5</v>
      </c>
      <c r="Y65" s="44" t="n">
        <v>937.5</v>
      </c>
      <c r="Z65" s="44" t="n">
        <v>937.5</v>
      </c>
      <c r="AA65" s="44" t="n">
        <v>937.5</v>
      </c>
      <c r="AB65" s="44" t="n">
        <v>937.5</v>
      </c>
      <c r="AC65" s="44" t="n">
        <v>937.5</v>
      </c>
      <c r="AD65" s="44" t="n">
        <v>937.5</v>
      </c>
      <c r="AE65" s="44" t="n">
        <v>937.5</v>
      </c>
      <c r="AF65" s="44" t="n">
        <v>600</v>
      </c>
      <c r="AG65" s="44" t="n">
        <v>600</v>
      </c>
      <c r="AH65" s="44" t="n">
        <v>600</v>
      </c>
      <c r="AI65" s="44" t="n">
        <v>600</v>
      </c>
      <c r="AJ65" s="44" t="n">
        <v>600</v>
      </c>
      <c r="AK65" s="44" t="n">
        <v>600</v>
      </c>
      <c r="AL65" s="44" t="n">
        <v>600</v>
      </c>
      <c r="AM65" s="44" t="n">
        <v>600</v>
      </c>
      <c r="AN65" s="44" t="n">
        <v>600</v>
      </c>
      <c r="AO65" s="44" t="n">
        <v>600</v>
      </c>
      <c r="AP65" s="44" t="n">
        <v>900</v>
      </c>
      <c r="AQ65" s="44" t="n">
        <v>900</v>
      </c>
      <c r="AR65" s="44" t="n">
        <v>900</v>
      </c>
      <c r="AS65" s="44" t="n">
        <v>900</v>
      </c>
      <c r="AT65" s="44" t="n">
        <v>900</v>
      </c>
      <c r="AU65" s="44" t="n">
        <v>900</v>
      </c>
      <c r="AV65" s="44" t="n">
        <v>900</v>
      </c>
      <c r="AW65" s="44" t="n">
        <v>900</v>
      </c>
      <c r="AX65" s="44" t="n">
        <v>900</v>
      </c>
      <c r="AY65" s="44" t="n">
        <v>900</v>
      </c>
      <c r="AZ65" s="44" t="n">
        <v>900</v>
      </c>
      <c r="BA65" s="44" t="n">
        <v>900</v>
      </c>
      <c r="BB65" s="44" t="n">
        <v>900</v>
      </c>
      <c r="BC65" s="44" t="n">
        <v>900</v>
      </c>
      <c r="BD65" s="44" t="n">
        <v>0</v>
      </c>
      <c r="BE65" s="44" t="n">
        <v>0</v>
      </c>
      <c r="BF65" s="44" t="n">
        <v>0</v>
      </c>
      <c r="BG65" s="44" t="n">
        <v>0</v>
      </c>
      <c r="BH65" s="44" t="n">
        <v>0</v>
      </c>
      <c r="BI65" s="44" t="n">
        <v>0</v>
      </c>
      <c r="BJ65" s="44" t="n">
        <v>0</v>
      </c>
      <c r="BK65" s="44" t="n">
        <v>0</v>
      </c>
      <c r="BL65" s="44" t="n">
        <v>0</v>
      </c>
      <c r="BM65" s="44" t="n">
        <v>0</v>
      </c>
      <c r="BN65" s="44" t="n">
        <v>0</v>
      </c>
      <c r="BO65" s="44" t="n">
        <v>0</v>
      </c>
      <c r="BP65" s="44" t="n">
        <v>0</v>
      </c>
      <c r="BQ65" s="44" t="n">
        <v>0</v>
      </c>
      <c r="BR65" s="45" t="n">
        <v>0</v>
      </c>
      <c r="BS65" s="46" t="n">
        <v>0</v>
      </c>
      <c r="BT65" s="46" t="n">
        <v>0</v>
      </c>
      <c r="BU65" s="46" t="n">
        <v>0</v>
      </c>
      <c r="BV65" s="46" t="n">
        <v>0</v>
      </c>
      <c r="BW65" s="46" t="n">
        <v>0</v>
      </c>
      <c r="BX65" s="46" t="n">
        <v>0</v>
      </c>
      <c r="BY65" s="46" t="n">
        <v>0</v>
      </c>
      <c r="BZ65" s="46" t="n">
        <v>0</v>
      </c>
      <c r="CB65" s="52" t="s">
        <v>184</v>
      </c>
      <c r="CC65" s="50" t="n">
        <v>0</v>
      </c>
      <c r="CD65" s="50" t="n">
        <v>0</v>
      </c>
      <c r="CE65" s="50" t="n">
        <v>0</v>
      </c>
      <c r="CF65" s="50" t="n">
        <v>0</v>
      </c>
      <c r="CG65" s="50" t="n">
        <v>0</v>
      </c>
      <c r="CH65" s="50" t="n">
        <v>0</v>
      </c>
      <c r="CI65" s="50" t="n">
        <v>0</v>
      </c>
      <c r="CJ65" s="50" t="n">
        <v>0</v>
      </c>
      <c r="CK65" s="50" t="n">
        <v>0</v>
      </c>
      <c r="CL65" s="50" t="n">
        <v>0</v>
      </c>
      <c r="CM65" s="50" t="n">
        <v>0</v>
      </c>
      <c r="CN65" s="50" t="n">
        <v>0</v>
      </c>
      <c r="CO65" s="50" t="n">
        <v>0</v>
      </c>
      <c r="CP65" s="50" t="n">
        <v>-937.5</v>
      </c>
      <c r="CQ65" s="50" t="n">
        <v>-937.5</v>
      </c>
      <c r="CR65" s="50" t="n">
        <v>-937.5</v>
      </c>
      <c r="CS65" s="50" t="n">
        <v>-937.5</v>
      </c>
      <c r="CT65" s="50" t="n">
        <v>-937.5</v>
      </c>
      <c r="CU65" s="50" t="n">
        <v>-937.5</v>
      </c>
      <c r="CV65" s="50" t="n">
        <v>-937.5</v>
      </c>
      <c r="CW65" s="50" t="n">
        <v>-937.5</v>
      </c>
      <c r="CX65" s="50" t="n">
        <v>-937.5</v>
      </c>
      <c r="CY65" s="50" t="n">
        <v>-937.5</v>
      </c>
      <c r="CZ65" s="50" t="n">
        <v>-937.5</v>
      </c>
      <c r="DA65" s="50" t="n">
        <v>-937.5</v>
      </c>
      <c r="DB65" s="50" t="n">
        <v>-600</v>
      </c>
      <c r="DC65" s="50" t="n">
        <v>-600</v>
      </c>
      <c r="DD65" s="50" t="n">
        <v>-600</v>
      </c>
      <c r="DE65" s="50" t="n">
        <v>-600</v>
      </c>
      <c r="DF65" s="50" t="n">
        <v>-600</v>
      </c>
      <c r="DG65" s="50" t="n">
        <v>-600</v>
      </c>
      <c r="DH65" s="50" t="n">
        <v>-600</v>
      </c>
      <c r="DI65" s="50" t="n">
        <v>-600</v>
      </c>
      <c r="DJ65" s="50" t="n">
        <v>-600</v>
      </c>
      <c r="DK65" s="50" t="n">
        <v>-600</v>
      </c>
      <c r="DL65" s="50" t="n">
        <v>-900</v>
      </c>
      <c r="DM65" s="50" t="n">
        <v>-900</v>
      </c>
      <c r="DN65" s="50" t="n">
        <v>-900</v>
      </c>
      <c r="DO65" s="50" t="n">
        <v>-900</v>
      </c>
      <c r="DP65" s="50" t="n">
        <v>-900</v>
      </c>
      <c r="DQ65" s="50" t="n">
        <v>-900</v>
      </c>
      <c r="DR65" s="50" t="n">
        <v>-900</v>
      </c>
      <c r="DS65" s="50" t="n">
        <v>-900</v>
      </c>
      <c r="DT65" s="50" t="n">
        <v>-900</v>
      </c>
      <c r="DU65" s="50" t="n">
        <v>-900</v>
      </c>
      <c r="DV65" s="50" t="n">
        <v>-900</v>
      </c>
      <c r="DW65" s="50" t="n">
        <v>-900</v>
      </c>
      <c r="DX65" s="50" t="n">
        <v>-900</v>
      </c>
      <c r="DY65" s="50" t="n">
        <v>-900</v>
      </c>
      <c r="DZ65" s="50" t="n">
        <v>0</v>
      </c>
      <c r="EA65" s="50" t="n">
        <v>0</v>
      </c>
      <c r="EB65" s="50" t="n">
        <v>0</v>
      </c>
      <c r="EC65" s="50" t="n">
        <v>0</v>
      </c>
      <c r="ED65" s="50" t="n">
        <v>0</v>
      </c>
      <c r="EE65" s="50" t="n">
        <v>0</v>
      </c>
      <c r="EF65" s="50" t="n">
        <v>0</v>
      </c>
      <c r="EG65" s="50" t="n">
        <v>0</v>
      </c>
      <c r="EH65" s="50" t="n">
        <v>0</v>
      </c>
      <c r="EI65" s="50" t="n">
        <v>0</v>
      </c>
      <c r="EJ65" s="50" t="n">
        <v>0</v>
      </c>
      <c r="EK65" s="50" t="n">
        <v>0</v>
      </c>
      <c r="EL65" s="50" t="n">
        <v>0</v>
      </c>
      <c r="EM65" s="50" t="n">
        <v>0</v>
      </c>
      <c r="EN65" s="51" t="n">
        <v>0</v>
      </c>
      <c r="EO65" s="50" t="n">
        <v>0</v>
      </c>
      <c r="EP65" s="50" t="n">
        <v>0</v>
      </c>
      <c r="EQ65" s="50" t="n">
        <v>0</v>
      </c>
      <c r="ER65" s="50" t="n">
        <v>0</v>
      </c>
      <c r="ES65" s="50" t="n">
        <v>0</v>
      </c>
      <c r="ET65" s="50" t="n">
        <v>0</v>
      </c>
      <c r="EU65" s="50" t="n">
        <v>0</v>
      </c>
      <c r="EV65" s="50" t="n">
        <v>0</v>
      </c>
      <c r="EX65" s="47" t="n">
        <v>0</v>
      </c>
      <c r="EY65" s="47" t="n">
        <v>0</v>
      </c>
      <c r="EZ65" s="47" t="n">
        <v>0</v>
      </c>
      <c r="FA65" s="47" t="n">
        <v>0</v>
      </c>
      <c r="FB65" s="47" t="n">
        <v>0</v>
      </c>
      <c r="FC65" s="47" t="n">
        <v>0</v>
      </c>
      <c r="FD65" s="47" t="n">
        <v>0</v>
      </c>
      <c r="FE65" s="47" t="n">
        <v>0</v>
      </c>
      <c r="FF65" s="47" t="n">
        <v>0</v>
      </c>
      <c r="FG65" s="47" t="n">
        <v>0</v>
      </c>
      <c r="FH65" s="47" t="n">
        <v>0</v>
      </c>
      <c r="FI65" s="47" t="n">
        <v>0</v>
      </c>
      <c r="FJ65" s="47" t="n">
        <v>0</v>
      </c>
      <c r="FK65" s="47" t="n">
        <v>937.5</v>
      </c>
      <c r="FL65" s="47" t="n">
        <v>937.5</v>
      </c>
      <c r="FM65" s="47" t="n">
        <v>937.5</v>
      </c>
      <c r="FN65" s="47" t="n">
        <v>937.5</v>
      </c>
      <c r="FO65" s="47" t="n">
        <v>937.5</v>
      </c>
      <c r="FP65" s="47" t="n">
        <v>937.5</v>
      </c>
      <c r="FQ65" s="47" t="n">
        <v>937.5</v>
      </c>
      <c r="FR65" s="47" t="n">
        <v>937.5</v>
      </c>
      <c r="FS65" s="47" t="n">
        <v>937.5</v>
      </c>
      <c r="FT65" s="47" t="n">
        <v>937.5</v>
      </c>
      <c r="FU65" s="47" t="n">
        <v>937.5</v>
      </c>
      <c r="FV65" s="47" t="n">
        <v>937.5</v>
      </c>
      <c r="FW65" s="47" t="n">
        <v>600</v>
      </c>
      <c r="FX65" s="47" t="n">
        <v>600</v>
      </c>
      <c r="FY65" s="47" t="n">
        <v>600</v>
      </c>
      <c r="FZ65" s="47" t="n">
        <v>600</v>
      </c>
      <c r="GA65" s="47" t="n">
        <v>600</v>
      </c>
      <c r="GB65" s="47" t="n">
        <v>600</v>
      </c>
      <c r="GC65" s="47" t="n">
        <v>600</v>
      </c>
      <c r="GD65" s="47" t="n">
        <v>600</v>
      </c>
      <c r="GE65" s="47" t="n">
        <v>600</v>
      </c>
      <c r="GF65" s="47" t="n">
        <v>600</v>
      </c>
      <c r="GG65" s="47" t="n">
        <v>900</v>
      </c>
      <c r="GH65" s="47" t="n">
        <v>900</v>
      </c>
      <c r="GI65" s="47" t="n">
        <v>900</v>
      </c>
      <c r="GJ65" s="47" t="n">
        <v>900</v>
      </c>
      <c r="GK65" s="47" t="n">
        <v>900</v>
      </c>
      <c r="GL65" s="47" t="n">
        <v>900</v>
      </c>
      <c r="GM65" s="47" t="n">
        <v>900</v>
      </c>
      <c r="GN65" s="47" t="n">
        <v>900</v>
      </c>
      <c r="GO65" s="47" t="n">
        <v>900</v>
      </c>
      <c r="GP65" s="47" t="n">
        <v>900</v>
      </c>
      <c r="GQ65" s="47" t="n">
        <v>900</v>
      </c>
      <c r="GR65" s="47" t="n">
        <v>900</v>
      </c>
      <c r="GS65" s="47" t="n">
        <v>900</v>
      </c>
      <c r="GT65" s="47" t="n">
        <v>900</v>
      </c>
      <c r="GU65" s="47" t="n">
        <v>0</v>
      </c>
      <c r="GV65" s="47" t="n">
        <v>0</v>
      </c>
      <c r="GW65" s="47" t="n">
        <v>0</v>
      </c>
      <c r="GX65" s="47" t="n">
        <v>0</v>
      </c>
      <c r="GY65" s="47" t="n">
        <v>0</v>
      </c>
      <c r="GZ65" s="47" t="n">
        <v>0</v>
      </c>
      <c r="HA65" s="47" t="n">
        <v>0</v>
      </c>
      <c r="HB65" s="47" t="n">
        <v>0</v>
      </c>
      <c r="HC65" s="47" t="n">
        <v>0</v>
      </c>
      <c r="HD65" s="47" t="n">
        <v>0</v>
      </c>
      <c r="HE65" s="47" t="n">
        <v>0</v>
      </c>
      <c r="HF65" s="47" t="n">
        <v>0</v>
      </c>
      <c r="HG65" s="47" t="n">
        <v>0</v>
      </c>
      <c r="HH65" s="47" t="n">
        <v>0</v>
      </c>
      <c r="HI65" s="48" t="n">
        <v>0</v>
      </c>
      <c r="HJ65" s="47" t="n">
        <v>0</v>
      </c>
      <c r="HK65" s="47" t="n">
        <v>0</v>
      </c>
      <c r="HL65" s="47" t="n">
        <v>0</v>
      </c>
      <c r="HM65" s="47" t="n">
        <v>0</v>
      </c>
      <c r="HN65" s="47" t="n">
        <v>0</v>
      </c>
      <c r="HO65" s="47" t="n">
        <v>0</v>
      </c>
      <c r="HP65" s="47" t="n">
        <v>0</v>
      </c>
      <c r="HQ65" s="47" t="n">
        <v>0</v>
      </c>
      <c r="HS65" s="47" t="n">
        <v>0</v>
      </c>
      <c r="HT65" s="47" t="n">
        <v>0</v>
      </c>
      <c r="HU65" s="47" t="n">
        <v>0</v>
      </c>
      <c r="HV65" s="47" t="n">
        <v>0</v>
      </c>
      <c r="HW65" s="47" t="n">
        <v>0</v>
      </c>
      <c r="HX65" s="47" t="n">
        <v>0</v>
      </c>
      <c r="HY65" s="47" t="n">
        <v>0</v>
      </c>
      <c r="HZ65" s="47" t="n">
        <v>0</v>
      </c>
      <c r="IA65" s="47" t="n">
        <v>0</v>
      </c>
      <c r="IB65" s="47" t="n">
        <v>0</v>
      </c>
      <c r="IC65" s="47" t="n">
        <v>0</v>
      </c>
      <c r="ID65" s="47" t="n">
        <v>0</v>
      </c>
      <c r="IE65" s="47" t="n">
        <v>0</v>
      </c>
      <c r="IF65" s="47" t="n">
        <v>0</v>
      </c>
      <c r="IG65" s="47" t="n">
        <v>0</v>
      </c>
      <c r="IH65" s="47" t="n">
        <v>0</v>
      </c>
      <c r="II65" s="47" t="n">
        <v>0</v>
      </c>
      <c r="IJ65" s="47" t="n">
        <v>0</v>
      </c>
      <c r="IK65" s="47" t="n">
        <v>0</v>
      </c>
      <c r="IL65" s="47" t="n">
        <v>0</v>
      </c>
      <c r="IM65" s="47" t="n">
        <v>0</v>
      </c>
      <c r="IN65" s="47" t="n">
        <v>0</v>
      </c>
      <c r="IO65" s="47" t="n">
        <v>0</v>
      </c>
      <c r="IP65" s="47" t="n">
        <v>0</v>
      </c>
      <c r="IQ65" s="47" t="n">
        <v>0</v>
      </c>
      <c r="IR65" s="47" t="n">
        <v>0</v>
      </c>
      <c r="IS65" s="47" t="n">
        <v>0</v>
      </c>
      <c r="IT65" s="47" t="n">
        <v>0</v>
      </c>
      <c r="IU65" s="47" t="n">
        <v>0</v>
      </c>
      <c r="IV65" s="47" t="n">
        <v>0</v>
      </c>
      <c r="IW65" s="47" t="n">
        <v>0</v>
      </c>
      <c r="IX65" s="47" t="n">
        <v>0</v>
      </c>
      <c r="IY65" s="47" t="n">
        <v>0</v>
      </c>
      <c r="IZ65" s="47" t="n">
        <v>0</v>
      </c>
      <c r="JA65" s="47" t="n">
        <v>0</v>
      </c>
      <c r="JB65" s="47" t="n">
        <v>0</v>
      </c>
      <c r="JC65" s="47" t="n">
        <v>0</v>
      </c>
      <c r="JD65" s="47" t="n">
        <v>0</v>
      </c>
      <c r="JE65" s="47" t="n">
        <v>0</v>
      </c>
      <c r="JF65" s="47" t="n">
        <v>0</v>
      </c>
      <c r="JG65" s="47" t="n">
        <v>0</v>
      </c>
      <c r="JH65" s="47" t="n">
        <v>0</v>
      </c>
      <c r="JI65" s="47" t="n">
        <v>0</v>
      </c>
      <c r="JJ65" s="47" t="n">
        <v>0</v>
      </c>
      <c r="JK65" s="47" t="n">
        <v>0</v>
      </c>
      <c r="JL65" s="47" t="n">
        <v>0</v>
      </c>
      <c r="JM65" s="47" t="n">
        <v>0</v>
      </c>
      <c r="JN65" s="47" t="n">
        <v>0</v>
      </c>
      <c r="JO65" s="47" t="n">
        <v>0</v>
      </c>
      <c r="JP65" s="47" t="n">
        <v>0</v>
      </c>
      <c r="JQ65" s="47" t="n">
        <v>0</v>
      </c>
      <c r="JR65" s="47" t="n">
        <v>0</v>
      </c>
      <c r="JS65" s="47" t="n">
        <v>0</v>
      </c>
      <c r="JT65" s="47" t="n">
        <v>0</v>
      </c>
      <c r="JU65" s="47" t="n">
        <v>0</v>
      </c>
      <c r="JV65" s="47" t="n">
        <v>0</v>
      </c>
      <c r="JW65" s="47" t="n">
        <v>0</v>
      </c>
      <c r="JX65" s="47" t="n">
        <v>0</v>
      </c>
      <c r="JY65" s="47" t="n">
        <v>0</v>
      </c>
      <c r="JZ65" s="47" t="n">
        <v>0</v>
      </c>
      <c r="KA65" s="47" t="n">
        <v>0</v>
      </c>
      <c r="KB65" s="47" t="n">
        <v>0</v>
      </c>
      <c r="KC65" s="47" t="n">
        <v>0</v>
      </c>
      <c r="KD65" s="48" t="n">
        <v>0</v>
      </c>
      <c r="KE65" s="47" t="n">
        <v>0</v>
      </c>
      <c r="KF65" s="47" t="n">
        <v>0</v>
      </c>
      <c r="KG65" s="47" t="n">
        <v>0</v>
      </c>
      <c r="KH65" s="47" t="n">
        <v>0</v>
      </c>
      <c r="KI65" s="47" t="n">
        <v>0</v>
      </c>
      <c r="KJ65" s="47" t="n">
        <v>0</v>
      </c>
      <c r="KK65" s="47" t="n">
        <v>0</v>
      </c>
      <c r="KL65" s="47" t="n">
        <v>0</v>
      </c>
    </row>
    <row r="66" customFormat="false" ht="15.75" hidden="false" customHeight="true" outlineLevel="0" collapsed="false">
      <c r="A66" s="35" t="s">
        <v>297</v>
      </c>
      <c r="B66" s="35" t="s">
        <v>298</v>
      </c>
      <c r="C66" s="35" t="s">
        <v>164</v>
      </c>
      <c r="D66" s="35" t="s">
        <v>165</v>
      </c>
      <c r="E66" s="35" t="s">
        <v>174</v>
      </c>
      <c r="G66" s="44" t="n">
        <v>1050</v>
      </c>
      <c r="H66" s="44" t="n">
        <v>1050</v>
      </c>
      <c r="I66" s="44" t="n">
        <v>1050</v>
      </c>
      <c r="J66" s="44" t="n">
        <v>1050</v>
      </c>
      <c r="K66" s="44" t="n">
        <v>1050</v>
      </c>
      <c r="L66" s="44" t="n">
        <v>1050</v>
      </c>
      <c r="M66" s="44" t="n">
        <v>1200</v>
      </c>
      <c r="N66" s="44" t="n">
        <v>1200</v>
      </c>
      <c r="O66" s="44" t="n">
        <v>1200</v>
      </c>
      <c r="P66" s="44" t="n">
        <v>1200</v>
      </c>
      <c r="Q66" s="44" t="n">
        <v>1200</v>
      </c>
      <c r="R66" s="44" t="n">
        <v>1200</v>
      </c>
      <c r="S66" s="44" t="n">
        <v>1200</v>
      </c>
      <c r="T66" s="44" t="n">
        <v>1200</v>
      </c>
      <c r="U66" s="44" t="n">
        <v>1200</v>
      </c>
      <c r="V66" s="44" t="n">
        <v>1200</v>
      </c>
      <c r="W66" s="44" t="n">
        <v>1200</v>
      </c>
      <c r="X66" s="44" t="n">
        <v>1200</v>
      </c>
      <c r="Y66" s="44" t="n">
        <v>800</v>
      </c>
      <c r="Z66" s="44" t="n">
        <v>800</v>
      </c>
      <c r="AA66" s="44" t="n">
        <v>800</v>
      </c>
      <c r="AB66" s="44" t="n">
        <v>800</v>
      </c>
      <c r="AC66" s="44" t="n">
        <v>800</v>
      </c>
      <c r="AD66" s="44" t="n">
        <v>800</v>
      </c>
      <c r="AE66" s="44" t="n">
        <v>800</v>
      </c>
      <c r="AF66" s="44" t="n">
        <v>800</v>
      </c>
      <c r="AG66" s="44" t="n">
        <v>800</v>
      </c>
      <c r="AH66" s="44" t="n">
        <v>800</v>
      </c>
      <c r="AI66" s="44" t="n">
        <v>800</v>
      </c>
      <c r="AJ66" s="44" t="n">
        <v>800</v>
      </c>
      <c r="AK66" s="44" t="n">
        <v>700</v>
      </c>
      <c r="AL66" s="44" t="n">
        <v>700</v>
      </c>
      <c r="AM66" s="44" t="n">
        <v>700</v>
      </c>
      <c r="AN66" s="44" t="n">
        <v>700</v>
      </c>
      <c r="AO66" s="44" t="n">
        <v>700</v>
      </c>
      <c r="AP66" s="44" t="n">
        <v>700</v>
      </c>
      <c r="AQ66" s="44" t="n">
        <v>700</v>
      </c>
      <c r="AR66" s="44" t="n">
        <v>700</v>
      </c>
      <c r="AS66" s="44" t="n">
        <v>700</v>
      </c>
      <c r="AT66" s="44" t="n">
        <v>700</v>
      </c>
      <c r="AU66" s="44" t="n">
        <v>700</v>
      </c>
      <c r="AV66" s="44" t="n">
        <v>700</v>
      </c>
      <c r="AW66" s="44" t="n">
        <v>700</v>
      </c>
      <c r="AX66" s="44" t="n">
        <v>700</v>
      </c>
      <c r="AY66" s="44" t="n">
        <v>700</v>
      </c>
      <c r="AZ66" s="44" t="n">
        <v>700</v>
      </c>
      <c r="BA66" s="44" t="n">
        <v>700</v>
      </c>
      <c r="BB66" s="44" t="n">
        <v>700</v>
      </c>
      <c r="BC66" s="44" t="n">
        <v>700</v>
      </c>
      <c r="BD66" s="44" t="n">
        <v>700</v>
      </c>
      <c r="BE66" s="44" t="n">
        <v>700</v>
      </c>
      <c r="BF66" s="44" t="n">
        <v>700</v>
      </c>
      <c r="BG66" s="44" t="n">
        <v>700</v>
      </c>
      <c r="BH66" s="44" t="n">
        <v>700</v>
      </c>
      <c r="BI66" s="44" t="n">
        <v>700</v>
      </c>
      <c r="BJ66" s="44" t="n">
        <v>700</v>
      </c>
      <c r="BK66" s="44" t="n">
        <v>700</v>
      </c>
      <c r="BL66" s="44" t="n">
        <v>700</v>
      </c>
      <c r="BM66" s="44" t="n">
        <v>700</v>
      </c>
      <c r="BN66" s="44" t="n">
        <v>700</v>
      </c>
      <c r="BO66" s="44" t="n">
        <v>700</v>
      </c>
      <c r="BP66" s="44" t="n">
        <v>700</v>
      </c>
      <c r="BQ66" s="44" t="n">
        <v>700</v>
      </c>
      <c r="BR66" s="45" t="n">
        <v>700</v>
      </c>
      <c r="BS66" s="46" t="n">
        <v>700</v>
      </c>
      <c r="BT66" s="46" t="n">
        <v>700</v>
      </c>
      <c r="BU66" s="46" t="n">
        <v>700</v>
      </c>
      <c r="BV66" s="46" t="n">
        <v>700</v>
      </c>
      <c r="BW66" s="46" t="n">
        <v>700</v>
      </c>
      <c r="BX66" s="46" t="n">
        <v>700</v>
      </c>
      <c r="BY66" s="46" t="n">
        <v>700</v>
      </c>
      <c r="BZ66" s="46" t="n">
        <v>700</v>
      </c>
      <c r="EX66" s="47" t="n">
        <v>1050</v>
      </c>
      <c r="EY66" s="47" t="n">
        <v>1050</v>
      </c>
      <c r="EZ66" s="47" t="n">
        <v>1050</v>
      </c>
      <c r="FA66" s="47" t="n">
        <v>1050</v>
      </c>
      <c r="FB66" s="47" t="n">
        <v>1050</v>
      </c>
      <c r="FC66" s="47" t="n">
        <v>1050</v>
      </c>
      <c r="FD66" s="47" t="n">
        <v>1200</v>
      </c>
      <c r="FE66" s="47" t="n">
        <v>1200</v>
      </c>
      <c r="FF66" s="47" t="n">
        <v>1200</v>
      </c>
      <c r="FG66" s="47" t="n">
        <v>1200</v>
      </c>
      <c r="FH66" s="47" t="n">
        <v>1200</v>
      </c>
      <c r="FI66" s="47" t="n">
        <v>1200</v>
      </c>
      <c r="FJ66" s="47" t="n">
        <v>1200</v>
      </c>
      <c r="FK66" s="47" t="n">
        <v>1200</v>
      </c>
      <c r="FL66" s="47" t="n">
        <v>1200</v>
      </c>
      <c r="FM66" s="47" t="n">
        <v>1200</v>
      </c>
      <c r="FN66" s="47" t="n">
        <v>1200</v>
      </c>
      <c r="FO66" s="47" t="n">
        <v>1200</v>
      </c>
      <c r="FP66" s="47" t="n">
        <v>800</v>
      </c>
      <c r="FQ66" s="47" t="n">
        <v>800</v>
      </c>
      <c r="FR66" s="47" t="n">
        <v>800</v>
      </c>
      <c r="FS66" s="47" t="n">
        <v>800</v>
      </c>
      <c r="FT66" s="47" t="n">
        <v>800</v>
      </c>
      <c r="FU66" s="47" t="n">
        <v>800</v>
      </c>
      <c r="FV66" s="47" t="n">
        <v>800</v>
      </c>
      <c r="FW66" s="47" t="n">
        <v>800</v>
      </c>
      <c r="FX66" s="47" t="n">
        <v>800</v>
      </c>
      <c r="FY66" s="47" t="n">
        <v>800</v>
      </c>
      <c r="FZ66" s="47" t="n">
        <v>800</v>
      </c>
      <c r="GA66" s="47" t="n">
        <v>800</v>
      </c>
      <c r="GB66" s="47" t="n">
        <v>700</v>
      </c>
      <c r="GC66" s="47" t="n">
        <v>700</v>
      </c>
      <c r="GD66" s="47" t="n">
        <v>700</v>
      </c>
      <c r="GE66" s="47" t="n">
        <v>700</v>
      </c>
      <c r="GF66" s="47" t="n">
        <v>700</v>
      </c>
      <c r="GG66" s="47" t="n">
        <v>700</v>
      </c>
      <c r="GH66" s="47" t="n">
        <v>700</v>
      </c>
      <c r="GI66" s="47" t="n">
        <v>700</v>
      </c>
      <c r="GJ66" s="47" t="n">
        <v>700</v>
      </c>
      <c r="GK66" s="47" t="n">
        <v>700</v>
      </c>
      <c r="GL66" s="47" t="n">
        <v>700</v>
      </c>
      <c r="GM66" s="47" t="n">
        <v>700</v>
      </c>
      <c r="GN66" s="47" t="n">
        <v>700</v>
      </c>
      <c r="GO66" s="47" t="n">
        <v>700</v>
      </c>
      <c r="GP66" s="47" t="n">
        <v>700</v>
      </c>
      <c r="GQ66" s="47" t="n">
        <v>700</v>
      </c>
      <c r="GR66" s="47" t="n">
        <v>700</v>
      </c>
      <c r="GS66" s="47" t="n">
        <v>700</v>
      </c>
      <c r="GT66" s="47" t="n">
        <v>700</v>
      </c>
      <c r="GU66" s="47" t="n">
        <v>700</v>
      </c>
      <c r="GV66" s="47" t="n">
        <v>700</v>
      </c>
      <c r="GW66" s="47" t="n">
        <v>700</v>
      </c>
      <c r="GX66" s="47" t="n">
        <v>700</v>
      </c>
      <c r="GY66" s="47" t="n">
        <v>700</v>
      </c>
      <c r="GZ66" s="47" t="n">
        <v>700</v>
      </c>
      <c r="HA66" s="47" t="n">
        <v>700</v>
      </c>
      <c r="HB66" s="47" t="n">
        <v>700</v>
      </c>
      <c r="HC66" s="47" t="n">
        <v>700</v>
      </c>
      <c r="HD66" s="47" t="n">
        <v>700</v>
      </c>
      <c r="HE66" s="47" t="n">
        <v>700</v>
      </c>
      <c r="HF66" s="47" t="n">
        <v>700</v>
      </c>
      <c r="HG66" s="47" t="n">
        <v>700</v>
      </c>
      <c r="HH66" s="47" t="n">
        <v>700</v>
      </c>
      <c r="HI66" s="48" t="n">
        <v>700</v>
      </c>
      <c r="HJ66" s="47" t="n">
        <v>700</v>
      </c>
      <c r="HK66" s="47" t="n">
        <v>700</v>
      </c>
      <c r="HL66" s="47" t="n">
        <v>700</v>
      </c>
      <c r="HM66" s="47" t="n">
        <v>700</v>
      </c>
      <c r="HN66" s="47" t="n">
        <v>700</v>
      </c>
      <c r="HO66" s="47" t="n">
        <v>700</v>
      </c>
      <c r="HP66" s="47" t="n">
        <v>700</v>
      </c>
      <c r="HQ66" s="47" t="n">
        <v>700</v>
      </c>
      <c r="HS66" s="47" t="n">
        <v>1050</v>
      </c>
      <c r="HT66" s="47" t="n">
        <v>1050</v>
      </c>
      <c r="HU66" s="47" t="n">
        <v>1050</v>
      </c>
      <c r="HV66" s="47" t="n">
        <v>1050</v>
      </c>
      <c r="HW66" s="47" t="n">
        <v>1050</v>
      </c>
      <c r="HX66" s="47" t="n">
        <v>1050</v>
      </c>
      <c r="HY66" s="47" t="n">
        <v>1200</v>
      </c>
      <c r="HZ66" s="47" t="n">
        <v>1200</v>
      </c>
      <c r="IA66" s="47" t="n">
        <v>1200</v>
      </c>
      <c r="IB66" s="47" t="n">
        <v>1200</v>
      </c>
      <c r="IC66" s="47" t="n">
        <v>1200</v>
      </c>
      <c r="ID66" s="47" t="n">
        <v>1200</v>
      </c>
      <c r="IE66" s="47" t="n">
        <v>1200</v>
      </c>
      <c r="IF66" s="47" t="n">
        <v>1200</v>
      </c>
      <c r="IG66" s="47" t="n">
        <v>1200</v>
      </c>
      <c r="IH66" s="47" t="n">
        <v>1200</v>
      </c>
      <c r="II66" s="47" t="n">
        <v>1200</v>
      </c>
      <c r="IJ66" s="47" t="n">
        <v>1200</v>
      </c>
      <c r="IK66" s="47" t="n">
        <v>800</v>
      </c>
      <c r="IL66" s="47" t="n">
        <v>800</v>
      </c>
      <c r="IM66" s="47" t="n">
        <v>800</v>
      </c>
      <c r="IN66" s="47" t="n">
        <v>800</v>
      </c>
      <c r="IO66" s="47" t="n">
        <v>800</v>
      </c>
      <c r="IP66" s="47" t="n">
        <v>800</v>
      </c>
      <c r="IQ66" s="47" t="n">
        <v>800</v>
      </c>
      <c r="IR66" s="47" t="n">
        <v>800</v>
      </c>
      <c r="IS66" s="47" t="n">
        <v>800</v>
      </c>
      <c r="IT66" s="47" t="n">
        <v>800</v>
      </c>
      <c r="IU66" s="47" t="n">
        <v>800</v>
      </c>
      <c r="IV66" s="47" t="n">
        <v>800</v>
      </c>
      <c r="IW66" s="47" t="n">
        <v>700</v>
      </c>
      <c r="IX66" s="47" t="n">
        <v>700</v>
      </c>
      <c r="IY66" s="47" t="n">
        <v>700</v>
      </c>
      <c r="IZ66" s="47" t="n">
        <v>700</v>
      </c>
      <c r="JA66" s="47" t="n">
        <v>700</v>
      </c>
      <c r="JB66" s="47" t="n">
        <v>700</v>
      </c>
      <c r="JC66" s="47" t="n">
        <v>700</v>
      </c>
      <c r="JD66" s="47" t="n">
        <v>700</v>
      </c>
      <c r="JE66" s="47" t="n">
        <v>700</v>
      </c>
      <c r="JF66" s="47" t="n">
        <v>700</v>
      </c>
      <c r="JG66" s="47" t="n">
        <v>700</v>
      </c>
      <c r="JH66" s="47" t="n">
        <v>700</v>
      </c>
      <c r="JI66" s="47" t="n">
        <v>700</v>
      </c>
      <c r="JJ66" s="47" t="n">
        <v>700</v>
      </c>
      <c r="JK66" s="47" t="n">
        <v>700</v>
      </c>
      <c r="JL66" s="47" t="n">
        <v>700</v>
      </c>
      <c r="JM66" s="47" t="n">
        <v>700</v>
      </c>
      <c r="JN66" s="47" t="n">
        <v>700</v>
      </c>
      <c r="JO66" s="47" t="n">
        <v>700</v>
      </c>
      <c r="JP66" s="47" t="n">
        <v>700</v>
      </c>
      <c r="JQ66" s="47" t="n">
        <v>700</v>
      </c>
      <c r="JR66" s="47" t="n">
        <v>700</v>
      </c>
      <c r="JS66" s="47" t="n">
        <v>700</v>
      </c>
      <c r="JT66" s="47" t="n">
        <v>700</v>
      </c>
      <c r="JU66" s="47" t="n">
        <v>700</v>
      </c>
      <c r="JV66" s="47" t="n">
        <v>700</v>
      </c>
      <c r="JW66" s="47" t="n">
        <v>700</v>
      </c>
      <c r="JX66" s="47" t="n">
        <v>700</v>
      </c>
      <c r="JY66" s="47" t="n">
        <v>700</v>
      </c>
      <c r="JZ66" s="47" t="n">
        <v>700</v>
      </c>
      <c r="KA66" s="47" t="n">
        <v>700</v>
      </c>
      <c r="KB66" s="47" t="n">
        <v>700</v>
      </c>
      <c r="KC66" s="47" t="n">
        <v>700</v>
      </c>
      <c r="KD66" s="48" t="n">
        <v>700</v>
      </c>
      <c r="KE66" s="47" t="n">
        <v>700</v>
      </c>
      <c r="KF66" s="47" t="n">
        <v>700</v>
      </c>
      <c r="KG66" s="47" t="n">
        <v>700</v>
      </c>
      <c r="KH66" s="47" t="n">
        <v>700</v>
      </c>
      <c r="KI66" s="47" t="n">
        <v>700</v>
      </c>
      <c r="KJ66" s="47" t="n">
        <v>700</v>
      </c>
      <c r="KK66" s="47" t="n">
        <v>700</v>
      </c>
      <c r="KL66" s="47" t="n">
        <v>700</v>
      </c>
    </row>
    <row r="67" customFormat="false" ht="15.75" hidden="false" customHeight="true" outlineLevel="0" collapsed="false">
      <c r="A67" s="35" t="s">
        <v>299</v>
      </c>
      <c r="B67" s="35" t="s">
        <v>300</v>
      </c>
      <c r="C67" s="35" t="s">
        <v>164</v>
      </c>
      <c r="D67" s="35" t="s">
        <v>165</v>
      </c>
      <c r="E67" s="35" t="s">
        <v>174</v>
      </c>
      <c r="G67" s="44" t="n">
        <v>400</v>
      </c>
      <c r="H67" s="44" t="n">
        <v>400</v>
      </c>
      <c r="I67" s="44" t="n">
        <v>400</v>
      </c>
      <c r="J67" s="44" t="n">
        <v>1000</v>
      </c>
      <c r="K67" s="44" t="n">
        <v>1000</v>
      </c>
      <c r="L67" s="44" t="n">
        <v>1000</v>
      </c>
      <c r="M67" s="44" t="n">
        <v>900</v>
      </c>
      <c r="N67" s="44" t="n">
        <v>900</v>
      </c>
      <c r="O67" s="44" t="n">
        <v>900</v>
      </c>
      <c r="P67" s="44" t="n">
        <v>900</v>
      </c>
      <c r="Q67" s="44" t="n">
        <v>900</v>
      </c>
      <c r="R67" s="44" t="n">
        <v>900</v>
      </c>
      <c r="S67" s="44" t="n">
        <v>900</v>
      </c>
      <c r="T67" s="44" t="n">
        <v>900</v>
      </c>
      <c r="U67" s="44" t="n">
        <v>900</v>
      </c>
      <c r="V67" s="44" t="n">
        <v>900</v>
      </c>
      <c r="W67" s="44" t="n">
        <v>900</v>
      </c>
      <c r="X67" s="44" t="n">
        <v>900</v>
      </c>
      <c r="Y67" s="44" t="n">
        <v>0</v>
      </c>
      <c r="Z67" s="44" t="n">
        <v>0</v>
      </c>
      <c r="AA67" s="44" t="n">
        <v>0</v>
      </c>
      <c r="AB67" s="44" t="n">
        <v>0</v>
      </c>
      <c r="AC67" s="44" t="n">
        <v>0</v>
      </c>
      <c r="AD67" s="44" t="n">
        <v>0</v>
      </c>
      <c r="AE67" s="44" t="n">
        <v>0</v>
      </c>
      <c r="AF67" s="44" t="n">
        <v>0</v>
      </c>
      <c r="AG67" s="44" t="n">
        <v>0</v>
      </c>
      <c r="AH67" s="44" t="n">
        <v>0</v>
      </c>
      <c r="AI67" s="44" t="n">
        <v>0</v>
      </c>
      <c r="AJ67" s="44" t="n">
        <v>0</v>
      </c>
      <c r="AK67" s="44" t="n">
        <v>0</v>
      </c>
      <c r="AL67" s="44" t="n">
        <v>0</v>
      </c>
      <c r="AM67" s="44" t="n">
        <v>0</v>
      </c>
      <c r="AN67" s="44" t="n">
        <v>0</v>
      </c>
      <c r="AO67" s="44" t="n">
        <v>0</v>
      </c>
      <c r="AP67" s="44" t="n">
        <v>0</v>
      </c>
      <c r="BS67" s="46" t="n">
        <v>0</v>
      </c>
      <c r="BT67" s="46" t="n">
        <v>0</v>
      </c>
      <c r="BU67" s="46" t="n">
        <v>0</v>
      </c>
      <c r="BV67" s="46" t="n">
        <v>0</v>
      </c>
      <c r="BW67" s="46" t="n">
        <v>0</v>
      </c>
      <c r="BX67" s="46" t="n">
        <v>0</v>
      </c>
      <c r="BY67" s="46" t="n">
        <v>0</v>
      </c>
      <c r="BZ67" s="46" t="n">
        <v>0</v>
      </c>
      <c r="EX67" s="47" t="n">
        <v>400</v>
      </c>
      <c r="EY67" s="47" t="n">
        <v>400</v>
      </c>
      <c r="EZ67" s="47" t="n">
        <v>400</v>
      </c>
      <c r="FA67" s="47" t="n">
        <v>1000</v>
      </c>
      <c r="FB67" s="47" t="n">
        <v>1000</v>
      </c>
      <c r="FC67" s="47" t="n">
        <v>1000</v>
      </c>
      <c r="FD67" s="47" t="n">
        <v>900</v>
      </c>
      <c r="FE67" s="47" t="n">
        <v>900</v>
      </c>
      <c r="FF67" s="47" t="n">
        <v>900</v>
      </c>
      <c r="FG67" s="47" t="n">
        <v>900</v>
      </c>
      <c r="FH67" s="47" t="n">
        <v>900</v>
      </c>
      <c r="FI67" s="47" t="n">
        <v>900</v>
      </c>
      <c r="FJ67" s="47" t="n">
        <v>900</v>
      </c>
      <c r="FK67" s="47" t="n">
        <v>900</v>
      </c>
      <c r="FL67" s="47" t="n">
        <v>900</v>
      </c>
      <c r="FM67" s="47" t="n">
        <v>900</v>
      </c>
      <c r="FN67" s="47" t="n">
        <v>900</v>
      </c>
      <c r="FO67" s="47" t="n">
        <v>900</v>
      </c>
      <c r="FP67" s="47" t="n">
        <v>0</v>
      </c>
      <c r="FQ67" s="47" t="n">
        <v>0</v>
      </c>
      <c r="FR67" s="47" t="n">
        <v>0</v>
      </c>
      <c r="FS67" s="47" t="n">
        <v>0</v>
      </c>
      <c r="FT67" s="47" t="n">
        <v>0</v>
      </c>
      <c r="FU67" s="47" t="n">
        <v>0</v>
      </c>
      <c r="FV67" s="47" t="n">
        <v>0</v>
      </c>
      <c r="FW67" s="47" t="n">
        <v>0</v>
      </c>
      <c r="FX67" s="47" t="n">
        <v>0</v>
      </c>
      <c r="FY67" s="47" t="n">
        <v>0</v>
      </c>
      <c r="FZ67" s="47" t="n">
        <v>0</v>
      </c>
      <c r="GA67" s="47" t="n">
        <v>0</v>
      </c>
      <c r="GB67" s="47" t="n">
        <v>0</v>
      </c>
      <c r="GC67" s="47" t="n">
        <v>0</v>
      </c>
      <c r="GD67" s="47" t="n">
        <v>0</v>
      </c>
      <c r="GE67" s="47" t="n">
        <v>0</v>
      </c>
      <c r="GF67" s="47" t="n">
        <v>0</v>
      </c>
      <c r="GG67" s="47" t="n">
        <v>0</v>
      </c>
      <c r="GH67" s="47" t="n">
        <v>0</v>
      </c>
      <c r="GI67" s="47" t="n">
        <v>0</v>
      </c>
      <c r="GJ67" s="47" t="n">
        <v>0</v>
      </c>
      <c r="GK67" s="47" t="n">
        <v>0</v>
      </c>
      <c r="GL67" s="47" t="n">
        <v>0</v>
      </c>
      <c r="GM67" s="47" t="n">
        <v>0</v>
      </c>
      <c r="GN67" s="47" t="n">
        <v>0</v>
      </c>
      <c r="GO67" s="47" t="n">
        <v>0</v>
      </c>
      <c r="GP67" s="47" t="n">
        <v>0</v>
      </c>
      <c r="GQ67" s="47" t="n">
        <v>0</v>
      </c>
      <c r="GR67" s="47" t="n">
        <v>0</v>
      </c>
      <c r="GS67" s="47" t="n">
        <v>0</v>
      </c>
      <c r="GT67" s="47" t="n">
        <v>0</v>
      </c>
      <c r="GU67" s="47" t="n">
        <v>0</v>
      </c>
      <c r="GV67" s="47" t="n">
        <v>0</v>
      </c>
      <c r="GW67" s="47" t="n">
        <v>0</v>
      </c>
      <c r="GX67" s="47" t="n">
        <v>0</v>
      </c>
      <c r="GY67" s="47" t="n">
        <v>0</v>
      </c>
      <c r="GZ67" s="47" t="n">
        <v>0</v>
      </c>
      <c r="HA67" s="47" t="n">
        <v>0</v>
      </c>
      <c r="HB67" s="47" t="n">
        <v>0</v>
      </c>
      <c r="HC67" s="47" t="n">
        <v>0</v>
      </c>
      <c r="HD67" s="47" t="n">
        <v>0</v>
      </c>
      <c r="HE67" s="47" t="n">
        <v>0</v>
      </c>
      <c r="HF67" s="47" t="n">
        <v>0</v>
      </c>
      <c r="HG67" s="47" t="n">
        <v>0</v>
      </c>
      <c r="HH67" s="47" t="n">
        <v>0</v>
      </c>
      <c r="HI67" s="48" t="n">
        <v>0</v>
      </c>
      <c r="HJ67" s="47" t="n">
        <v>0</v>
      </c>
      <c r="HK67" s="47" t="n">
        <v>0</v>
      </c>
      <c r="HL67" s="47" t="n">
        <v>0</v>
      </c>
      <c r="HM67" s="47" t="n">
        <v>0</v>
      </c>
      <c r="HN67" s="47" t="n">
        <v>0</v>
      </c>
      <c r="HO67" s="47" t="n">
        <v>0</v>
      </c>
      <c r="HP67" s="47" t="n">
        <v>0</v>
      </c>
      <c r="HQ67" s="47" t="n">
        <v>0</v>
      </c>
      <c r="HS67" s="47" t="n">
        <v>400</v>
      </c>
      <c r="HT67" s="47" t="n">
        <v>400</v>
      </c>
      <c r="HU67" s="47" t="n">
        <v>400</v>
      </c>
      <c r="HV67" s="47" t="n">
        <v>1000</v>
      </c>
      <c r="HW67" s="47" t="n">
        <v>1000</v>
      </c>
      <c r="HX67" s="47" t="n">
        <v>1000</v>
      </c>
      <c r="HY67" s="47" t="n">
        <v>900</v>
      </c>
      <c r="HZ67" s="47" t="n">
        <v>900</v>
      </c>
      <c r="IA67" s="47" t="n">
        <v>900</v>
      </c>
      <c r="IB67" s="47" t="n">
        <v>900</v>
      </c>
      <c r="IC67" s="47" t="n">
        <v>900</v>
      </c>
      <c r="ID67" s="47" t="n">
        <v>900</v>
      </c>
      <c r="IE67" s="47" t="n">
        <v>900</v>
      </c>
      <c r="IF67" s="47" t="n">
        <v>900</v>
      </c>
      <c r="IG67" s="47" t="n">
        <v>900</v>
      </c>
      <c r="IH67" s="47" t="n">
        <v>900</v>
      </c>
      <c r="II67" s="47" t="n">
        <v>900</v>
      </c>
      <c r="IJ67" s="47" t="n">
        <v>900</v>
      </c>
      <c r="IK67" s="47" t="n">
        <v>0</v>
      </c>
      <c r="IL67" s="47" t="n">
        <v>0</v>
      </c>
      <c r="IM67" s="47" t="n">
        <v>0</v>
      </c>
      <c r="IN67" s="47" t="n">
        <v>0</v>
      </c>
      <c r="IO67" s="47" t="n">
        <v>0</v>
      </c>
      <c r="IP67" s="47" t="n">
        <v>0</v>
      </c>
      <c r="IQ67" s="47" t="n">
        <v>0</v>
      </c>
      <c r="IR67" s="47" t="n">
        <v>0</v>
      </c>
      <c r="IS67" s="47" t="n">
        <v>0</v>
      </c>
      <c r="IT67" s="47" t="n">
        <v>0</v>
      </c>
      <c r="IU67" s="47" t="n">
        <v>0</v>
      </c>
      <c r="IV67" s="47" t="n">
        <v>0</v>
      </c>
      <c r="IW67" s="47" t="n">
        <v>0</v>
      </c>
      <c r="IX67" s="47" t="n">
        <v>0</v>
      </c>
      <c r="IY67" s="47" t="n">
        <v>0</v>
      </c>
      <c r="IZ67" s="47" t="n">
        <v>0</v>
      </c>
      <c r="JA67" s="47" t="n">
        <v>0</v>
      </c>
      <c r="JB67" s="47" t="n">
        <v>0</v>
      </c>
      <c r="JC67" s="47" t="n">
        <v>0</v>
      </c>
      <c r="JD67" s="47" t="n">
        <v>0</v>
      </c>
      <c r="JE67" s="47" t="n">
        <v>0</v>
      </c>
      <c r="JF67" s="47" t="n">
        <v>0</v>
      </c>
      <c r="JG67" s="47" t="n">
        <v>0</v>
      </c>
      <c r="JH67" s="47" t="n">
        <v>0</v>
      </c>
      <c r="JI67" s="47" t="n">
        <v>0</v>
      </c>
      <c r="JJ67" s="47" t="n">
        <v>0</v>
      </c>
      <c r="JK67" s="47" t="n">
        <v>0</v>
      </c>
      <c r="JL67" s="47" t="n">
        <v>0</v>
      </c>
      <c r="JM67" s="47" t="n">
        <v>0</v>
      </c>
      <c r="JN67" s="47" t="n">
        <v>0</v>
      </c>
      <c r="JO67" s="47" t="n">
        <v>0</v>
      </c>
      <c r="JP67" s="47" t="n">
        <v>0</v>
      </c>
      <c r="JQ67" s="47" t="n">
        <v>0</v>
      </c>
      <c r="JR67" s="47" t="n">
        <v>0</v>
      </c>
      <c r="JS67" s="47" t="n">
        <v>0</v>
      </c>
      <c r="JT67" s="47" t="n">
        <v>0</v>
      </c>
      <c r="JU67" s="47" t="n">
        <v>0</v>
      </c>
      <c r="JV67" s="47" t="n">
        <v>0</v>
      </c>
      <c r="JW67" s="47" t="n">
        <v>0</v>
      </c>
      <c r="JX67" s="47" t="n">
        <v>0</v>
      </c>
      <c r="JY67" s="47" t="n">
        <v>0</v>
      </c>
      <c r="JZ67" s="47" t="n">
        <v>0</v>
      </c>
      <c r="KA67" s="47" t="n">
        <v>0</v>
      </c>
      <c r="KB67" s="47" t="n">
        <v>0</v>
      </c>
      <c r="KC67" s="47" t="n">
        <v>0</v>
      </c>
      <c r="KD67" s="48" t="n">
        <v>0</v>
      </c>
      <c r="KE67" s="47" t="n">
        <v>0</v>
      </c>
      <c r="KF67" s="47" t="n">
        <v>0</v>
      </c>
      <c r="KG67" s="47" t="n">
        <v>0</v>
      </c>
      <c r="KH67" s="47" t="n">
        <v>0</v>
      </c>
      <c r="KI67" s="47" t="n">
        <v>0</v>
      </c>
      <c r="KJ67" s="47" t="n">
        <v>0</v>
      </c>
      <c r="KK67" s="47" t="n">
        <v>0</v>
      </c>
      <c r="KL67" s="47" t="n">
        <v>0</v>
      </c>
    </row>
    <row r="68" customFormat="false" ht="15.75" hidden="false" customHeight="true" outlineLevel="0" collapsed="false">
      <c r="A68" s="35" t="s">
        <v>301</v>
      </c>
      <c r="B68" s="35" t="s">
        <v>302</v>
      </c>
      <c r="C68" s="35" t="s">
        <v>164</v>
      </c>
      <c r="D68" s="35" t="s">
        <v>303</v>
      </c>
      <c r="E68" s="35" t="s">
        <v>188</v>
      </c>
      <c r="G68" s="44" t="n">
        <v>1033.41666666667</v>
      </c>
      <c r="H68" s="44" t="n">
        <v>1033.41666666667</v>
      </c>
      <c r="I68" s="44" t="n">
        <v>1033.41666666667</v>
      </c>
      <c r="J68" s="44" t="n">
        <v>1033.41666666667</v>
      </c>
      <c r="K68" s="44" t="n">
        <v>1033.41666666667</v>
      </c>
      <c r="L68" s="44" t="n">
        <v>1033.41666666667</v>
      </c>
      <c r="M68" s="44" t="n">
        <v>1033.41666666667</v>
      </c>
      <c r="N68" s="44" t="n">
        <v>1033.41666666667</v>
      </c>
      <c r="O68" s="44" t="n">
        <v>0</v>
      </c>
      <c r="P68" s="44" t="n">
        <v>0</v>
      </c>
      <c r="Q68" s="44" t="n">
        <v>0</v>
      </c>
      <c r="R68" s="44" t="n">
        <v>0</v>
      </c>
      <c r="S68" s="44" t="n">
        <v>0</v>
      </c>
      <c r="T68" s="44" t="n">
        <v>0</v>
      </c>
      <c r="U68" s="44" t="n">
        <v>0</v>
      </c>
      <c r="V68" s="44" t="n">
        <v>0</v>
      </c>
      <c r="W68" s="44" t="n">
        <v>0</v>
      </c>
      <c r="X68" s="44" t="n">
        <v>0</v>
      </c>
      <c r="Y68" s="44" t="n">
        <v>0</v>
      </c>
      <c r="Z68" s="44" t="n">
        <v>0</v>
      </c>
      <c r="AA68" s="44" t="n">
        <v>0</v>
      </c>
      <c r="AB68" s="44" t="n">
        <v>0</v>
      </c>
      <c r="AC68" s="44" t="n">
        <v>0</v>
      </c>
      <c r="AD68" s="44" t="n">
        <v>0</v>
      </c>
      <c r="AE68" s="44" t="n">
        <v>0</v>
      </c>
      <c r="AF68" s="44" t="n">
        <v>0</v>
      </c>
      <c r="AG68" s="44" t="n">
        <v>0</v>
      </c>
      <c r="AH68" s="44" t="n">
        <v>0</v>
      </c>
      <c r="AI68" s="44" t="n">
        <v>0</v>
      </c>
      <c r="AJ68" s="44" t="n">
        <v>0</v>
      </c>
      <c r="AK68" s="44" t="n">
        <v>0</v>
      </c>
      <c r="AL68" s="44" t="n">
        <v>0</v>
      </c>
      <c r="AM68" s="44" t="n">
        <v>0</v>
      </c>
      <c r="AN68" s="44" t="n">
        <v>0</v>
      </c>
      <c r="AO68" s="44" t="n">
        <v>0</v>
      </c>
      <c r="AP68" s="44" t="n">
        <v>0</v>
      </c>
      <c r="BS68" s="46" t="n">
        <v>0</v>
      </c>
      <c r="BT68" s="46" t="n">
        <v>0</v>
      </c>
      <c r="BU68" s="46" t="n">
        <v>0</v>
      </c>
      <c r="BV68" s="46" t="n">
        <v>0</v>
      </c>
      <c r="BW68" s="46" t="n">
        <v>0</v>
      </c>
      <c r="BX68" s="46" t="n">
        <v>0</v>
      </c>
      <c r="BY68" s="46" t="n">
        <v>0</v>
      </c>
      <c r="BZ68" s="46" t="n">
        <v>0</v>
      </c>
      <c r="EX68" s="47" t="n">
        <v>1033.41666666667</v>
      </c>
      <c r="EY68" s="47" t="n">
        <v>1033.41666666667</v>
      </c>
      <c r="EZ68" s="47" t="n">
        <v>1033.41666666667</v>
      </c>
      <c r="FA68" s="47" t="n">
        <v>1033.41666666667</v>
      </c>
      <c r="FB68" s="47" t="n">
        <v>1033.41666666667</v>
      </c>
      <c r="FC68" s="47" t="n">
        <v>1033.41666666667</v>
      </c>
      <c r="FD68" s="47" t="n">
        <v>1033.41666666667</v>
      </c>
      <c r="FE68" s="47" t="n">
        <v>1033.41666666667</v>
      </c>
      <c r="FF68" s="47" t="n">
        <v>0</v>
      </c>
      <c r="FG68" s="47" t="n">
        <v>0</v>
      </c>
      <c r="FH68" s="47" t="n">
        <v>0</v>
      </c>
      <c r="FI68" s="47" t="n">
        <v>0</v>
      </c>
      <c r="FJ68" s="47" t="n">
        <v>0</v>
      </c>
      <c r="FK68" s="47" t="n">
        <v>0</v>
      </c>
      <c r="FL68" s="47" t="n">
        <v>0</v>
      </c>
      <c r="FM68" s="47" t="n">
        <v>0</v>
      </c>
      <c r="FN68" s="47" t="n">
        <v>0</v>
      </c>
      <c r="FO68" s="47" t="n">
        <v>0</v>
      </c>
      <c r="FP68" s="47" t="n">
        <v>0</v>
      </c>
      <c r="FQ68" s="47" t="n">
        <v>0</v>
      </c>
      <c r="FR68" s="47" t="n">
        <v>0</v>
      </c>
      <c r="FS68" s="47" t="n">
        <v>0</v>
      </c>
      <c r="FT68" s="47" t="n">
        <v>0</v>
      </c>
      <c r="FU68" s="47" t="n">
        <v>0</v>
      </c>
      <c r="FV68" s="47" t="n">
        <v>0</v>
      </c>
      <c r="FW68" s="47" t="n">
        <v>0</v>
      </c>
      <c r="FX68" s="47" t="n">
        <v>0</v>
      </c>
      <c r="FY68" s="47" t="n">
        <v>0</v>
      </c>
      <c r="FZ68" s="47" t="n">
        <v>0</v>
      </c>
      <c r="GA68" s="47" t="n">
        <v>0</v>
      </c>
      <c r="GB68" s="47" t="n">
        <v>0</v>
      </c>
      <c r="GC68" s="47" t="n">
        <v>0</v>
      </c>
      <c r="GD68" s="47" t="n">
        <v>0</v>
      </c>
      <c r="GE68" s="47" t="n">
        <v>0</v>
      </c>
      <c r="GF68" s="47" t="n">
        <v>0</v>
      </c>
      <c r="GG68" s="47" t="n">
        <v>0</v>
      </c>
      <c r="GH68" s="47" t="n">
        <v>0</v>
      </c>
      <c r="GI68" s="47" t="n">
        <v>0</v>
      </c>
      <c r="GJ68" s="47" t="n">
        <v>0</v>
      </c>
      <c r="GK68" s="47" t="n">
        <v>0</v>
      </c>
      <c r="GL68" s="47" t="n">
        <v>0</v>
      </c>
      <c r="GM68" s="47" t="n">
        <v>0</v>
      </c>
      <c r="GN68" s="47" t="n">
        <v>0</v>
      </c>
      <c r="GO68" s="47" t="n">
        <v>0</v>
      </c>
      <c r="GP68" s="47" t="n">
        <v>0</v>
      </c>
      <c r="GQ68" s="47" t="n">
        <v>0</v>
      </c>
      <c r="GR68" s="47" t="n">
        <v>0</v>
      </c>
      <c r="GS68" s="47" t="n">
        <v>0</v>
      </c>
      <c r="GT68" s="47" t="n">
        <v>0</v>
      </c>
      <c r="GU68" s="47" t="n">
        <v>0</v>
      </c>
      <c r="GV68" s="47" t="n">
        <v>0</v>
      </c>
      <c r="GW68" s="47" t="n">
        <v>0</v>
      </c>
      <c r="GX68" s="47" t="n">
        <v>0</v>
      </c>
      <c r="GY68" s="47" t="n">
        <v>0</v>
      </c>
      <c r="GZ68" s="47" t="n">
        <v>0</v>
      </c>
      <c r="HA68" s="47" t="n">
        <v>0</v>
      </c>
      <c r="HB68" s="47" t="n">
        <v>0</v>
      </c>
      <c r="HC68" s="47" t="n">
        <v>0</v>
      </c>
      <c r="HD68" s="47" t="n">
        <v>0</v>
      </c>
      <c r="HE68" s="47" t="n">
        <v>0</v>
      </c>
      <c r="HF68" s="47" t="n">
        <v>0</v>
      </c>
      <c r="HG68" s="47" t="n">
        <v>0</v>
      </c>
      <c r="HH68" s="47" t="n">
        <v>0</v>
      </c>
      <c r="HI68" s="48" t="n">
        <v>0</v>
      </c>
      <c r="HJ68" s="47" t="n">
        <v>0</v>
      </c>
      <c r="HK68" s="47" t="n">
        <v>0</v>
      </c>
      <c r="HL68" s="47" t="n">
        <v>0</v>
      </c>
      <c r="HM68" s="47" t="n">
        <v>0</v>
      </c>
      <c r="HN68" s="47" t="n">
        <v>0</v>
      </c>
      <c r="HO68" s="47" t="n">
        <v>0</v>
      </c>
      <c r="HP68" s="47" t="n">
        <v>0</v>
      </c>
      <c r="HQ68" s="47" t="n">
        <v>0</v>
      </c>
      <c r="HS68" s="47" t="n">
        <v>1033.41666666667</v>
      </c>
      <c r="HT68" s="47" t="n">
        <v>1033.41666666667</v>
      </c>
      <c r="HU68" s="47" t="n">
        <v>1033.41666666667</v>
      </c>
      <c r="HV68" s="47" t="n">
        <v>1033.41666666667</v>
      </c>
      <c r="HW68" s="47" t="n">
        <v>1033.41666666667</v>
      </c>
      <c r="HX68" s="47" t="n">
        <v>1033.41666666667</v>
      </c>
      <c r="HY68" s="47" t="n">
        <v>1033.41666666667</v>
      </c>
      <c r="HZ68" s="47" t="n">
        <v>1033.41666666667</v>
      </c>
      <c r="IA68" s="47" t="n">
        <v>0</v>
      </c>
      <c r="IB68" s="47" t="n">
        <v>0</v>
      </c>
      <c r="IC68" s="47" t="n">
        <v>0</v>
      </c>
      <c r="ID68" s="47" t="n">
        <v>0</v>
      </c>
      <c r="IE68" s="47" t="n">
        <v>0</v>
      </c>
      <c r="IF68" s="47" t="n">
        <v>0</v>
      </c>
      <c r="IG68" s="47" t="n">
        <v>0</v>
      </c>
      <c r="IH68" s="47" t="n">
        <v>0</v>
      </c>
      <c r="II68" s="47" t="n">
        <v>0</v>
      </c>
      <c r="IJ68" s="47" t="n">
        <v>0</v>
      </c>
      <c r="IK68" s="47" t="n">
        <v>0</v>
      </c>
      <c r="IL68" s="47" t="n">
        <v>0</v>
      </c>
      <c r="IM68" s="47" t="n">
        <v>0</v>
      </c>
      <c r="IN68" s="47" t="n">
        <v>0</v>
      </c>
      <c r="IO68" s="47" t="n">
        <v>0</v>
      </c>
      <c r="IP68" s="47" t="n">
        <v>0</v>
      </c>
      <c r="IQ68" s="47" t="n">
        <v>0</v>
      </c>
      <c r="IR68" s="47" t="n">
        <v>0</v>
      </c>
      <c r="IS68" s="47" t="n">
        <v>0</v>
      </c>
      <c r="IT68" s="47" t="n">
        <v>0</v>
      </c>
      <c r="IU68" s="47" t="n">
        <v>0</v>
      </c>
      <c r="IV68" s="47" t="n">
        <v>0</v>
      </c>
      <c r="IW68" s="47" t="n">
        <v>0</v>
      </c>
      <c r="IX68" s="47" t="n">
        <v>0</v>
      </c>
      <c r="IY68" s="47" t="n">
        <v>0</v>
      </c>
      <c r="IZ68" s="47" t="n">
        <v>0</v>
      </c>
      <c r="JA68" s="47" t="n">
        <v>0</v>
      </c>
      <c r="JB68" s="47" t="n">
        <v>0</v>
      </c>
      <c r="JC68" s="47" t="n">
        <v>0</v>
      </c>
      <c r="JD68" s="47" t="n">
        <v>0</v>
      </c>
      <c r="JE68" s="47" t="n">
        <v>0</v>
      </c>
      <c r="JF68" s="47" t="n">
        <v>0</v>
      </c>
      <c r="JG68" s="47" t="n">
        <v>0</v>
      </c>
      <c r="JH68" s="47" t="n">
        <v>0</v>
      </c>
      <c r="JI68" s="47" t="n">
        <v>0</v>
      </c>
      <c r="JJ68" s="47" t="n">
        <v>0</v>
      </c>
      <c r="JK68" s="47" t="n">
        <v>0</v>
      </c>
      <c r="JL68" s="47" t="n">
        <v>0</v>
      </c>
      <c r="JM68" s="47" t="n">
        <v>0</v>
      </c>
      <c r="JN68" s="47" t="n">
        <v>0</v>
      </c>
      <c r="JO68" s="47" t="n">
        <v>0</v>
      </c>
      <c r="JP68" s="47" t="n">
        <v>0</v>
      </c>
      <c r="JQ68" s="47" t="n">
        <v>0</v>
      </c>
      <c r="JR68" s="47" t="n">
        <v>0</v>
      </c>
      <c r="JS68" s="47" t="n">
        <v>0</v>
      </c>
      <c r="JT68" s="47" t="n">
        <v>0</v>
      </c>
      <c r="JU68" s="47" t="n">
        <v>0</v>
      </c>
      <c r="JV68" s="47" t="n">
        <v>0</v>
      </c>
      <c r="JW68" s="47" t="n">
        <v>0</v>
      </c>
      <c r="JX68" s="47" t="n">
        <v>0</v>
      </c>
      <c r="JY68" s="47" t="n">
        <v>0</v>
      </c>
      <c r="JZ68" s="47" t="n">
        <v>0</v>
      </c>
      <c r="KA68" s="47" t="n">
        <v>0</v>
      </c>
      <c r="KB68" s="47" t="n">
        <v>0</v>
      </c>
      <c r="KC68" s="47" t="n">
        <v>0</v>
      </c>
      <c r="KD68" s="48" t="n">
        <v>0</v>
      </c>
      <c r="KE68" s="47" t="n">
        <v>0</v>
      </c>
      <c r="KF68" s="47" t="n">
        <v>0</v>
      </c>
      <c r="KG68" s="47" t="n">
        <v>0</v>
      </c>
      <c r="KH68" s="47" t="n">
        <v>0</v>
      </c>
      <c r="KI68" s="47" t="n">
        <v>0</v>
      </c>
      <c r="KJ68" s="47" t="n">
        <v>0</v>
      </c>
      <c r="KK68" s="47" t="n">
        <v>0</v>
      </c>
      <c r="KL68" s="47" t="n">
        <v>0</v>
      </c>
    </row>
    <row r="69" customFormat="false" ht="15.75" hidden="false" customHeight="true" outlineLevel="0" collapsed="false">
      <c r="A69" s="35" t="s">
        <v>304</v>
      </c>
      <c r="B69" s="35" t="s">
        <v>305</v>
      </c>
      <c r="C69" s="35" t="s">
        <v>164</v>
      </c>
      <c r="D69" s="35" t="s">
        <v>303</v>
      </c>
      <c r="E69" s="35" t="s">
        <v>166</v>
      </c>
      <c r="G69" s="44" t="n">
        <v>0</v>
      </c>
      <c r="H69" s="44" t="n">
        <v>0</v>
      </c>
      <c r="I69" s="44" t="n">
        <v>0</v>
      </c>
      <c r="J69" s="44" t="n">
        <v>0</v>
      </c>
      <c r="K69" s="44" t="n">
        <v>0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0</v>
      </c>
      <c r="Q69" s="44" t="n">
        <v>0</v>
      </c>
      <c r="R69" s="44" t="n">
        <v>0</v>
      </c>
      <c r="S69" s="44" t="n">
        <v>0</v>
      </c>
      <c r="T69" s="44" t="n">
        <v>0</v>
      </c>
      <c r="U69" s="44" t="n">
        <v>500</v>
      </c>
      <c r="V69" s="44" t="n">
        <v>500</v>
      </c>
      <c r="W69" s="44" t="n">
        <v>500</v>
      </c>
      <c r="X69" s="44" t="n">
        <v>500</v>
      </c>
      <c r="Y69" s="44" t="n">
        <v>500</v>
      </c>
      <c r="Z69" s="44" t="n">
        <v>500</v>
      </c>
      <c r="AA69" s="44" t="n">
        <v>500</v>
      </c>
      <c r="AB69" s="44" t="n">
        <v>500</v>
      </c>
      <c r="AC69" s="44" t="n">
        <v>500</v>
      </c>
      <c r="AD69" s="44" t="n">
        <v>500</v>
      </c>
      <c r="AE69" s="44" t="n">
        <v>500</v>
      </c>
      <c r="AF69" s="44" t="n">
        <v>500</v>
      </c>
      <c r="AG69" s="44" t="n">
        <v>538.1975</v>
      </c>
      <c r="AH69" s="44" t="n">
        <v>538.1975</v>
      </c>
      <c r="AI69" s="44" t="n">
        <v>538.1975</v>
      </c>
      <c r="AJ69" s="44" t="n">
        <v>538.1975</v>
      </c>
      <c r="AK69" s="44" t="n">
        <v>538.1975</v>
      </c>
      <c r="AL69" s="44" t="n">
        <v>538.1975</v>
      </c>
      <c r="AM69" s="44" t="n">
        <v>538.1975</v>
      </c>
      <c r="AN69" s="44" t="n">
        <v>538.1975</v>
      </c>
      <c r="AO69" s="44" t="n">
        <v>538.1975</v>
      </c>
      <c r="AP69" s="44" t="n">
        <v>538.1975</v>
      </c>
      <c r="AQ69" s="44" t="n">
        <v>538.1975</v>
      </c>
      <c r="AR69" s="44" t="n">
        <v>538.1975</v>
      </c>
      <c r="AS69" s="44" t="n">
        <v>75</v>
      </c>
      <c r="AT69" s="44" t="n">
        <v>75</v>
      </c>
      <c r="AU69" s="44" t="n">
        <v>75</v>
      </c>
      <c r="AV69" s="44" t="n">
        <v>75</v>
      </c>
      <c r="AW69" s="44" t="n">
        <v>75</v>
      </c>
      <c r="AX69" s="44" t="n">
        <v>75</v>
      </c>
      <c r="AY69" s="44" t="n">
        <v>75</v>
      </c>
      <c r="AZ69" s="44" t="n">
        <v>75</v>
      </c>
      <c r="BA69" s="44" t="n">
        <v>75</v>
      </c>
      <c r="BB69" s="44" t="n">
        <v>75</v>
      </c>
      <c r="BC69" s="44" t="n">
        <v>75</v>
      </c>
      <c r="BD69" s="44" t="n">
        <v>75</v>
      </c>
      <c r="BE69" s="44" t="n">
        <v>308.701176470588</v>
      </c>
      <c r="BF69" s="44" t="n">
        <v>308.701176470588</v>
      </c>
      <c r="BG69" s="44" t="n">
        <v>308.701176470588</v>
      </c>
      <c r="BH69" s="44" t="n">
        <v>308.701176470588</v>
      </c>
      <c r="BI69" s="44" t="n">
        <v>308.701176470588</v>
      </c>
      <c r="BJ69" s="44" t="n">
        <v>683.701176470588</v>
      </c>
      <c r="BK69" s="44" t="n">
        <v>683.701176470588</v>
      </c>
      <c r="BL69" s="44" t="n">
        <v>683.701176470588</v>
      </c>
      <c r="BM69" s="44" t="n">
        <v>683.701176470588</v>
      </c>
      <c r="BN69" s="44" t="n">
        <v>683.701176470588</v>
      </c>
      <c r="BO69" s="44" t="n">
        <v>683.701176470588</v>
      </c>
      <c r="BP69" s="44" t="n">
        <v>158.701176470588</v>
      </c>
      <c r="BQ69" s="44" t="n">
        <v>158.701176470588</v>
      </c>
      <c r="BR69" s="45" t="n">
        <v>158.701176470588</v>
      </c>
      <c r="BS69" s="46" t="n">
        <v>158.701176470588</v>
      </c>
      <c r="BT69" s="46" t="n">
        <v>158.701176470588</v>
      </c>
      <c r="BU69" s="46" t="n">
        <v>158.701176470588</v>
      </c>
      <c r="BV69" s="46" t="n">
        <v>158.701176470588</v>
      </c>
      <c r="BW69" s="46" t="n">
        <v>158.701176470588</v>
      </c>
      <c r="BX69" s="46" t="n">
        <v>158.701176470588</v>
      </c>
      <c r="BY69" s="46" t="n">
        <v>158.701176470588</v>
      </c>
      <c r="BZ69" s="46" t="n">
        <v>158.701176470588</v>
      </c>
      <c r="EX69" s="47" t="n">
        <v>0</v>
      </c>
      <c r="EY69" s="47" t="n">
        <v>0</v>
      </c>
      <c r="EZ69" s="47" t="n">
        <v>0</v>
      </c>
      <c r="FA69" s="47" t="n">
        <v>0</v>
      </c>
      <c r="FB69" s="47" t="n">
        <v>0</v>
      </c>
      <c r="FC69" s="47" t="n">
        <v>0</v>
      </c>
      <c r="FD69" s="47" t="n">
        <v>0</v>
      </c>
      <c r="FE69" s="47" t="n">
        <v>0</v>
      </c>
      <c r="FF69" s="47" t="n">
        <v>0</v>
      </c>
      <c r="FG69" s="47" t="n">
        <v>0</v>
      </c>
      <c r="FH69" s="47" t="n">
        <v>0</v>
      </c>
      <c r="FI69" s="47" t="n">
        <v>0</v>
      </c>
      <c r="FJ69" s="47" t="n">
        <v>0</v>
      </c>
      <c r="FK69" s="47" t="n">
        <v>0</v>
      </c>
      <c r="FL69" s="47" t="n">
        <v>500</v>
      </c>
      <c r="FM69" s="47" t="n">
        <v>500</v>
      </c>
      <c r="FN69" s="47" t="n">
        <v>500</v>
      </c>
      <c r="FO69" s="47" t="n">
        <v>500</v>
      </c>
      <c r="FP69" s="47" t="n">
        <v>500</v>
      </c>
      <c r="FQ69" s="47" t="n">
        <v>500</v>
      </c>
      <c r="FR69" s="47" t="n">
        <v>500</v>
      </c>
      <c r="FS69" s="47" t="n">
        <v>500</v>
      </c>
      <c r="FT69" s="47" t="n">
        <v>500</v>
      </c>
      <c r="FU69" s="47" t="n">
        <v>500</v>
      </c>
      <c r="FV69" s="47" t="n">
        <v>500</v>
      </c>
      <c r="FW69" s="47" t="n">
        <v>500</v>
      </c>
      <c r="FX69" s="47" t="n">
        <v>538.1975</v>
      </c>
      <c r="FY69" s="47" t="n">
        <v>538.1975</v>
      </c>
      <c r="FZ69" s="47" t="n">
        <v>538.1975</v>
      </c>
      <c r="GA69" s="47" t="n">
        <v>538.1975</v>
      </c>
      <c r="GB69" s="47" t="n">
        <v>538.1975</v>
      </c>
      <c r="GC69" s="47" t="n">
        <v>538.1975</v>
      </c>
      <c r="GD69" s="47" t="n">
        <v>538.1975</v>
      </c>
      <c r="GE69" s="47" t="n">
        <v>538.1975</v>
      </c>
      <c r="GF69" s="47" t="n">
        <v>538.1975</v>
      </c>
      <c r="GG69" s="47" t="n">
        <v>538.1975</v>
      </c>
      <c r="GH69" s="47" t="n">
        <v>538.1975</v>
      </c>
      <c r="GI69" s="47" t="n">
        <v>538.1975</v>
      </c>
      <c r="GJ69" s="47" t="n">
        <v>75</v>
      </c>
      <c r="GK69" s="47" t="n">
        <v>75</v>
      </c>
      <c r="GL69" s="47" t="n">
        <v>75</v>
      </c>
      <c r="GM69" s="47" t="n">
        <v>75</v>
      </c>
      <c r="GN69" s="47" t="n">
        <v>75</v>
      </c>
      <c r="GO69" s="47" t="n">
        <v>75</v>
      </c>
      <c r="GP69" s="47" t="n">
        <v>75</v>
      </c>
      <c r="GQ69" s="47" t="n">
        <v>75</v>
      </c>
      <c r="GR69" s="47" t="n">
        <v>75</v>
      </c>
      <c r="GS69" s="47" t="n">
        <v>75</v>
      </c>
      <c r="GT69" s="47" t="n">
        <v>75</v>
      </c>
      <c r="GU69" s="47" t="n">
        <v>75</v>
      </c>
      <c r="GV69" s="47" t="n">
        <v>308.701176470588</v>
      </c>
      <c r="GW69" s="47" t="n">
        <v>308.701176470588</v>
      </c>
      <c r="GX69" s="47" t="n">
        <v>308.701176470588</v>
      </c>
      <c r="GY69" s="47" t="n">
        <v>308.701176470588</v>
      </c>
      <c r="GZ69" s="47" t="n">
        <v>308.701176470588</v>
      </c>
      <c r="HA69" s="47" t="n">
        <v>683.701176470588</v>
      </c>
      <c r="HB69" s="47" t="n">
        <v>683.701176470588</v>
      </c>
      <c r="HC69" s="47" t="n">
        <v>683.701176470588</v>
      </c>
      <c r="HD69" s="47" t="n">
        <v>683.701176470588</v>
      </c>
      <c r="HE69" s="47" t="n">
        <v>683.701176470588</v>
      </c>
      <c r="HF69" s="47" t="n">
        <v>683.701176470588</v>
      </c>
      <c r="HG69" s="47" t="n">
        <v>158.701176470588</v>
      </c>
      <c r="HH69" s="47" t="n">
        <v>158.701176470588</v>
      </c>
      <c r="HI69" s="48" t="n">
        <v>158.701176470588</v>
      </c>
      <c r="HJ69" s="47" t="n">
        <v>158.701176470588</v>
      </c>
      <c r="HK69" s="47" t="n">
        <v>158.701176470588</v>
      </c>
      <c r="HL69" s="47" t="n">
        <v>158.701176470588</v>
      </c>
      <c r="HM69" s="47" t="n">
        <v>158.701176470588</v>
      </c>
      <c r="HN69" s="47" t="n">
        <v>158.701176470588</v>
      </c>
      <c r="HO69" s="47" t="n">
        <v>158.701176470588</v>
      </c>
      <c r="HP69" s="47" t="n">
        <v>158.701176470588</v>
      </c>
      <c r="HQ69" s="47" t="n">
        <v>158.701176470588</v>
      </c>
      <c r="HS69" s="47" t="n">
        <v>0</v>
      </c>
      <c r="HT69" s="47" t="n">
        <v>0</v>
      </c>
      <c r="HU69" s="47" t="n">
        <v>0</v>
      </c>
      <c r="HV69" s="47" t="n">
        <v>0</v>
      </c>
      <c r="HW69" s="47" t="n">
        <v>0</v>
      </c>
      <c r="HX69" s="47" t="n">
        <v>0</v>
      </c>
      <c r="HY69" s="47" t="n">
        <v>0</v>
      </c>
      <c r="HZ69" s="47" t="n">
        <v>0</v>
      </c>
      <c r="IA69" s="47" t="n">
        <v>0</v>
      </c>
      <c r="IB69" s="47" t="n">
        <v>0</v>
      </c>
      <c r="IC69" s="47" t="n">
        <v>0</v>
      </c>
      <c r="ID69" s="47" t="n">
        <v>0</v>
      </c>
      <c r="IE69" s="47" t="n">
        <v>0</v>
      </c>
      <c r="IF69" s="47" t="n">
        <v>0</v>
      </c>
      <c r="IG69" s="47" t="n">
        <v>500</v>
      </c>
      <c r="IH69" s="47" t="n">
        <v>500</v>
      </c>
      <c r="II69" s="47" t="n">
        <v>500</v>
      </c>
      <c r="IJ69" s="47" t="n">
        <v>500</v>
      </c>
      <c r="IK69" s="47" t="n">
        <v>500</v>
      </c>
      <c r="IL69" s="47" t="n">
        <v>500</v>
      </c>
      <c r="IM69" s="47" t="n">
        <v>500</v>
      </c>
      <c r="IN69" s="47" t="n">
        <v>500</v>
      </c>
      <c r="IO69" s="47" t="n">
        <v>500</v>
      </c>
      <c r="IP69" s="47" t="n">
        <v>500</v>
      </c>
      <c r="IQ69" s="47" t="n">
        <v>500</v>
      </c>
      <c r="IR69" s="47" t="n">
        <v>500</v>
      </c>
      <c r="IS69" s="47" t="n">
        <v>538.1975</v>
      </c>
      <c r="IT69" s="47" t="n">
        <v>538.1975</v>
      </c>
      <c r="IU69" s="47" t="n">
        <v>538.1975</v>
      </c>
      <c r="IV69" s="47" t="n">
        <v>538.1975</v>
      </c>
      <c r="IW69" s="47" t="n">
        <v>538.1975</v>
      </c>
      <c r="IX69" s="47" t="n">
        <v>538.1975</v>
      </c>
      <c r="IY69" s="47" t="n">
        <v>538.1975</v>
      </c>
      <c r="IZ69" s="47" t="n">
        <v>538.1975</v>
      </c>
      <c r="JA69" s="47" t="n">
        <v>538.1975</v>
      </c>
      <c r="JB69" s="47" t="n">
        <v>538.1975</v>
      </c>
      <c r="JC69" s="47" t="n">
        <v>538.1975</v>
      </c>
      <c r="JD69" s="47" t="n">
        <v>538.1975</v>
      </c>
      <c r="JE69" s="47" t="n">
        <v>75</v>
      </c>
      <c r="JF69" s="47" t="n">
        <v>75</v>
      </c>
      <c r="JG69" s="47" t="n">
        <v>75</v>
      </c>
      <c r="JH69" s="47" t="n">
        <v>75</v>
      </c>
      <c r="JI69" s="47" t="n">
        <v>75</v>
      </c>
      <c r="JJ69" s="47" t="n">
        <v>75</v>
      </c>
      <c r="JK69" s="47" t="n">
        <v>75</v>
      </c>
      <c r="JL69" s="47" t="n">
        <v>75</v>
      </c>
      <c r="JM69" s="47" t="n">
        <v>75</v>
      </c>
      <c r="JN69" s="47" t="n">
        <v>75</v>
      </c>
      <c r="JO69" s="47" t="n">
        <v>75</v>
      </c>
      <c r="JP69" s="47" t="n">
        <v>75</v>
      </c>
      <c r="JQ69" s="47" t="n">
        <v>308.701176470588</v>
      </c>
      <c r="JR69" s="47" t="n">
        <v>308.701176470588</v>
      </c>
      <c r="JS69" s="47" t="n">
        <v>308.701176470588</v>
      </c>
      <c r="JT69" s="47" t="n">
        <v>308.701176470588</v>
      </c>
      <c r="JU69" s="47" t="n">
        <v>308.701176470588</v>
      </c>
      <c r="JV69" s="47" t="n">
        <v>683.701176470588</v>
      </c>
      <c r="JW69" s="47" t="n">
        <v>683.701176470588</v>
      </c>
      <c r="JX69" s="47" t="n">
        <v>683.701176470588</v>
      </c>
      <c r="JY69" s="47" t="n">
        <v>683.701176470588</v>
      </c>
      <c r="JZ69" s="47" t="n">
        <v>683.701176470588</v>
      </c>
      <c r="KA69" s="47" t="n">
        <v>683.701176470588</v>
      </c>
      <c r="KB69" s="47" t="n">
        <v>158.701176470588</v>
      </c>
      <c r="KC69" s="47" t="n">
        <v>158.701176470588</v>
      </c>
      <c r="KD69" s="48" t="n">
        <v>158.701176470588</v>
      </c>
      <c r="KE69" s="47" t="n">
        <v>158.701176470588</v>
      </c>
      <c r="KF69" s="47" t="n">
        <v>158.701176470588</v>
      </c>
      <c r="KG69" s="47" t="n">
        <v>158.701176470588</v>
      </c>
      <c r="KH69" s="47" t="n">
        <v>158.701176470588</v>
      </c>
      <c r="KI69" s="47" t="n">
        <v>158.701176470588</v>
      </c>
      <c r="KJ69" s="47" t="n">
        <v>158.701176470588</v>
      </c>
      <c r="KK69" s="47" t="n">
        <v>158.701176470588</v>
      </c>
      <c r="KL69" s="47" t="n">
        <v>158.701176470588</v>
      </c>
    </row>
    <row r="70" customFormat="false" ht="15.75" hidden="false" customHeight="true" outlineLevel="0" collapsed="false">
      <c r="A70" s="35" t="s">
        <v>306</v>
      </c>
      <c r="B70" s="35" t="s">
        <v>307</v>
      </c>
      <c r="C70" s="35" t="s">
        <v>164</v>
      </c>
      <c r="D70" s="35" t="s">
        <v>165</v>
      </c>
      <c r="E70" s="35" t="s">
        <v>174</v>
      </c>
      <c r="G70" s="44" t="n">
        <v>0</v>
      </c>
      <c r="H70" s="44" t="n">
        <v>0</v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466.666666666667</v>
      </c>
      <c r="AD70" s="44" t="n">
        <v>466.666666666667</v>
      </c>
      <c r="AE70" s="44" t="n">
        <v>466.666666666667</v>
      </c>
      <c r="AF70" s="44" t="n">
        <v>466.666666666667</v>
      </c>
      <c r="AG70" s="44" t="n">
        <v>466.666666666667</v>
      </c>
      <c r="AH70" s="44" t="n">
        <v>466.666666666667</v>
      </c>
      <c r="AI70" s="44" t="n">
        <v>466.666666666667</v>
      </c>
      <c r="AJ70" s="44" t="n">
        <v>466.666666666667</v>
      </c>
      <c r="AK70" s="44" t="n">
        <v>466.666666666667</v>
      </c>
      <c r="AL70" s="44" t="n">
        <v>466.666666666667</v>
      </c>
      <c r="AM70" s="44" t="n">
        <v>466.666666666667</v>
      </c>
      <c r="AN70" s="44" t="n">
        <v>466.666666666667</v>
      </c>
      <c r="AO70" s="44" t="n">
        <v>466.666666666667</v>
      </c>
      <c r="AP70" s="44" t="n">
        <v>466.666666666667</v>
      </c>
      <c r="AQ70" s="44" t="n">
        <v>466.666666666667</v>
      </c>
      <c r="AR70" s="44" t="n">
        <v>466.666666666667</v>
      </c>
      <c r="AS70" s="44" t="n">
        <v>466.666666666667</v>
      </c>
      <c r="AT70" s="44" t="n">
        <v>466.666666666667</v>
      </c>
      <c r="AU70" s="44" t="n">
        <v>466.666666666667</v>
      </c>
      <c r="AV70" s="44" t="n">
        <v>466.666666666667</v>
      </c>
      <c r="AW70" s="44" t="n">
        <v>466.666666666667</v>
      </c>
      <c r="AX70" s="44" t="n">
        <v>466.666666666667</v>
      </c>
      <c r="AY70" s="44" t="n">
        <v>466.666666666667</v>
      </c>
      <c r="AZ70" s="44" t="n">
        <v>466.666666666667</v>
      </c>
      <c r="BA70" s="44" t="n">
        <v>466.666666666667</v>
      </c>
      <c r="BB70" s="44" t="n">
        <v>466.666666666667</v>
      </c>
      <c r="BC70" s="44" t="n">
        <v>466.666666666667</v>
      </c>
      <c r="BD70" s="44" t="n">
        <v>466.666666666667</v>
      </c>
      <c r="BE70" s="44" t="n">
        <v>466.666666666667</v>
      </c>
      <c r="BF70" s="44" t="n">
        <v>466.666666666667</v>
      </c>
      <c r="BG70" s="44" t="n">
        <v>466.666666666667</v>
      </c>
      <c r="BH70" s="44" t="n">
        <v>466.666666666667</v>
      </c>
      <c r="BI70" s="44" t="n">
        <v>466.666666666667</v>
      </c>
      <c r="BJ70" s="44" t="n">
        <v>466.666666666667</v>
      </c>
      <c r="BK70" s="44" t="n">
        <v>466.666666666667</v>
      </c>
      <c r="BL70" s="44" t="n">
        <v>466.666666666667</v>
      </c>
      <c r="BM70" s="44" t="n">
        <v>466.666666666667</v>
      </c>
      <c r="BN70" s="44" t="n">
        <v>466.666666666667</v>
      </c>
      <c r="BO70" s="44" t="n">
        <v>466.666666666667</v>
      </c>
      <c r="BP70" s="44" t="n">
        <v>466.666666666667</v>
      </c>
      <c r="BQ70" s="44" t="n">
        <v>466.666666666667</v>
      </c>
      <c r="BR70" s="45" t="n">
        <v>466.666666666667</v>
      </c>
      <c r="BS70" s="46" t="n">
        <v>466.666666666667</v>
      </c>
      <c r="BT70" s="46" t="n">
        <v>466.666666666667</v>
      </c>
      <c r="BU70" s="46" t="n">
        <v>466.666666666667</v>
      </c>
      <c r="BV70" s="46" t="n">
        <v>466.666666666667</v>
      </c>
      <c r="BW70" s="46" t="n">
        <v>466.666666666667</v>
      </c>
      <c r="BX70" s="46" t="n">
        <v>466.666666666667</v>
      </c>
      <c r="BY70" s="46" t="n">
        <v>466.666666666667</v>
      </c>
      <c r="BZ70" s="46" t="n">
        <v>466.666666666667</v>
      </c>
      <c r="EX70" s="47" t="n">
        <v>0</v>
      </c>
      <c r="EY70" s="47" t="n">
        <v>0</v>
      </c>
      <c r="EZ70" s="47" t="n">
        <v>0</v>
      </c>
      <c r="FA70" s="47" t="n">
        <v>0</v>
      </c>
      <c r="FB70" s="47" t="n">
        <v>0</v>
      </c>
      <c r="FC70" s="47" t="n">
        <v>0</v>
      </c>
      <c r="FD70" s="47" t="n">
        <v>0</v>
      </c>
      <c r="FE70" s="47" t="n">
        <v>0</v>
      </c>
      <c r="FF70" s="47" t="n">
        <v>0</v>
      </c>
      <c r="FG70" s="47" t="n">
        <v>0</v>
      </c>
      <c r="FH70" s="47" t="n">
        <v>0</v>
      </c>
      <c r="FI70" s="47" t="n">
        <v>0</v>
      </c>
      <c r="FJ70" s="47" t="n">
        <v>0</v>
      </c>
      <c r="FK70" s="47" t="n">
        <v>0</v>
      </c>
      <c r="FL70" s="47" t="n">
        <v>0</v>
      </c>
      <c r="FM70" s="47" t="n">
        <v>0</v>
      </c>
      <c r="FN70" s="47" t="n">
        <v>0</v>
      </c>
      <c r="FO70" s="47" t="n">
        <v>0</v>
      </c>
      <c r="FP70" s="47" t="n">
        <v>0</v>
      </c>
      <c r="FQ70" s="47" t="n">
        <v>0</v>
      </c>
      <c r="FR70" s="47" t="n">
        <v>0</v>
      </c>
      <c r="FS70" s="47" t="n">
        <v>0</v>
      </c>
      <c r="FT70" s="47" t="n">
        <v>466.666666666667</v>
      </c>
      <c r="FU70" s="47" t="n">
        <v>466.666666666667</v>
      </c>
      <c r="FV70" s="47" t="n">
        <v>466.666666666667</v>
      </c>
      <c r="FW70" s="47" t="n">
        <v>466.666666666667</v>
      </c>
      <c r="FX70" s="47" t="n">
        <v>466.666666666667</v>
      </c>
      <c r="FY70" s="47" t="n">
        <v>466.666666666667</v>
      </c>
      <c r="FZ70" s="47" t="n">
        <v>466.666666666667</v>
      </c>
      <c r="GA70" s="47" t="n">
        <v>466.666666666667</v>
      </c>
      <c r="GB70" s="47" t="n">
        <v>466.666666666667</v>
      </c>
      <c r="GC70" s="47" t="n">
        <v>466.666666666667</v>
      </c>
      <c r="GD70" s="47" t="n">
        <v>466.666666666667</v>
      </c>
      <c r="GE70" s="47" t="n">
        <v>466.666666666667</v>
      </c>
      <c r="GF70" s="47" t="n">
        <v>466.666666666667</v>
      </c>
      <c r="GG70" s="47" t="n">
        <v>466.666666666667</v>
      </c>
      <c r="GH70" s="47" t="n">
        <v>466.666666666667</v>
      </c>
      <c r="GI70" s="47" t="n">
        <v>466.666666666667</v>
      </c>
      <c r="GJ70" s="47" t="n">
        <v>466.666666666667</v>
      </c>
      <c r="GK70" s="47" t="n">
        <v>466.666666666667</v>
      </c>
      <c r="GL70" s="47" t="n">
        <v>466.666666666667</v>
      </c>
      <c r="GM70" s="47" t="n">
        <v>466.666666666667</v>
      </c>
      <c r="GN70" s="47" t="n">
        <v>466.666666666667</v>
      </c>
      <c r="GO70" s="47" t="n">
        <v>466.666666666667</v>
      </c>
      <c r="GP70" s="47" t="n">
        <v>466.666666666667</v>
      </c>
      <c r="GQ70" s="47" t="n">
        <v>466.666666666667</v>
      </c>
      <c r="GR70" s="47" t="n">
        <v>466.666666666667</v>
      </c>
      <c r="GS70" s="47" t="n">
        <v>466.666666666667</v>
      </c>
      <c r="GT70" s="47" t="n">
        <v>466.666666666667</v>
      </c>
      <c r="GU70" s="47" t="n">
        <v>466.666666666667</v>
      </c>
      <c r="GV70" s="47" t="n">
        <v>466.666666666667</v>
      </c>
      <c r="GW70" s="47" t="n">
        <v>466.666666666667</v>
      </c>
      <c r="GX70" s="47" t="n">
        <v>466.666666666667</v>
      </c>
      <c r="GY70" s="47" t="n">
        <v>466.666666666667</v>
      </c>
      <c r="GZ70" s="47" t="n">
        <v>466.666666666667</v>
      </c>
      <c r="HA70" s="47" t="n">
        <v>466.666666666667</v>
      </c>
      <c r="HB70" s="47" t="n">
        <v>466.666666666667</v>
      </c>
      <c r="HC70" s="47" t="n">
        <v>466.666666666667</v>
      </c>
      <c r="HD70" s="47" t="n">
        <v>466.666666666667</v>
      </c>
      <c r="HE70" s="47" t="n">
        <v>466.666666666667</v>
      </c>
      <c r="HF70" s="47" t="n">
        <v>466.666666666667</v>
      </c>
      <c r="HG70" s="47" t="n">
        <v>466.666666666667</v>
      </c>
      <c r="HH70" s="47" t="n">
        <v>466.666666666667</v>
      </c>
      <c r="HI70" s="48" t="n">
        <v>466.666666666667</v>
      </c>
      <c r="HJ70" s="47" t="n">
        <v>466.666666666667</v>
      </c>
      <c r="HK70" s="47" t="n">
        <v>466.666666666667</v>
      </c>
      <c r="HL70" s="47" t="n">
        <v>466.666666666667</v>
      </c>
      <c r="HM70" s="47" t="n">
        <v>466.666666666667</v>
      </c>
      <c r="HN70" s="47" t="n">
        <v>466.666666666667</v>
      </c>
      <c r="HO70" s="47" t="n">
        <v>466.666666666667</v>
      </c>
      <c r="HP70" s="47" t="n">
        <v>466.666666666667</v>
      </c>
      <c r="HQ70" s="47" t="n">
        <v>466.666666666667</v>
      </c>
      <c r="HS70" s="47" t="n">
        <v>0</v>
      </c>
      <c r="HT70" s="47" t="n">
        <v>0</v>
      </c>
      <c r="HU70" s="47" t="n">
        <v>0</v>
      </c>
      <c r="HV70" s="47" t="n">
        <v>0</v>
      </c>
      <c r="HW70" s="47" t="n">
        <v>0</v>
      </c>
      <c r="HX70" s="47" t="n">
        <v>0</v>
      </c>
      <c r="HY70" s="47" t="n">
        <v>0</v>
      </c>
      <c r="HZ70" s="47" t="n">
        <v>0</v>
      </c>
      <c r="IA70" s="47" t="n">
        <v>0</v>
      </c>
      <c r="IB70" s="47" t="n">
        <v>0</v>
      </c>
      <c r="IC70" s="47" t="n">
        <v>0</v>
      </c>
      <c r="ID70" s="47" t="n">
        <v>0</v>
      </c>
      <c r="IE70" s="47" t="n">
        <v>0</v>
      </c>
      <c r="IF70" s="47" t="n">
        <v>0</v>
      </c>
      <c r="IG70" s="47" t="n">
        <v>0</v>
      </c>
      <c r="IH70" s="47" t="n">
        <v>0</v>
      </c>
      <c r="II70" s="47" t="n">
        <v>0</v>
      </c>
      <c r="IJ70" s="47" t="n">
        <v>0</v>
      </c>
      <c r="IK70" s="47" t="n">
        <v>0</v>
      </c>
      <c r="IL70" s="47" t="n">
        <v>0</v>
      </c>
      <c r="IM70" s="47" t="n">
        <v>0</v>
      </c>
      <c r="IN70" s="47" t="n">
        <v>0</v>
      </c>
      <c r="IO70" s="47" t="n">
        <v>466.666666666667</v>
      </c>
      <c r="IP70" s="47" t="n">
        <v>466.666666666667</v>
      </c>
      <c r="IQ70" s="47" t="n">
        <v>466.666666666667</v>
      </c>
      <c r="IR70" s="47" t="n">
        <v>466.666666666667</v>
      </c>
      <c r="IS70" s="47" t="n">
        <v>466.666666666667</v>
      </c>
      <c r="IT70" s="47" t="n">
        <v>466.666666666667</v>
      </c>
      <c r="IU70" s="47" t="n">
        <v>466.666666666667</v>
      </c>
      <c r="IV70" s="47" t="n">
        <v>466.666666666667</v>
      </c>
      <c r="IW70" s="47" t="n">
        <v>466.666666666667</v>
      </c>
      <c r="IX70" s="47" t="n">
        <v>466.666666666667</v>
      </c>
      <c r="IY70" s="47" t="n">
        <v>466.666666666667</v>
      </c>
      <c r="IZ70" s="47" t="n">
        <v>466.666666666667</v>
      </c>
      <c r="JA70" s="47" t="n">
        <v>466.666666666667</v>
      </c>
      <c r="JB70" s="47" t="n">
        <v>466.666666666667</v>
      </c>
      <c r="JC70" s="47" t="n">
        <v>466.666666666667</v>
      </c>
      <c r="JD70" s="47" t="n">
        <v>466.666666666667</v>
      </c>
      <c r="JE70" s="47" t="n">
        <v>466.666666666667</v>
      </c>
      <c r="JF70" s="47" t="n">
        <v>466.666666666667</v>
      </c>
      <c r="JG70" s="47" t="n">
        <v>466.666666666667</v>
      </c>
      <c r="JH70" s="47" t="n">
        <v>466.666666666667</v>
      </c>
      <c r="JI70" s="47" t="n">
        <v>466.666666666667</v>
      </c>
      <c r="JJ70" s="47" t="n">
        <v>466.666666666667</v>
      </c>
      <c r="JK70" s="47" t="n">
        <v>466.666666666667</v>
      </c>
      <c r="JL70" s="47" t="n">
        <v>466.666666666667</v>
      </c>
      <c r="JM70" s="47" t="n">
        <v>466.666666666667</v>
      </c>
      <c r="JN70" s="47" t="n">
        <v>466.666666666667</v>
      </c>
      <c r="JO70" s="47" t="n">
        <v>466.666666666667</v>
      </c>
      <c r="JP70" s="47" t="n">
        <v>466.666666666667</v>
      </c>
      <c r="JQ70" s="47" t="n">
        <v>466.666666666667</v>
      </c>
      <c r="JR70" s="47" t="n">
        <v>466.666666666667</v>
      </c>
      <c r="JS70" s="47" t="n">
        <v>466.666666666667</v>
      </c>
      <c r="JT70" s="47" t="n">
        <v>466.666666666667</v>
      </c>
      <c r="JU70" s="47" t="n">
        <v>466.666666666667</v>
      </c>
      <c r="JV70" s="47" t="n">
        <v>466.666666666667</v>
      </c>
      <c r="JW70" s="47" t="n">
        <v>466.666666666667</v>
      </c>
      <c r="JX70" s="47" t="n">
        <v>466.666666666667</v>
      </c>
      <c r="JY70" s="47" t="n">
        <v>466.666666666667</v>
      </c>
      <c r="JZ70" s="47" t="n">
        <v>466.666666666667</v>
      </c>
      <c r="KA70" s="47" t="n">
        <v>466.666666666667</v>
      </c>
      <c r="KB70" s="47" t="n">
        <v>466.666666666667</v>
      </c>
      <c r="KC70" s="47" t="n">
        <v>466.666666666667</v>
      </c>
      <c r="KD70" s="48" t="n">
        <v>466.666666666667</v>
      </c>
      <c r="KE70" s="47" t="n">
        <v>466.666666666667</v>
      </c>
      <c r="KF70" s="47" t="n">
        <v>466.666666666667</v>
      </c>
      <c r="KG70" s="47" t="n">
        <v>466.666666666667</v>
      </c>
      <c r="KH70" s="47" t="n">
        <v>466.666666666667</v>
      </c>
      <c r="KI70" s="47" t="n">
        <v>466.666666666667</v>
      </c>
      <c r="KJ70" s="47" t="n">
        <v>466.666666666667</v>
      </c>
      <c r="KK70" s="47" t="n">
        <v>466.666666666667</v>
      </c>
      <c r="KL70" s="47" t="n">
        <v>466.666666666667</v>
      </c>
    </row>
    <row r="71" customFormat="false" ht="15.75" hidden="false" customHeight="true" outlineLevel="0" collapsed="false">
      <c r="A71" s="35" t="s">
        <v>308</v>
      </c>
      <c r="B71" s="35" t="s">
        <v>309</v>
      </c>
      <c r="C71" s="35" t="s">
        <v>164</v>
      </c>
      <c r="D71" s="35" t="s">
        <v>256</v>
      </c>
      <c r="E71" s="35" t="s">
        <v>177</v>
      </c>
      <c r="G71" s="44" t="n">
        <v>0</v>
      </c>
      <c r="H71" s="44" t="n">
        <v>0</v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125</v>
      </c>
      <c r="Q71" s="44" t="n">
        <v>125</v>
      </c>
      <c r="R71" s="44" t="n">
        <v>125</v>
      </c>
      <c r="S71" s="44" t="n">
        <v>125</v>
      </c>
      <c r="T71" s="44" t="n">
        <v>125</v>
      </c>
      <c r="U71" s="44" t="n">
        <v>125</v>
      </c>
      <c r="V71" s="44" t="n">
        <v>125</v>
      </c>
      <c r="W71" s="44" t="n">
        <v>125</v>
      </c>
      <c r="X71" s="44" t="n">
        <v>125</v>
      </c>
      <c r="Y71" s="44" t="n">
        <v>125</v>
      </c>
      <c r="Z71" s="44" t="n">
        <v>125</v>
      </c>
      <c r="AA71" s="44" t="n">
        <v>125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  <c r="AL71" s="44" t="n">
        <v>0</v>
      </c>
      <c r="AM71" s="44" t="n">
        <v>0</v>
      </c>
      <c r="AN71" s="44" t="n">
        <v>0</v>
      </c>
      <c r="AO71" s="44" t="n">
        <v>0</v>
      </c>
      <c r="AP71" s="44" t="n">
        <v>0</v>
      </c>
      <c r="BS71" s="46" t="n">
        <v>0</v>
      </c>
      <c r="BT71" s="46" t="n">
        <v>0</v>
      </c>
      <c r="BU71" s="46" t="n">
        <v>0</v>
      </c>
      <c r="BV71" s="46" t="n">
        <v>0</v>
      </c>
      <c r="BW71" s="46" t="n">
        <v>0</v>
      </c>
      <c r="BX71" s="46" t="n">
        <v>0</v>
      </c>
      <c r="BY71" s="46" t="n">
        <v>0</v>
      </c>
      <c r="BZ71" s="46" t="n">
        <v>0</v>
      </c>
      <c r="EX71" s="47" t="n">
        <v>0</v>
      </c>
      <c r="EY71" s="47" t="n">
        <v>0</v>
      </c>
      <c r="EZ71" s="47" t="n">
        <v>0</v>
      </c>
      <c r="FA71" s="47" t="n">
        <v>0</v>
      </c>
      <c r="FB71" s="47" t="n">
        <v>0</v>
      </c>
      <c r="FC71" s="47" t="n">
        <v>0</v>
      </c>
      <c r="FD71" s="47" t="n">
        <v>0</v>
      </c>
      <c r="FE71" s="47" t="n">
        <v>0</v>
      </c>
      <c r="FF71" s="47" t="n">
        <v>0</v>
      </c>
      <c r="FG71" s="47" t="n">
        <v>125</v>
      </c>
      <c r="FH71" s="47" t="n">
        <v>125</v>
      </c>
      <c r="FI71" s="47" t="n">
        <v>125</v>
      </c>
      <c r="FJ71" s="47" t="n">
        <v>125</v>
      </c>
      <c r="FK71" s="47" t="n">
        <v>125</v>
      </c>
      <c r="FL71" s="47" t="n">
        <v>125</v>
      </c>
      <c r="FM71" s="47" t="n">
        <v>125</v>
      </c>
      <c r="FN71" s="47" t="n">
        <v>125</v>
      </c>
      <c r="FO71" s="47" t="n">
        <v>125</v>
      </c>
      <c r="FP71" s="47" t="n">
        <v>125</v>
      </c>
      <c r="FQ71" s="47" t="n">
        <v>125</v>
      </c>
      <c r="FR71" s="47" t="n">
        <v>125</v>
      </c>
      <c r="FS71" s="47" t="n">
        <v>0</v>
      </c>
      <c r="FT71" s="47" t="n">
        <v>0</v>
      </c>
      <c r="FU71" s="47" t="n">
        <v>0</v>
      </c>
      <c r="FV71" s="47" t="n">
        <v>0</v>
      </c>
      <c r="FW71" s="47" t="n">
        <v>0</v>
      </c>
      <c r="FX71" s="47" t="n">
        <v>0</v>
      </c>
      <c r="FY71" s="47" t="n">
        <v>0</v>
      </c>
      <c r="FZ71" s="47" t="n">
        <v>0</v>
      </c>
      <c r="GA71" s="47" t="n">
        <v>0</v>
      </c>
      <c r="GB71" s="47" t="n">
        <v>0</v>
      </c>
      <c r="GC71" s="47" t="n">
        <v>0</v>
      </c>
      <c r="GD71" s="47" t="n">
        <v>0</v>
      </c>
      <c r="GE71" s="47" t="n">
        <v>0</v>
      </c>
      <c r="GF71" s="47" t="n">
        <v>0</v>
      </c>
      <c r="GG71" s="47" t="n">
        <v>0</v>
      </c>
      <c r="GH71" s="47" t="n">
        <v>0</v>
      </c>
      <c r="GI71" s="47" t="n">
        <v>0</v>
      </c>
      <c r="GJ71" s="47" t="n">
        <v>0</v>
      </c>
      <c r="GK71" s="47" t="n">
        <v>0</v>
      </c>
      <c r="GL71" s="47" t="n">
        <v>0</v>
      </c>
      <c r="GM71" s="47" t="n">
        <v>0</v>
      </c>
      <c r="GN71" s="47" t="n">
        <v>0</v>
      </c>
      <c r="GO71" s="47" t="n">
        <v>0</v>
      </c>
      <c r="GP71" s="47" t="n">
        <v>0</v>
      </c>
      <c r="GQ71" s="47" t="n">
        <v>0</v>
      </c>
      <c r="GR71" s="47" t="n">
        <v>0</v>
      </c>
      <c r="GS71" s="47" t="n">
        <v>0</v>
      </c>
      <c r="GT71" s="47" t="n">
        <v>0</v>
      </c>
      <c r="GU71" s="47" t="n">
        <v>0</v>
      </c>
      <c r="GV71" s="47" t="n">
        <v>0</v>
      </c>
      <c r="GW71" s="47" t="n">
        <v>0</v>
      </c>
      <c r="GX71" s="47" t="n">
        <v>0</v>
      </c>
      <c r="GY71" s="47" t="n">
        <v>0</v>
      </c>
      <c r="GZ71" s="47" t="n">
        <v>0</v>
      </c>
      <c r="HA71" s="47" t="n">
        <v>0</v>
      </c>
      <c r="HB71" s="47" t="n">
        <v>0</v>
      </c>
      <c r="HC71" s="47" t="n">
        <v>0</v>
      </c>
      <c r="HD71" s="47" t="n">
        <v>0</v>
      </c>
      <c r="HE71" s="47" t="n">
        <v>0</v>
      </c>
      <c r="HF71" s="47" t="n">
        <v>0</v>
      </c>
      <c r="HG71" s="47" t="n">
        <v>0</v>
      </c>
      <c r="HH71" s="47" t="n">
        <v>0</v>
      </c>
      <c r="HI71" s="48" t="n">
        <v>0</v>
      </c>
      <c r="HJ71" s="47" t="n">
        <v>0</v>
      </c>
      <c r="HK71" s="47" t="n">
        <v>0</v>
      </c>
      <c r="HL71" s="47" t="n">
        <v>0</v>
      </c>
      <c r="HM71" s="47" t="n">
        <v>0</v>
      </c>
      <c r="HN71" s="47" t="n">
        <v>0</v>
      </c>
      <c r="HO71" s="47" t="n">
        <v>0</v>
      </c>
      <c r="HP71" s="47" t="n">
        <v>0</v>
      </c>
      <c r="HQ71" s="47" t="n">
        <v>0</v>
      </c>
      <c r="HS71" s="47" t="n">
        <v>0</v>
      </c>
      <c r="HT71" s="47" t="n">
        <v>0</v>
      </c>
      <c r="HU71" s="47" t="n">
        <v>0</v>
      </c>
      <c r="HV71" s="47" t="n">
        <v>0</v>
      </c>
      <c r="HW71" s="47" t="n">
        <v>0</v>
      </c>
      <c r="HX71" s="47" t="n">
        <v>0</v>
      </c>
      <c r="HY71" s="47" t="n">
        <v>0</v>
      </c>
      <c r="HZ71" s="47" t="n">
        <v>0</v>
      </c>
      <c r="IA71" s="47" t="n">
        <v>0</v>
      </c>
      <c r="IB71" s="47" t="n">
        <v>125</v>
      </c>
      <c r="IC71" s="47" t="n">
        <v>125</v>
      </c>
      <c r="ID71" s="47" t="n">
        <v>125</v>
      </c>
      <c r="IE71" s="47" t="n">
        <v>125</v>
      </c>
      <c r="IF71" s="47" t="n">
        <v>125</v>
      </c>
      <c r="IG71" s="47" t="n">
        <v>125</v>
      </c>
      <c r="IH71" s="47" t="n">
        <v>125</v>
      </c>
      <c r="II71" s="47" t="n">
        <v>125</v>
      </c>
      <c r="IJ71" s="47" t="n">
        <v>125</v>
      </c>
      <c r="IK71" s="47" t="n">
        <v>125</v>
      </c>
      <c r="IL71" s="47" t="n">
        <v>125</v>
      </c>
      <c r="IM71" s="47" t="n">
        <v>125</v>
      </c>
      <c r="IN71" s="47" t="n">
        <v>0</v>
      </c>
      <c r="IO71" s="47" t="n">
        <v>0</v>
      </c>
      <c r="IP71" s="47" t="n">
        <v>0</v>
      </c>
      <c r="IQ71" s="47" t="n">
        <v>0</v>
      </c>
      <c r="IR71" s="47" t="n">
        <v>0</v>
      </c>
      <c r="IS71" s="47" t="n">
        <v>0</v>
      </c>
      <c r="IT71" s="47" t="n">
        <v>0</v>
      </c>
      <c r="IU71" s="47" t="n">
        <v>0</v>
      </c>
      <c r="IV71" s="47" t="n">
        <v>0</v>
      </c>
      <c r="IW71" s="47" t="n">
        <v>0</v>
      </c>
      <c r="IX71" s="47" t="n">
        <v>0</v>
      </c>
      <c r="IY71" s="47" t="n">
        <v>0</v>
      </c>
      <c r="IZ71" s="47" t="n">
        <v>0</v>
      </c>
      <c r="JA71" s="47" t="n">
        <v>0</v>
      </c>
      <c r="JB71" s="47" t="n">
        <v>0</v>
      </c>
      <c r="JC71" s="47" t="n">
        <v>0</v>
      </c>
      <c r="JD71" s="47" t="n">
        <v>0</v>
      </c>
      <c r="JE71" s="47" t="n">
        <v>0</v>
      </c>
      <c r="JF71" s="47" t="n">
        <v>0</v>
      </c>
      <c r="JG71" s="47" t="n">
        <v>0</v>
      </c>
      <c r="JH71" s="47" t="n">
        <v>0</v>
      </c>
      <c r="JI71" s="47" t="n">
        <v>0</v>
      </c>
      <c r="JJ71" s="47" t="n">
        <v>0</v>
      </c>
      <c r="JK71" s="47" t="n">
        <v>0</v>
      </c>
      <c r="JL71" s="47" t="n">
        <v>0</v>
      </c>
      <c r="JM71" s="47" t="n">
        <v>0</v>
      </c>
      <c r="JN71" s="47" t="n">
        <v>0</v>
      </c>
      <c r="JO71" s="47" t="n">
        <v>0</v>
      </c>
      <c r="JP71" s="47" t="n">
        <v>0</v>
      </c>
      <c r="JQ71" s="47" t="n">
        <v>0</v>
      </c>
      <c r="JR71" s="47" t="n">
        <v>0</v>
      </c>
      <c r="JS71" s="47" t="n">
        <v>0</v>
      </c>
      <c r="JT71" s="47" t="n">
        <v>0</v>
      </c>
      <c r="JU71" s="47" t="n">
        <v>0</v>
      </c>
      <c r="JV71" s="47" t="n">
        <v>0</v>
      </c>
      <c r="JW71" s="47" t="n">
        <v>0</v>
      </c>
      <c r="JX71" s="47" t="n">
        <v>0</v>
      </c>
      <c r="JY71" s="47" t="n">
        <v>0</v>
      </c>
      <c r="JZ71" s="47" t="n">
        <v>0</v>
      </c>
      <c r="KA71" s="47" t="n">
        <v>0</v>
      </c>
      <c r="KB71" s="47" t="n">
        <v>0</v>
      </c>
      <c r="KC71" s="47" t="n">
        <v>0</v>
      </c>
      <c r="KD71" s="48" t="n">
        <v>0</v>
      </c>
      <c r="KE71" s="47" t="n">
        <v>0</v>
      </c>
      <c r="KF71" s="47" t="n">
        <v>0</v>
      </c>
      <c r="KG71" s="47" t="n">
        <v>0</v>
      </c>
      <c r="KH71" s="47" t="n">
        <v>0</v>
      </c>
      <c r="KI71" s="47" t="n">
        <v>0</v>
      </c>
      <c r="KJ71" s="47" t="n">
        <v>0</v>
      </c>
      <c r="KK71" s="47" t="n">
        <v>0</v>
      </c>
      <c r="KL71" s="47" t="n">
        <v>0</v>
      </c>
    </row>
    <row r="72" customFormat="false" ht="15.75" hidden="false" customHeight="true" outlineLevel="0" collapsed="false">
      <c r="A72" s="35" t="s">
        <v>310</v>
      </c>
      <c r="B72" s="35" t="s">
        <v>311</v>
      </c>
      <c r="C72" s="35" t="s">
        <v>164</v>
      </c>
      <c r="D72" s="35" t="s">
        <v>165</v>
      </c>
      <c r="E72" s="35" t="s">
        <v>166</v>
      </c>
      <c r="G72" s="44" t="n">
        <v>400</v>
      </c>
      <c r="H72" s="44" t="n">
        <v>400</v>
      </c>
      <c r="I72" s="44" t="n">
        <v>400</v>
      </c>
      <c r="J72" s="44" t="n">
        <v>400</v>
      </c>
      <c r="K72" s="44" t="n">
        <v>400</v>
      </c>
      <c r="L72" s="44" t="n">
        <v>400</v>
      </c>
      <c r="M72" s="44" t="n">
        <v>400</v>
      </c>
      <c r="N72" s="44" t="n">
        <v>400</v>
      </c>
      <c r="O72" s="44" t="n">
        <v>400</v>
      </c>
      <c r="P72" s="44" t="n">
        <v>400</v>
      </c>
      <c r="Q72" s="44" t="n">
        <v>400</v>
      </c>
      <c r="R72" s="44" t="n">
        <v>400</v>
      </c>
      <c r="S72" s="44" t="n">
        <v>400</v>
      </c>
      <c r="T72" s="44" t="n">
        <v>400</v>
      </c>
      <c r="U72" s="44" t="n">
        <v>400</v>
      </c>
      <c r="V72" s="44" t="n">
        <v>400</v>
      </c>
      <c r="W72" s="44" t="n">
        <v>400</v>
      </c>
      <c r="X72" s="44" t="n">
        <v>400</v>
      </c>
      <c r="Y72" s="44" t="n">
        <v>400</v>
      </c>
      <c r="Z72" s="44" t="n">
        <v>400</v>
      </c>
      <c r="AA72" s="44" t="n">
        <v>400</v>
      </c>
      <c r="AB72" s="44" t="n">
        <v>400</v>
      </c>
      <c r="AC72" s="44" t="n">
        <v>400</v>
      </c>
      <c r="AD72" s="44" t="n">
        <v>400</v>
      </c>
      <c r="AE72" s="44" t="n">
        <v>400</v>
      </c>
      <c r="AF72" s="44" t="n">
        <v>400</v>
      </c>
      <c r="AG72" s="44" t="n">
        <v>400</v>
      </c>
      <c r="AH72" s="44" t="n">
        <v>400</v>
      </c>
      <c r="AI72" s="44" t="n">
        <v>400</v>
      </c>
      <c r="AJ72" s="44" t="n">
        <v>400</v>
      </c>
      <c r="AK72" s="44" t="n">
        <v>500</v>
      </c>
      <c r="AL72" s="44" t="n">
        <v>500</v>
      </c>
      <c r="AM72" s="44" t="n">
        <v>500</v>
      </c>
      <c r="AN72" s="44" t="n">
        <v>500</v>
      </c>
      <c r="AO72" s="44" t="n">
        <v>500</v>
      </c>
      <c r="AP72" s="44" t="n">
        <v>500</v>
      </c>
      <c r="AQ72" s="44" t="n">
        <v>500</v>
      </c>
      <c r="AR72" s="44" t="n">
        <v>500</v>
      </c>
      <c r="AS72" s="44" t="n">
        <v>500</v>
      </c>
      <c r="AT72" s="44" t="n">
        <v>500</v>
      </c>
      <c r="AU72" s="44" t="n">
        <v>500</v>
      </c>
      <c r="AV72" s="44" t="n">
        <v>500</v>
      </c>
      <c r="AW72" s="44" t="n">
        <v>700</v>
      </c>
      <c r="AX72" s="44" t="n">
        <v>700</v>
      </c>
      <c r="AY72" s="44" t="n">
        <v>700</v>
      </c>
      <c r="AZ72" s="44" t="n">
        <v>700</v>
      </c>
      <c r="BA72" s="44" t="n">
        <v>700</v>
      </c>
      <c r="BB72" s="44" t="n">
        <v>700</v>
      </c>
      <c r="BC72" s="44" t="n">
        <v>700</v>
      </c>
      <c r="BD72" s="44" t="n">
        <v>700</v>
      </c>
      <c r="BE72" s="44" t="n">
        <v>700</v>
      </c>
      <c r="BF72" s="44" t="n">
        <v>700</v>
      </c>
      <c r="BG72" s="44" t="n">
        <v>700</v>
      </c>
      <c r="BH72" s="44" t="n">
        <v>700</v>
      </c>
      <c r="BI72" s="44" t="n">
        <v>1200</v>
      </c>
      <c r="BJ72" s="44" t="n">
        <v>1200</v>
      </c>
      <c r="BK72" s="44" t="n">
        <v>1200</v>
      </c>
      <c r="BL72" s="44" t="n">
        <v>1200</v>
      </c>
      <c r="BM72" s="44" t="n">
        <v>1200</v>
      </c>
      <c r="BN72" s="44" t="n">
        <v>1200</v>
      </c>
      <c r="BO72" s="44" t="n">
        <v>1200</v>
      </c>
      <c r="BP72" s="44" t="n">
        <v>1200</v>
      </c>
      <c r="BQ72" s="44" t="n">
        <v>1200</v>
      </c>
      <c r="BR72" s="45" t="n">
        <v>1200</v>
      </c>
      <c r="BS72" s="46" t="n">
        <v>1200</v>
      </c>
      <c r="BT72" s="46" t="n">
        <v>1200</v>
      </c>
      <c r="BU72" s="46" t="n">
        <v>1200</v>
      </c>
      <c r="BV72" s="46" t="n">
        <v>1200</v>
      </c>
      <c r="BW72" s="46" t="n">
        <v>1200</v>
      </c>
      <c r="BX72" s="46" t="n">
        <v>1200</v>
      </c>
      <c r="BY72" s="46" t="n">
        <v>1200</v>
      </c>
      <c r="BZ72" s="46" t="n">
        <v>1200</v>
      </c>
      <c r="EX72" s="47" t="n">
        <v>400</v>
      </c>
      <c r="EY72" s="47" t="n">
        <v>400</v>
      </c>
      <c r="EZ72" s="47" t="n">
        <v>400</v>
      </c>
      <c r="FA72" s="47" t="n">
        <v>400</v>
      </c>
      <c r="FB72" s="47" t="n">
        <v>400</v>
      </c>
      <c r="FC72" s="47" t="n">
        <v>400</v>
      </c>
      <c r="FD72" s="47" t="n">
        <v>400</v>
      </c>
      <c r="FE72" s="47" t="n">
        <v>400</v>
      </c>
      <c r="FF72" s="47" t="n">
        <v>400</v>
      </c>
      <c r="FG72" s="47" t="n">
        <v>400</v>
      </c>
      <c r="FH72" s="47" t="n">
        <v>400</v>
      </c>
      <c r="FI72" s="47" t="n">
        <v>400</v>
      </c>
      <c r="FJ72" s="47" t="n">
        <v>400</v>
      </c>
      <c r="FK72" s="47" t="n">
        <v>400</v>
      </c>
      <c r="FL72" s="47" t="n">
        <v>400</v>
      </c>
      <c r="FM72" s="47" t="n">
        <v>400</v>
      </c>
      <c r="FN72" s="47" t="n">
        <v>400</v>
      </c>
      <c r="FO72" s="47" t="n">
        <v>400</v>
      </c>
      <c r="FP72" s="47" t="n">
        <v>400</v>
      </c>
      <c r="FQ72" s="47" t="n">
        <v>400</v>
      </c>
      <c r="FR72" s="47" t="n">
        <v>400</v>
      </c>
      <c r="FS72" s="47" t="n">
        <v>400</v>
      </c>
      <c r="FT72" s="47" t="n">
        <v>400</v>
      </c>
      <c r="FU72" s="47" t="n">
        <v>400</v>
      </c>
      <c r="FV72" s="47" t="n">
        <v>400</v>
      </c>
      <c r="FW72" s="47" t="n">
        <v>400</v>
      </c>
      <c r="FX72" s="47" t="n">
        <v>400</v>
      </c>
      <c r="FY72" s="47" t="n">
        <v>400</v>
      </c>
      <c r="FZ72" s="47" t="n">
        <v>400</v>
      </c>
      <c r="GA72" s="47" t="n">
        <v>400</v>
      </c>
      <c r="GB72" s="47" t="n">
        <v>500</v>
      </c>
      <c r="GC72" s="47" t="n">
        <v>500</v>
      </c>
      <c r="GD72" s="47" t="n">
        <v>500</v>
      </c>
      <c r="GE72" s="47" t="n">
        <v>500</v>
      </c>
      <c r="GF72" s="47" t="n">
        <v>500</v>
      </c>
      <c r="GG72" s="47" t="n">
        <v>500</v>
      </c>
      <c r="GH72" s="47" t="n">
        <v>500</v>
      </c>
      <c r="GI72" s="47" t="n">
        <v>500</v>
      </c>
      <c r="GJ72" s="47" t="n">
        <v>500</v>
      </c>
      <c r="GK72" s="47" t="n">
        <v>500</v>
      </c>
      <c r="GL72" s="47" t="n">
        <v>500</v>
      </c>
      <c r="GM72" s="47" t="n">
        <v>500</v>
      </c>
      <c r="GN72" s="47" t="n">
        <v>700</v>
      </c>
      <c r="GO72" s="47" t="n">
        <v>700</v>
      </c>
      <c r="GP72" s="47" t="n">
        <v>700</v>
      </c>
      <c r="GQ72" s="47" t="n">
        <v>700</v>
      </c>
      <c r="GR72" s="47" t="n">
        <v>700</v>
      </c>
      <c r="GS72" s="47" t="n">
        <v>700</v>
      </c>
      <c r="GT72" s="47" t="n">
        <v>700</v>
      </c>
      <c r="GU72" s="47" t="n">
        <v>700</v>
      </c>
      <c r="GV72" s="47" t="n">
        <v>700</v>
      </c>
      <c r="GW72" s="47" t="n">
        <v>700</v>
      </c>
      <c r="GX72" s="47" t="n">
        <v>700</v>
      </c>
      <c r="GY72" s="47" t="n">
        <v>700</v>
      </c>
      <c r="GZ72" s="47" t="n">
        <v>1200</v>
      </c>
      <c r="HA72" s="47" t="n">
        <v>1200</v>
      </c>
      <c r="HB72" s="47" t="n">
        <v>1200</v>
      </c>
      <c r="HC72" s="47" t="n">
        <v>1200</v>
      </c>
      <c r="HD72" s="47" t="n">
        <v>1200</v>
      </c>
      <c r="HE72" s="47" t="n">
        <v>1200</v>
      </c>
      <c r="HF72" s="47" t="n">
        <v>1200</v>
      </c>
      <c r="HG72" s="47" t="n">
        <v>1200</v>
      </c>
      <c r="HH72" s="47" t="n">
        <v>1200</v>
      </c>
      <c r="HI72" s="48" t="n">
        <v>1200</v>
      </c>
      <c r="HJ72" s="47" t="n">
        <v>1200</v>
      </c>
      <c r="HK72" s="47" t="n">
        <v>1200</v>
      </c>
      <c r="HL72" s="47" t="n">
        <v>1200</v>
      </c>
      <c r="HM72" s="47" t="n">
        <v>1200</v>
      </c>
      <c r="HN72" s="47" t="n">
        <v>1200</v>
      </c>
      <c r="HO72" s="47" t="n">
        <v>1200</v>
      </c>
      <c r="HP72" s="47" t="n">
        <v>1200</v>
      </c>
      <c r="HQ72" s="47" t="n">
        <v>1200</v>
      </c>
      <c r="HS72" s="47" t="n">
        <v>400</v>
      </c>
      <c r="HT72" s="47" t="n">
        <v>400</v>
      </c>
      <c r="HU72" s="47" t="n">
        <v>400</v>
      </c>
      <c r="HV72" s="47" t="n">
        <v>400</v>
      </c>
      <c r="HW72" s="47" t="n">
        <v>400</v>
      </c>
      <c r="HX72" s="47" t="n">
        <v>400</v>
      </c>
      <c r="HY72" s="47" t="n">
        <v>400</v>
      </c>
      <c r="HZ72" s="47" t="n">
        <v>400</v>
      </c>
      <c r="IA72" s="47" t="n">
        <v>400</v>
      </c>
      <c r="IB72" s="47" t="n">
        <v>400</v>
      </c>
      <c r="IC72" s="47" t="n">
        <v>400</v>
      </c>
      <c r="ID72" s="47" t="n">
        <v>400</v>
      </c>
      <c r="IE72" s="47" t="n">
        <v>400</v>
      </c>
      <c r="IF72" s="47" t="n">
        <v>400</v>
      </c>
      <c r="IG72" s="47" t="n">
        <v>400</v>
      </c>
      <c r="IH72" s="47" t="n">
        <v>400</v>
      </c>
      <c r="II72" s="47" t="n">
        <v>400</v>
      </c>
      <c r="IJ72" s="47" t="n">
        <v>400</v>
      </c>
      <c r="IK72" s="47" t="n">
        <v>400</v>
      </c>
      <c r="IL72" s="47" t="n">
        <v>400</v>
      </c>
      <c r="IM72" s="47" t="n">
        <v>400</v>
      </c>
      <c r="IN72" s="47" t="n">
        <v>400</v>
      </c>
      <c r="IO72" s="47" t="n">
        <v>400</v>
      </c>
      <c r="IP72" s="47" t="n">
        <v>400</v>
      </c>
      <c r="IQ72" s="47" t="n">
        <v>400</v>
      </c>
      <c r="IR72" s="47" t="n">
        <v>400</v>
      </c>
      <c r="IS72" s="47" t="n">
        <v>400</v>
      </c>
      <c r="IT72" s="47" t="n">
        <v>400</v>
      </c>
      <c r="IU72" s="47" t="n">
        <v>400</v>
      </c>
      <c r="IV72" s="47" t="n">
        <v>400</v>
      </c>
      <c r="IW72" s="47" t="n">
        <v>500</v>
      </c>
      <c r="IX72" s="47" t="n">
        <v>500</v>
      </c>
      <c r="IY72" s="47" t="n">
        <v>500</v>
      </c>
      <c r="IZ72" s="47" t="n">
        <v>500</v>
      </c>
      <c r="JA72" s="47" t="n">
        <v>500</v>
      </c>
      <c r="JB72" s="47" t="n">
        <v>500</v>
      </c>
      <c r="JC72" s="47" t="n">
        <v>500</v>
      </c>
      <c r="JD72" s="47" t="n">
        <v>500</v>
      </c>
      <c r="JE72" s="47" t="n">
        <v>500</v>
      </c>
      <c r="JF72" s="47" t="n">
        <v>500</v>
      </c>
      <c r="JG72" s="47" t="n">
        <v>500</v>
      </c>
      <c r="JH72" s="47" t="n">
        <v>500</v>
      </c>
      <c r="JI72" s="47" t="n">
        <v>700</v>
      </c>
      <c r="JJ72" s="47" t="n">
        <v>700</v>
      </c>
      <c r="JK72" s="47" t="n">
        <v>700</v>
      </c>
      <c r="JL72" s="47" t="n">
        <v>700</v>
      </c>
      <c r="JM72" s="47" t="n">
        <v>700</v>
      </c>
      <c r="JN72" s="47" t="n">
        <v>700</v>
      </c>
      <c r="JO72" s="47" t="n">
        <v>700</v>
      </c>
      <c r="JP72" s="47" t="n">
        <v>700</v>
      </c>
      <c r="JQ72" s="47" t="n">
        <v>700</v>
      </c>
      <c r="JR72" s="47" t="n">
        <v>700</v>
      </c>
      <c r="JS72" s="47" t="n">
        <v>700</v>
      </c>
      <c r="JT72" s="47" t="n">
        <v>700</v>
      </c>
      <c r="JU72" s="47" t="n">
        <v>1200</v>
      </c>
      <c r="JV72" s="47" t="n">
        <v>1200</v>
      </c>
      <c r="JW72" s="47" t="n">
        <v>1200</v>
      </c>
      <c r="JX72" s="47" t="n">
        <v>1200</v>
      </c>
      <c r="JY72" s="47" t="n">
        <v>1200</v>
      </c>
      <c r="JZ72" s="47" t="n">
        <v>1200</v>
      </c>
      <c r="KA72" s="47" t="n">
        <v>1200</v>
      </c>
      <c r="KB72" s="47" t="n">
        <v>1200</v>
      </c>
      <c r="KC72" s="47" t="n">
        <v>1200</v>
      </c>
      <c r="KD72" s="48" t="n">
        <v>1200</v>
      </c>
      <c r="KE72" s="47" t="n">
        <v>1200</v>
      </c>
      <c r="KF72" s="47" t="n">
        <v>1200</v>
      </c>
      <c r="KG72" s="47" t="n">
        <v>1200</v>
      </c>
      <c r="KH72" s="47" t="n">
        <v>1200</v>
      </c>
      <c r="KI72" s="47" t="n">
        <v>1200</v>
      </c>
      <c r="KJ72" s="47" t="n">
        <v>1200</v>
      </c>
      <c r="KK72" s="47" t="n">
        <v>1200</v>
      </c>
      <c r="KL72" s="47" t="n">
        <v>1200</v>
      </c>
    </row>
    <row r="73" customFormat="false" ht="15.75" hidden="false" customHeight="true" outlineLevel="0" collapsed="false">
      <c r="A73" s="35" t="s">
        <v>312</v>
      </c>
      <c r="B73" s="35" t="s">
        <v>313</v>
      </c>
      <c r="C73" s="35" t="s">
        <v>164</v>
      </c>
      <c r="D73" s="35" t="s">
        <v>191</v>
      </c>
      <c r="E73" s="35" t="s">
        <v>166</v>
      </c>
      <c r="G73" s="44" t="n">
        <v>0</v>
      </c>
      <c r="H73" s="44" t="n">
        <v>0</v>
      </c>
      <c r="I73" s="44" t="n">
        <v>0</v>
      </c>
      <c r="J73" s="44" t="n">
        <v>0</v>
      </c>
      <c r="K73" s="44" t="n">
        <v>0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0</v>
      </c>
      <c r="Q73" s="44" t="n">
        <v>0</v>
      </c>
      <c r="R73" s="44" t="n">
        <v>0</v>
      </c>
      <c r="S73" s="44" t="n">
        <v>0</v>
      </c>
      <c r="T73" s="44" t="n">
        <v>0</v>
      </c>
      <c r="U73" s="44" t="n">
        <v>0</v>
      </c>
      <c r="V73" s="44" t="n">
        <v>0</v>
      </c>
      <c r="W73" s="44" t="n">
        <v>0</v>
      </c>
      <c r="X73" s="44" t="n">
        <v>0</v>
      </c>
      <c r="Y73" s="44" t="n">
        <v>0</v>
      </c>
      <c r="Z73" s="44" t="n">
        <v>0</v>
      </c>
      <c r="AA73" s="44" t="n">
        <v>0</v>
      </c>
      <c r="AB73" s="44" t="n">
        <v>0</v>
      </c>
      <c r="AC73" s="44" t="n">
        <v>0</v>
      </c>
      <c r="AD73" s="44" t="n">
        <v>0</v>
      </c>
      <c r="AE73" s="44" t="n">
        <v>0</v>
      </c>
      <c r="AF73" s="44" t="n">
        <v>0</v>
      </c>
      <c r="AG73" s="44" t="n">
        <v>0</v>
      </c>
      <c r="AH73" s="44" t="n">
        <v>0</v>
      </c>
      <c r="AI73" s="44" t="n">
        <v>0</v>
      </c>
      <c r="AJ73" s="44" t="n">
        <v>0</v>
      </c>
      <c r="AK73" s="44" t="n">
        <v>0</v>
      </c>
      <c r="AL73" s="44" t="n">
        <v>0</v>
      </c>
      <c r="AM73" s="44" t="n">
        <v>0</v>
      </c>
      <c r="AN73" s="44" t="n">
        <v>0</v>
      </c>
      <c r="AO73" s="44" t="n">
        <v>0</v>
      </c>
      <c r="AP73" s="44" t="n">
        <v>0</v>
      </c>
      <c r="AQ73" s="44" t="n">
        <v>0</v>
      </c>
      <c r="AR73" s="44" t="n">
        <v>0</v>
      </c>
      <c r="AS73" s="44" t="n">
        <v>0</v>
      </c>
      <c r="AT73" s="44" t="n">
        <v>0</v>
      </c>
      <c r="AU73" s="44" t="n">
        <v>0</v>
      </c>
      <c r="AV73" s="44" t="n">
        <v>0</v>
      </c>
      <c r="AW73" s="44" t="n">
        <v>0</v>
      </c>
      <c r="AX73" s="44" t="n">
        <v>0</v>
      </c>
      <c r="AY73" s="44" t="n">
        <v>0</v>
      </c>
      <c r="AZ73" s="44" t="n">
        <v>432.692307692308</v>
      </c>
      <c r="BA73" s="44" t="n">
        <v>432.692307692308</v>
      </c>
      <c r="BB73" s="44" t="n">
        <v>432.692307692308</v>
      </c>
      <c r="BC73" s="44" t="n">
        <v>432.692307692308</v>
      </c>
      <c r="BD73" s="44" t="n">
        <v>432.692307692308</v>
      </c>
      <c r="BE73" s="44" t="n">
        <v>432.692307692308</v>
      </c>
      <c r="BF73" s="44" t="n">
        <v>432.692307692308</v>
      </c>
      <c r="BG73" s="44" t="n">
        <v>432.692307692308</v>
      </c>
      <c r="BH73" s="44" t="n">
        <v>432.692307692308</v>
      </c>
      <c r="BI73" s="44" t="n">
        <v>432.692307692308</v>
      </c>
      <c r="BJ73" s="44" t="n">
        <v>432.692307692308</v>
      </c>
      <c r="BK73" s="44" t="n">
        <v>432.692307692308</v>
      </c>
      <c r="BL73" s="44" t="n">
        <v>57.6923076923077</v>
      </c>
      <c r="BM73" s="44" t="n">
        <v>583.333333333333</v>
      </c>
      <c r="BN73" s="44" t="n">
        <v>583.333333333333</v>
      </c>
      <c r="BO73" s="44" t="n">
        <v>583.333333333333</v>
      </c>
      <c r="BP73" s="44" t="n">
        <v>583.333333333333</v>
      </c>
      <c r="BQ73" s="44" t="n">
        <v>583.333333333333</v>
      </c>
      <c r="BR73" s="45" t="n">
        <v>583.333333333333</v>
      </c>
      <c r="BS73" s="46" t="n">
        <v>583.333333333333</v>
      </c>
      <c r="BT73" s="46" t="n">
        <v>583.333333333333</v>
      </c>
      <c r="BU73" s="46" t="n">
        <v>583.333333333333</v>
      </c>
      <c r="BV73" s="46" t="n">
        <v>583.333333333333</v>
      </c>
      <c r="BW73" s="46" t="n">
        <v>583.333333333333</v>
      </c>
      <c r="BX73" s="46" t="n">
        <v>583.333333333333</v>
      </c>
      <c r="BY73" s="46" t="n">
        <v>583.333333333333</v>
      </c>
      <c r="BZ73" s="46" t="n">
        <v>583.333333333333</v>
      </c>
      <c r="EX73" s="47" t="n">
        <v>0</v>
      </c>
      <c r="EY73" s="47" t="n">
        <v>0</v>
      </c>
      <c r="EZ73" s="47" t="n">
        <v>0</v>
      </c>
      <c r="FA73" s="47" t="n">
        <v>0</v>
      </c>
      <c r="FB73" s="47" t="n">
        <v>0</v>
      </c>
      <c r="FC73" s="47" t="n">
        <v>0</v>
      </c>
      <c r="FD73" s="47" t="n">
        <v>0</v>
      </c>
      <c r="FE73" s="47" t="n">
        <v>0</v>
      </c>
      <c r="FF73" s="47" t="n">
        <v>0</v>
      </c>
      <c r="FG73" s="47" t="n">
        <v>0</v>
      </c>
      <c r="FH73" s="47" t="n">
        <v>0</v>
      </c>
      <c r="FI73" s="47" t="n">
        <v>0</v>
      </c>
      <c r="FJ73" s="47" t="n">
        <v>0</v>
      </c>
      <c r="FK73" s="47" t="n">
        <v>0</v>
      </c>
      <c r="FL73" s="47" t="n">
        <v>0</v>
      </c>
      <c r="FM73" s="47" t="n">
        <v>0</v>
      </c>
      <c r="FN73" s="47" t="n">
        <v>0</v>
      </c>
      <c r="FO73" s="47" t="n">
        <v>0</v>
      </c>
      <c r="FP73" s="47" t="n">
        <v>0</v>
      </c>
      <c r="FQ73" s="47" t="n">
        <v>0</v>
      </c>
      <c r="FR73" s="47" t="n">
        <v>0</v>
      </c>
      <c r="FS73" s="47" t="n">
        <v>0</v>
      </c>
      <c r="FT73" s="47" t="n">
        <v>0</v>
      </c>
      <c r="FU73" s="47" t="n">
        <v>0</v>
      </c>
      <c r="FV73" s="47" t="n">
        <v>0</v>
      </c>
      <c r="FW73" s="47" t="n">
        <v>0</v>
      </c>
      <c r="FX73" s="47" t="n">
        <v>0</v>
      </c>
      <c r="FY73" s="47" t="n">
        <v>0</v>
      </c>
      <c r="FZ73" s="47" t="n">
        <v>0</v>
      </c>
      <c r="GA73" s="47" t="n">
        <v>0</v>
      </c>
      <c r="GB73" s="47" t="n">
        <v>0</v>
      </c>
      <c r="GC73" s="47" t="n">
        <v>0</v>
      </c>
      <c r="GD73" s="47" t="n">
        <v>0</v>
      </c>
      <c r="GE73" s="47" t="n">
        <v>0</v>
      </c>
      <c r="GF73" s="47" t="n">
        <v>0</v>
      </c>
      <c r="GG73" s="47" t="n">
        <v>0</v>
      </c>
      <c r="GH73" s="47" t="n">
        <v>0</v>
      </c>
      <c r="GI73" s="47" t="n">
        <v>0</v>
      </c>
      <c r="GJ73" s="47" t="n">
        <v>0</v>
      </c>
      <c r="GK73" s="47" t="n">
        <v>0</v>
      </c>
      <c r="GL73" s="47" t="n">
        <v>0</v>
      </c>
      <c r="GM73" s="47" t="n">
        <v>0</v>
      </c>
      <c r="GN73" s="47" t="n">
        <v>0</v>
      </c>
      <c r="GO73" s="47" t="n">
        <v>0</v>
      </c>
      <c r="GP73" s="47" t="n">
        <v>0</v>
      </c>
      <c r="GQ73" s="47" t="n">
        <v>432.692307692308</v>
      </c>
      <c r="GR73" s="47" t="n">
        <v>432.692307692308</v>
      </c>
      <c r="GS73" s="47" t="n">
        <v>432.692307692308</v>
      </c>
      <c r="GT73" s="47" t="n">
        <v>432.692307692308</v>
      </c>
      <c r="GU73" s="47" t="n">
        <v>432.692307692308</v>
      </c>
      <c r="GV73" s="47" t="n">
        <v>432.692307692308</v>
      </c>
      <c r="GW73" s="47" t="n">
        <v>432.692307692308</v>
      </c>
      <c r="GX73" s="47" t="n">
        <v>432.692307692308</v>
      </c>
      <c r="GY73" s="47" t="n">
        <v>432.692307692308</v>
      </c>
      <c r="GZ73" s="47" t="n">
        <v>432.692307692308</v>
      </c>
      <c r="HA73" s="47" t="n">
        <v>432.692307692308</v>
      </c>
      <c r="HB73" s="47" t="n">
        <v>432.692307692308</v>
      </c>
      <c r="HC73" s="47" t="n">
        <v>57.6923076923077</v>
      </c>
      <c r="HD73" s="47" t="n">
        <v>583.333333333333</v>
      </c>
      <c r="HE73" s="47" t="n">
        <v>583.333333333333</v>
      </c>
      <c r="HF73" s="47" t="n">
        <v>583.333333333333</v>
      </c>
      <c r="HG73" s="47" t="n">
        <v>583.333333333333</v>
      </c>
      <c r="HH73" s="47" t="n">
        <v>583.333333333333</v>
      </c>
      <c r="HI73" s="48" t="n">
        <v>583.333333333333</v>
      </c>
      <c r="HJ73" s="47" t="n">
        <v>583.333333333333</v>
      </c>
      <c r="HK73" s="47" t="n">
        <v>583.333333333333</v>
      </c>
      <c r="HL73" s="47" t="n">
        <v>583.333333333333</v>
      </c>
      <c r="HM73" s="47" t="n">
        <v>583.333333333333</v>
      </c>
      <c r="HN73" s="47" t="n">
        <v>583.333333333333</v>
      </c>
      <c r="HO73" s="47" t="n">
        <v>583.333333333333</v>
      </c>
      <c r="HP73" s="47" t="n">
        <v>583.333333333333</v>
      </c>
      <c r="HQ73" s="47" t="n">
        <v>583.333333333333</v>
      </c>
      <c r="HS73" s="47" t="n">
        <v>0</v>
      </c>
      <c r="HT73" s="47" t="n">
        <v>0</v>
      </c>
      <c r="HU73" s="47" t="n">
        <v>0</v>
      </c>
      <c r="HV73" s="47" t="n">
        <v>0</v>
      </c>
      <c r="HW73" s="47" t="n">
        <v>0</v>
      </c>
      <c r="HX73" s="47" t="n">
        <v>0</v>
      </c>
      <c r="HY73" s="47" t="n">
        <v>0</v>
      </c>
      <c r="HZ73" s="47" t="n">
        <v>0</v>
      </c>
      <c r="IA73" s="47" t="n">
        <v>0</v>
      </c>
      <c r="IB73" s="47" t="n">
        <v>0</v>
      </c>
      <c r="IC73" s="47" t="n">
        <v>0</v>
      </c>
      <c r="ID73" s="47" t="n">
        <v>0</v>
      </c>
      <c r="IE73" s="47" t="n">
        <v>0</v>
      </c>
      <c r="IF73" s="47" t="n">
        <v>0</v>
      </c>
      <c r="IG73" s="47" t="n">
        <v>0</v>
      </c>
      <c r="IH73" s="47" t="n">
        <v>0</v>
      </c>
      <c r="II73" s="47" t="n">
        <v>0</v>
      </c>
      <c r="IJ73" s="47" t="n">
        <v>0</v>
      </c>
      <c r="IK73" s="47" t="n">
        <v>0</v>
      </c>
      <c r="IL73" s="47" t="n">
        <v>0</v>
      </c>
      <c r="IM73" s="47" t="n">
        <v>0</v>
      </c>
      <c r="IN73" s="47" t="n">
        <v>0</v>
      </c>
      <c r="IO73" s="47" t="n">
        <v>0</v>
      </c>
      <c r="IP73" s="47" t="n">
        <v>0</v>
      </c>
      <c r="IQ73" s="47" t="n">
        <v>0</v>
      </c>
      <c r="IR73" s="47" t="n">
        <v>0</v>
      </c>
      <c r="IS73" s="47" t="n">
        <v>0</v>
      </c>
      <c r="IT73" s="47" t="n">
        <v>0</v>
      </c>
      <c r="IU73" s="47" t="n">
        <v>0</v>
      </c>
      <c r="IV73" s="47" t="n">
        <v>0</v>
      </c>
      <c r="IW73" s="47" t="n">
        <v>0</v>
      </c>
      <c r="IX73" s="47" t="n">
        <v>0</v>
      </c>
      <c r="IY73" s="47" t="n">
        <v>0</v>
      </c>
      <c r="IZ73" s="47" t="n">
        <v>0</v>
      </c>
      <c r="JA73" s="47" t="n">
        <v>0</v>
      </c>
      <c r="JB73" s="47" t="n">
        <v>0</v>
      </c>
      <c r="JC73" s="47" t="n">
        <v>0</v>
      </c>
      <c r="JD73" s="47" t="n">
        <v>0</v>
      </c>
      <c r="JE73" s="47" t="n">
        <v>0</v>
      </c>
      <c r="JF73" s="47" t="n">
        <v>0</v>
      </c>
      <c r="JG73" s="47" t="n">
        <v>0</v>
      </c>
      <c r="JH73" s="47" t="n">
        <v>0</v>
      </c>
      <c r="JI73" s="47" t="n">
        <v>0</v>
      </c>
      <c r="JJ73" s="47" t="n">
        <v>0</v>
      </c>
      <c r="JK73" s="47" t="n">
        <v>0</v>
      </c>
      <c r="JL73" s="47" t="n">
        <v>432.692307692308</v>
      </c>
      <c r="JM73" s="47" t="n">
        <v>432.692307692308</v>
      </c>
      <c r="JN73" s="47" t="n">
        <v>432.692307692308</v>
      </c>
      <c r="JO73" s="47" t="n">
        <v>432.692307692308</v>
      </c>
      <c r="JP73" s="47" t="n">
        <v>432.692307692308</v>
      </c>
      <c r="JQ73" s="47" t="n">
        <v>432.692307692308</v>
      </c>
      <c r="JR73" s="47" t="n">
        <v>432.692307692308</v>
      </c>
      <c r="JS73" s="47" t="n">
        <v>432.692307692308</v>
      </c>
      <c r="JT73" s="47" t="n">
        <v>432.692307692308</v>
      </c>
      <c r="JU73" s="47" t="n">
        <v>432.692307692308</v>
      </c>
      <c r="JV73" s="47" t="n">
        <v>432.692307692308</v>
      </c>
      <c r="JW73" s="47" t="n">
        <v>432.692307692308</v>
      </c>
      <c r="JX73" s="47" t="n">
        <v>57.6923076923077</v>
      </c>
      <c r="JY73" s="47" t="n">
        <v>583.333333333333</v>
      </c>
      <c r="JZ73" s="47" t="n">
        <v>583.333333333333</v>
      </c>
      <c r="KA73" s="47" t="n">
        <v>583.333333333333</v>
      </c>
      <c r="KB73" s="47" t="n">
        <v>583.333333333333</v>
      </c>
      <c r="KC73" s="47" t="n">
        <v>583.333333333333</v>
      </c>
      <c r="KD73" s="48" t="n">
        <v>583.333333333333</v>
      </c>
      <c r="KE73" s="47" t="n">
        <v>583.333333333333</v>
      </c>
      <c r="KF73" s="47" t="n">
        <v>583.333333333333</v>
      </c>
      <c r="KG73" s="47" t="n">
        <v>583.333333333333</v>
      </c>
      <c r="KH73" s="47" t="n">
        <v>583.333333333333</v>
      </c>
      <c r="KI73" s="47" t="n">
        <v>583.333333333333</v>
      </c>
      <c r="KJ73" s="47" t="n">
        <v>583.333333333333</v>
      </c>
      <c r="KK73" s="47" t="n">
        <v>583.333333333333</v>
      </c>
      <c r="KL73" s="47" t="n">
        <v>583.333333333333</v>
      </c>
    </row>
    <row r="74" customFormat="false" ht="15.75" hidden="false" customHeight="true" outlineLevel="0" collapsed="false">
      <c r="A74" s="35" t="s">
        <v>314</v>
      </c>
      <c r="B74" s="35" t="s">
        <v>315</v>
      </c>
      <c r="C74" s="35" t="s">
        <v>164</v>
      </c>
      <c r="D74" s="35" t="s">
        <v>191</v>
      </c>
      <c r="E74" s="35" t="s">
        <v>166</v>
      </c>
      <c r="S74" s="44" t="n">
        <v>0</v>
      </c>
      <c r="T74" s="44" t="n">
        <v>0</v>
      </c>
      <c r="U74" s="44" t="n">
        <v>0</v>
      </c>
      <c r="V74" s="44" t="n">
        <v>0</v>
      </c>
      <c r="W74" s="44" t="n">
        <v>0</v>
      </c>
      <c r="X74" s="44" t="n">
        <v>0</v>
      </c>
      <c r="Y74" s="44" t="n">
        <v>0</v>
      </c>
      <c r="Z74" s="44" t="n">
        <v>0</v>
      </c>
      <c r="AA74" s="44" t="n">
        <v>0</v>
      </c>
      <c r="AB74" s="44" t="n">
        <v>0</v>
      </c>
      <c r="AC74" s="44" t="n">
        <v>0</v>
      </c>
      <c r="AD74" s="44" t="n">
        <v>0</v>
      </c>
      <c r="AE74" s="44" t="n">
        <v>0</v>
      </c>
      <c r="AF74" s="44" t="n">
        <v>0</v>
      </c>
      <c r="AG74" s="44" t="n">
        <v>0</v>
      </c>
      <c r="AH74" s="44" t="n">
        <v>0</v>
      </c>
      <c r="AI74" s="44" t="n">
        <v>0</v>
      </c>
      <c r="AJ74" s="44" t="n">
        <v>0</v>
      </c>
      <c r="AK74" s="44" t="n">
        <v>0</v>
      </c>
      <c r="AL74" s="44" t="n">
        <v>0</v>
      </c>
      <c r="AM74" s="44" t="n">
        <v>0</v>
      </c>
      <c r="AN74" s="44" t="n">
        <v>0</v>
      </c>
      <c r="AO74" s="44" t="n">
        <v>0</v>
      </c>
      <c r="AP74" s="44" t="n">
        <v>0</v>
      </c>
      <c r="AQ74" s="44" t="n">
        <v>0</v>
      </c>
      <c r="AR74" s="44" t="n">
        <v>0</v>
      </c>
      <c r="AS74" s="44" t="n">
        <v>0</v>
      </c>
      <c r="AT74" s="44" t="n">
        <v>0</v>
      </c>
      <c r="AU74" s="44" t="n">
        <v>0</v>
      </c>
      <c r="AV74" s="44" t="n">
        <v>0</v>
      </c>
      <c r="AW74" s="44" t="n">
        <v>0</v>
      </c>
      <c r="AX74" s="44" t="n">
        <v>0</v>
      </c>
      <c r="AY74" s="44" t="n">
        <v>0</v>
      </c>
      <c r="AZ74" s="44" t="n">
        <v>0</v>
      </c>
      <c r="BA74" s="44" t="n">
        <v>0</v>
      </c>
      <c r="BB74" s="44" t="n">
        <v>0</v>
      </c>
      <c r="BC74" s="44" t="n">
        <v>0</v>
      </c>
      <c r="BD74" s="44" t="n">
        <v>0</v>
      </c>
      <c r="BE74" s="44" t="n">
        <v>125</v>
      </c>
      <c r="BF74" s="44" t="n">
        <v>125</v>
      </c>
      <c r="BG74" s="44" t="n">
        <v>125</v>
      </c>
      <c r="BH74" s="44" t="n">
        <v>125</v>
      </c>
      <c r="BI74" s="44" t="n">
        <v>125</v>
      </c>
      <c r="BJ74" s="44" t="n">
        <v>125</v>
      </c>
      <c r="BK74" s="44" t="n">
        <v>125</v>
      </c>
      <c r="BL74" s="44" t="n">
        <v>125</v>
      </c>
      <c r="BM74" s="44" t="n">
        <v>125</v>
      </c>
      <c r="BN74" s="44" t="n">
        <v>125</v>
      </c>
      <c r="BO74" s="44" t="n">
        <v>125</v>
      </c>
      <c r="BP74" s="44" t="n">
        <v>125</v>
      </c>
      <c r="BQ74" s="44" t="n">
        <v>83.3333333333333</v>
      </c>
      <c r="BR74" s="45" t="n">
        <v>83.3333333333333</v>
      </c>
      <c r="BS74" s="46" t="n">
        <v>83.3333333333333</v>
      </c>
      <c r="BT74" s="46" t="n">
        <v>83.3333333333333</v>
      </c>
      <c r="BU74" s="46" t="n">
        <v>83.3333333333333</v>
      </c>
      <c r="BV74" s="46" t="n">
        <v>83.3333333333333</v>
      </c>
      <c r="BW74" s="46" t="n">
        <v>83.3333333333333</v>
      </c>
      <c r="BX74" s="46" t="n">
        <v>83.3333333333333</v>
      </c>
      <c r="BY74" s="46" t="n">
        <v>83.3333333333333</v>
      </c>
      <c r="BZ74" s="46" t="n">
        <v>83.3333333333333</v>
      </c>
      <c r="EX74" s="47" t="n">
        <v>0</v>
      </c>
      <c r="EY74" s="47" t="n">
        <v>0</v>
      </c>
      <c r="EZ74" s="47" t="n">
        <v>0</v>
      </c>
      <c r="FA74" s="47" t="n">
        <v>0</v>
      </c>
      <c r="FB74" s="47" t="n">
        <v>0</v>
      </c>
      <c r="FC74" s="47" t="n">
        <v>0</v>
      </c>
      <c r="FD74" s="47" t="n">
        <v>0</v>
      </c>
      <c r="FE74" s="47" t="n">
        <v>0</v>
      </c>
      <c r="FF74" s="47" t="n">
        <v>0</v>
      </c>
      <c r="FG74" s="47" t="n">
        <v>0</v>
      </c>
      <c r="FH74" s="47" t="n">
        <v>0</v>
      </c>
      <c r="FI74" s="47" t="n">
        <v>0</v>
      </c>
      <c r="FJ74" s="47" t="n">
        <v>0</v>
      </c>
      <c r="FK74" s="47" t="n">
        <v>0</v>
      </c>
      <c r="FL74" s="47" t="n">
        <v>0</v>
      </c>
      <c r="FM74" s="47" t="n">
        <v>0</v>
      </c>
      <c r="FN74" s="47" t="n">
        <v>0</v>
      </c>
      <c r="FO74" s="47" t="n">
        <v>0</v>
      </c>
      <c r="FP74" s="47" t="n">
        <v>0</v>
      </c>
      <c r="FQ74" s="47" t="n">
        <v>0</v>
      </c>
      <c r="FR74" s="47" t="n">
        <v>0</v>
      </c>
      <c r="FS74" s="47" t="n">
        <v>0</v>
      </c>
      <c r="FT74" s="47" t="n">
        <v>0</v>
      </c>
      <c r="FU74" s="47" t="n">
        <v>0</v>
      </c>
      <c r="FV74" s="47" t="n">
        <v>0</v>
      </c>
      <c r="FW74" s="47" t="n">
        <v>0</v>
      </c>
      <c r="FX74" s="47" t="n">
        <v>0</v>
      </c>
      <c r="FY74" s="47" t="n">
        <v>0</v>
      </c>
      <c r="FZ74" s="47" t="n">
        <v>0</v>
      </c>
      <c r="GA74" s="47" t="n">
        <v>0</v>
      </c>
      <c r="GB74" s="47" t="n">
        <v>0</v>
      </c>
      <c r="GC74" s="47" t="n">
        <v>0</v>
      </c>
      <c r="GD74" s="47" t="n">
        <v>0</v>
      </c>
      <c r="GE74" s="47" t="n">
        <v>0</v>
      </c>
      <c r="GF74" s="47" t="n">
        <v>0</v>
      </c>
      <c r="GG74" s="47" t="n">
        <v>0</v>
      </c>
      <c r="GH74" s="47" t="n">
        <v>0</v>
      </c>
      <c r="GI74" s="47" t="n">
        <v>0</v>
      </c>
      <c r="GJ74" s="47" t="n">
        <v>0</v>
      </c>
      <c r="GK74" s="47" t="n">
        <v>0</v>
      </c>
      <c r="GL74" s="47" t="n">
        <v>0</v>
      </c>
      <c r="GM74" s="47" t="n">
        <v>0</v>
      </c>
      <c r="GN74" s="47" t="n">
        <v>0</v>
      </c>
      <c r="GO74" s="47" t="n">
        <v>0</v>
      </c>
      <c r="GP74" s="47" t="n">
        <v>0</v>
      </c>
      <c r="GQ74" s="47" t="n">
        <v>0</v>
      </c>
      <c r="GR74" s="47" t="n">
        <v>0</v>
      </c>
      <c r="GS74" s="47" t="n">
        <v>0</v>
      </c>
      <c r="GT74" s="47" t="n">
        <v>0</v>
      </c>
      <c r="GU74" s="47" t="n">
        <v>0</v>
      </c>
      <c r="GV74" s="47" t="n">
        <v>125</v>
      </c>
      <c r="GW74" s="47" t="n">
        <v>125</v>
      </c>
      <c r="GX74" s="47" t="n">
        <v>125</v>
      </c>
      <c r="GY74" s="47" t="n">
        <v>125</v>
      </c>
      <c r="GZ74" s="47" t="n">
        <v>125</v>
      </c>
      <c r="HA74" s="47" t="n">
        <v>125</v>
      </c>
      <c r="HB74" s="47" t="n">
        <v>125</v>
      </c>
      <c r="HC74" s="47" t="n">
        <v>125</v>
      </c>
      <c r="HD74" s="47" t="n">
        <v>125</v>
      </c>
      <c r="HE74" s="47" t="n">
        <v>125</v>
      </c>
      <c r="HF74" s="47" t="n">
        <v>125</v>
      </c>
      <c r="HG74" s="47" t="n">
        <v>125</v>
      </c>
      <c r="HH74" s="47" t="n">
        <v>83.3333333333333</v>
      </c>
      <c r="HI74" s="48" t="n">
        <v>83.3333333333333</v>
      </c>
      <c r="HJ74" s="47" t="n">
        <v>83.3333333333333</v>
      </c>
      <c r="HK74" s="47" t="n">
        <v>83.3333333333333</v>
      </c>
      <c r="HL74" s="47" t="n">
        <v>83.3333333333333</v>
      </c>
      <c r="HM74" s="47" t="n">
        <v>83.3333333333333</v>
      </c>
      <c r="HN74" s="47" t="n">
        <v>83.3333333333333</v>
      </c>
      <c r="HO74" s="47" t="n">
        <v>83.3333333333333</v>
      </c>
      <c r="HP74" s="47" t="n">
        <v>83.3333333333333</v>
      </c>
      <c r="HQ74" s="47" t="n">
        <v>83.3333333333333</v>
      </c>
      <c r="HS74" s="47" t="n">
        <v>0</v>
      </c>
      <c r="HT74" s="47" t="n">
        <v>0</v>
      </c>
      <c r="HU74" s="47" t="n">
        <v>0</v>
      </c>
      <c r="HV74" s="47" t="n">
        <v>0</v>
      </c>
      <c r="HW74" s="47" t="n">
        <v>0</v>
      </c>
      <c r="HX74" s="47" t="n">
        <v>0</v>
      </c>
      <c r="HY74" s="47" t="n">
        <v>0</v>
      </c>
      <c r="HZ74" s="47" t="n">
        <v>0</v>
      </c>
      <c r="IA74" s="47" t="n">
        <v>0</v>
      </c>
      <c r="IB74" s="47" t="n">
        <v>0</v>
      </c>
      <c r="IC74" s="47" t="n">
        <v>0</v>
      </c>
      <c r="ID74" s="47" t="n">
        <v>0</v>
      </c>
      <c r="IE74" s="47" t="n">
        <v>0</v>
      </c>
      <c r="IF74" s="47" t="n">
        <v>0</v>
      </c>
      <c r="IG74" s="47" t="n">
        <v>0</v>
      </c>
      <c r="IH74" s="47" t="n">
        <v>0</v>
      </c>
      <c r="II74" s="47" t="n">
        <v>0</v>
      </c>
      <c r="IJ74" s="47" t="n">
        <v>0</v>
      </c>
      <c r="IK74" s="47" t="n">
        <v>0</v>
      </c>
      <c r="IL74" s="47" t="n">
        <v>0</v>
      </c>
      <c r="IM74" s="47" t="n">
        <v>0</v>
      </c>
      <c r="IN74" s="47" t="n">
        <v>0</v>
      </c>
      <c r="IO74" s="47" t="n">
        <v>0</v>
      </c>
      <c r="IP74" s="47" t="n">
        <v>0</v>
      </c>
      <c r="IQ74" s="47" t="n">
        <v>0</v>
      </c>
      <c r="IR74" s="47" t="n">
        <v>0</v>
      </c>
      <c r="IS74" s="47" t="n">
        <v>0</v>
      </c>
      <c r="IT74" s="47" t="n">
        <v>0</v>
      </c>
      <c r="IU74" s="47" t="n">
        <v>0</v>
      </c>
      <c r="IV74" s="47" t="n">
        <v>0</v>
      </c>
      <c r="IW74" s="47" t="n">
        <v>0</v>
      </c>
      <c r="IX74" s="47" t="n">
        <v>0</v>
      </c>
      <c r="IY74" s="47" t="n">
        <v>0</v>
      </c>
      <c r="IZ74" s="47" t="n">
        <v>0</v>
      </c>
      <c r="JA74" s="47" t="n">
        <v>0</v>
      </c>
      <c r="JB74" s="47" t="n">
        <v>0</v>
      </c>
      <c r="JC74" s="47" t="n">
        <v>0</v>
      </c>
      <c r="JD74" s="47" t="n">
        <v>0</v>
      </c>
      <c r="JE74" s="47" t="n">
        <v>0</v>
      </c>
      <c r="JF74" s="47" t="n">
        <v>0</v>
      </c>
      <c r="JG74" s="47" t="n">
        <v>0</v>
      </c>
      <c r="JH74" s="47" t="n">
        <v>0</v>
      </c>
      <c r="JI74" s="47" t="n">
        <v>0</v>
      </c>
      <c r="JJ74" s="47" t="n">
        <v>0</v>
      </c>
      <c r="JK74" s="47" t="n">
        <v>0</v>
      </c>
      <c r="JL74" s="47" t="n">
        <v>0</v>
      </c>
      <c r="JM74" s="47" t="n">
        <v>0</v>
      </c>
      <c r="JN74" s="47" t="n">
        <v>0</v>
      </c>
      <c r="JO74" s="47" t="n">
        <v>0</v>
      </c>
      <c r="JP74" s="47" t="n">
        <v>0</v>
      </c>
      <c r="JQ74" s="47" t="n">
        <v>125</v>
      </c>
      <c r="JR74" s="47" t="n">
        <v>125</v>
      </c>
      <c r="JS74" s="47" t="n">
        <v>125</v>
      </c>
      <c r="JT74" s="47" t="n">
        <v>125</v>
      </c>
      <c r="JU74" s="47" t="n">
        <v>125</v>
      </c>
      <c r="JV74" s="47" t="n">
        <v>125</v>
      </c>
      <c r="JW74" s="47" t="n">
        <v>125</v>
      </c>
      <c r="JX74" s="47" t="n">
        <v>125</v>
      </c>
      <c r="JY74" s="47" t="n">
        <v>125</v>
      </c>
      <c r="JZ74" s="47" t="n">
        <v>125</v>
      </c>
      <c r="KA74" s="47" t="n">
        <v>125</v>
      </c>
      <c r="KB74" s="47" t="n">
        <v>125</v>
      </c>
      <c r="KC74" s="47" t="n">
        <v>83.3333333333333</v>
      </c>
      <c r="KD74" s="48" t="n">
        <v>83.3333333333333</v>
      </c>
      <c r="KE74" s="47" t="n">
        <v>83.3333333333333</v>
      </c>
      <c r="KF74" s="47" t="n">
        <v>83.3333333333333</v>
      </c>
      <c r="KG74" s="47" t="n">
        <v>83.3333333333333</v>
      </c>
      <c r="KH74" s="47" t="n">
        <v>83.3333333333333</v>
      </c>
      <c r="KI74" s="47" t="n">
        <v>83.3333333333333</v>
      </c>
      <c r="KJ74" s="47" t="n">
        <v>83.3333333333333</v>
      </c>
      <c r="KK74" s="47" t="n">
        <v>83.3333333333333</v>
      </c>
      <c r="KL74" s="47" t="n">
        <v>83.3333333333333</v>
      </c>
    </row>
    <row r="75" customFormat="false" ht="15.75" hidden="false" customHeight="true" outlineLevel="0" collapsed="false">
      <c r="A75" s="35" t="s">
        <v>316</v>
      </c>
      <c r="B75" s="35" t="s">
        <v>317</v>
      </c>
      <c r="C75" s="35" t="s">
        <v>164</v>
      </c>
      <c r="D75" s="35" t="s">
        <v>318</v>
      </c>
      <c r="E75" s="35" t="s">
        <v>174</v>
      </c>
      <c r="G75" s="44" t="n">
        <v>800</v>
      </c>
      <c r="H75" s="44" t="n">
        <v>800</v>
      </c>
      <c r="I75" s="44" t="n">
        <v>800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  <c r="AL75" s="44" t="n">
        <v>0</v>
      </c>
      <c r="AM75" s="44" t="n">
        <v>0</v>
      </c>
      <c r="AN75" s="44" t="n">
        <v>0</v>
      </c>
      <c r="AO75" s="44" t="n">
        <v>0</v>
      </c>
      <c r="AP75" s="44" t="n">
        <v>0</v>
      </c>
      <c r="BS75" s="46" t="n">
        <v>0</v>
      </c>
      <c r="BT75" s="46" t="n">
        <v>0</v>
      </c>
      <c r="BU75" s="46" t="n">
        <v>0</v>
      </c>
      <c r="BV75" s="46" t="n">
        <v>0</v>
      </c>
      <c r="BW75" s="46" t="n">
        <v>0</v>
      </c>
      <c r="BX75" s="46" t="n">
        <v>0</v>
      </c>
      <c r="BY75" s="46" t="n">
        <v>0</v>
      </c>
      <c r="BZ75" s="46" t="n">
        <v>0</v>
      </c>
      <c r="EX75" s="47" t="n">
        <v>800</v>
      </c>
      <c r="EY75" s="47" t="n">
        <v>800</v>
      </c>
      <c r="EZ75" s="47" t="n">
        <v>800</v>
      </c>
      <c r="FA75" s="47" t="n">
        <v>0</v>
      </c>
      <c r="FB75" s="47" t="n">
        <v>0</v>
      </c>
      <c r="FC75" s="47" t="n">
        <v>0</v>
      </c>
      <c r="FD75" s="47" t="n">
        <v>0</v>
      </c>
      <c r="FE75" s="47" t="n">
        <v>0</v>
      </c>
      <c r="FF75" s="47" t="n">
        <v>0</v>
      </c>
      <c r="FG75" s="47" t="n">
        <v>0</v>
      </c>
      <c r="FH75" s="47" t="n">
        <v>0</v>
      </c>
      <c r="FI75" s="47" t="n">
        <v>0</v>
      </c>
      <c r="FJ75" s="47" t="n">
        <v>0</v>
      </c>
      <c r="FK75" s="47" t="n">
        <v>0</v>
      </c>
      <c r="FL75" s="47" t="n">
        <v>0</v>
      </c>
      <c r="FM75" s="47" t="n">
        <v>0</v>
      </c>
      <c r="FN75" s="47" t="n">
        <v>0</v>
      </c>
      <c r="FO75" s="47" t="n">
        <v>0</v>
      </c>
      <c r="FP75" s="47" t="n">
        <v>0</v>
      </c>
      <c r="FQ75" s="47" t="n">
        <v>0</v>
      </c>
      <c r="FR75" s="47" t="n">
        <v>0</v>
      </c>
      <c r="FS75" s="47" t="n">
        <v>0</v>
      </c>
      <c r="FT75" s="47" t="n">
        <v>0</v>
      </c>
      <c r="FU75" s="47" t="n">
        <v>0</v>
      </c>
      <c r="FV75" s="47" t="n">
        <v>0</v>
      </c>
      <c r="FW75" s="47" t="n">
        <v>0</v>
      </c>
      <c r="FX75" s="47" t="n">
        <v>0</v>
      </c>
      <c r="FY75" s="47" t="n">
        <v>0</v>
      </c>
      <c r="FZ75" s="47" t="n">
        <v>0</v>
      </c>
      <c r="GA75" s="47" t="n">
        <v>0</v>
      </c>
      <c r="GB75" s="47" t="n">
        <v>0</v>
      </c>
      <c r="GC75" s="47" t="n">
        <v>0</v>
      </c>
      <c r="GD75" s="47" t="n">
        <v>0</v>
      </c>
      <c r="GE75" s="47" t="n">
        <v>0</v>
      </c>
      <c r="GF75" s="47" t="n">
        <v>0</v>
      </c>
      <c r="GG75" s="47" t="n">
        <v>0</v>
      </c>
      <c r="GH75" s="47" t="n">
        <v>0</v>
      </c>
      <c r="GI75" s="47" t="n">
        <v>0</v>
      </c>
      <c r="GJ75" s="47" t="n">
        <v>0</v>
      </c>
      <c r="GK75" s="47" t="n">
        <v>0</v>
      </c>
      <c r="GL75" s="47" t="n">
        <v>0</v>
      </c>
      <c r="GM75" s="47" t="n">
        <v>0</v>
      </c>
      <c r="GN75" s="47" t="n">
        <v>0</v>
      </c>
      <c r="GO75" s="47" t="n">
        <v>0</v>
      </c>
      <c r="GP75" s="47" t="n">
        <v>0</v>
      </c>
      <c r="GQ75" s="47" t="n">
        <v>0</v>
      </c>
      <c r="GR75" s="47" t="n">
        <v>0</v>
      </c>
      <c r="GS75" s="47" t="n">
        <v>0</v>
      </c>
      <c r="GT75" s="47" t="n">
        <v>0</v>
      </c>
      <c r="GU75" s="47" t="n">
        <v>0</v>
      </c>
      <c r="GV75" s="47" t="n">
        <v>0</v>
      </c>
      <c r="GW75" s="47" t="n">
        <v>0</v>
      </c>
      <c r="GX75" s="47" t="n">
        <v>0</v>
      </c>
      <c r="GY75" s="47" t="n">
        <v>0</v>
      </c>
      <c r="GZ75" s="47" t="n">
        <v>0</v>
      </c>
      <c r="HA75" s="47" t="n">
        <v>0</v>
      </c>
      <c r="HB75" s="47" t="n">
        <v>0</v>
      </c>
      <c r="HC75" s="47" t="n">
        <v>0</v>
      </c>
      <c r="HD75" s="47" t="n">
        <v>0</v>
      </c>
      <c r="HE75" s="47" t="n">
        <v>0</v>
      </c>
      <c r="HF75" s="47" t="n">
        <v>0</v>
      </c>
      <c r="HG75" s="47" t="n">
        <v>0</v>
      </c>
      <c r="HH75" s="47" t="n">
        <v>0</v>
      </c>
      <c r="HI75" s="48" t="n">
        <v>0</v>
      </c>
      <c r="HJ75" s="47" t="n">
        <v>0</v>
      </c>
      <c r="HK75" s="47" t="n">
        <v>0</v>
      </c>
      <c r="HL75" s="47" t="n">
        <v>0</v>
      </c>
      <c r="HM75" s="47" t="n">
        <v>0</v>
      </c>
      <c r="HN75" s="47" t="n">
        <v>0</v>
      </c>
      <c r="HO75" s="47" t="n">
        <v>0</v>
      </c>
      <c r="HP75" s="47" t="n">
        <v>0</v>
      </c>
      <c r="HQ75" s="47" t="n">
        <v>0</v>
      </c>
      <c r="HS75" s="47" t="n">
        <v>800</v>
      </c>
      <c r="HT75" s="47" t="n">
        <v>800</v>
      </c>
      <c r="HU75" s="47" t="n">
        <v>800</v>
      </c>
      <c r="HV75" s="47" t="n">
        <v>0</v>
      </c>
      <c r="HW75" s="47" t="n">
        <v>0</v>
      </c>
      <c r="HX75" s="47" t="n">
        <v>0</v>
      </c>
      <c r="HY75" s="47" t="n">
        <v>0</v>
      </c>
      <c r="HZ75" s="47" t="n">
        <v>0</v>
      </c>
      <c r="IA75" s="47" t="n">
        <v>0</v>
      </c>
      <c r="IB75" s="47" t="n">
        <v>0</v>
      </c>
      <c r="IC75" s="47" t="n">
        <v>0</v>
      </c>
      <c r="ID75" s="47" t="n">
        <v>0</v>
      </c>
      <c r="IE75" s="47" t="n">
        <v>0</v>
      </c>
      <c r="IF75" s="47" t="n">
        <v>0</v>
      </c>
      <c r="IG75" s="47" t="n">
        <v>0</v>
      </c>
      <c r="IH75" s="47" t="n">
        <v>0</v>
      </c>
      <c r="II75" s="47" t="n">
        <v>0</v>
      </c>
      <c r="IJ75" s="47" t="n">
        <v>0</v>
      </c>
      <c r="IK75" s="47" t="n">
        <v>0</v>
      </c>
      <c r="IL75" s="47" t="n">
        <v>0</v>
      </c>
      <c r="IM75" s="47" t="n">
        <v>0</v>
      </c>
      <c r="IN75" s="47" t="n">
        <v>0</v>
      </c>
      <c r="IO75" s="47" t="n">
        <v>0</v>
      </c>
      <c r="IP75" s="47" t="n">
        <v>0</v>
      </c>
      <c r="IQ75" s="47" t="n">
        <v>0</v>
      </c>
      <c r="IR75" s="47" t="n">
        <v>0</v>
      </c>
      <c r="IS75" s="47" t="n">
        <v>0</v>
      </c>
      <c r="IT75" s="47" t="n">
        <v>0</v>
      </c>
      <c r="IU75" s="47" t="n">
        <v>0</v>
      </c>
      <c r="IV75" s="47" t="n">
        <v>0</v>
      </c>
      <c r="IW75" s="47" t="n">
        <v>0</v>
      </c>
      <c r="IX75" s="47" t="n">
        <v>0</v>
      </c>
      <c r="IY75" s="47" t="n">
        <v>0</v>
      </c>
      <c r="IZ75" s="47" t="n">
        <v>0</v>
      </c>
      <c r="JA75" s="47" t="n">
        <v>0</v>
      </c>
      <c r="JB75" s="47" t="n">
        <v>0</v>
      </c>
      <c r="JC75" s="47" t="n">
        <v>0</v>
      </c>
      <c r="JD75" s="47" t="n">
        <v>0</v>
      </c>
      <c r="JE75" s="47" t="n">
        <v>0</v>
      </c>
      <c r="JF75" s="47" t="n">
        <v>0</v>
      </c>
      <c r="JG75" s="47" t="n">
        <v>0</v>
      </c>
      <c r="JH75" s="47" t="n">
        <v>0</v>
      </c>
      <c r="JI75" s="47" t="n">
        <v>0</v>
      </c>
      <c r="JJ75" s="47" t="n">
        <v>0</v>
      </c>
      <c r="JK75" s="47" t="n">
        <v>0</v>
      </c>
      <c r="JL75" s="47" t="n">
        <v>0</v>
      </c>
      <c r="JM75" s="47" t="n">
        <v>0</v>
      </c>
      <c r="JN75" s="47" t="n">
        <v>0</v>
      </c>
      <c r="JO75" s="47" t="n">
        <v>0</v>
      </c>
      <c r="JP75" s="47" t="n">
        <v>0</v>
      </c>
      <c r="JQ75" s="47" t="n">
        <v>0</v>
      </c>
      <c r="JR75" s="47" t="n">
        <v>0</v>
      </c>
      <c r="JS75" s="47" t="n">
        <v>0</v>
      </c>
      <c r="JT75" s="47" t="n">
        <v>0</v>
      </c>
      <c r="JU75" s="47" t="n">
        <v>0</v>
      </c>
      <c r="JV75" s="47" t="n">
        <v>0</v>
      </c>
      <c r="JW75" s="47" t="n">
        <v>0</v>
      </c>
      <c r="JX75" s="47" t="n">
        <v>0</v>
      </c>
      <c r="JY75" s="47" t="n">
        <v>0</v>
      </c>
      <c r="JZ75" s="47" t="n">
        <v>0</v>
      </c>
      <c r="KA75" s="47" t="n">
        <v>0</v>
      </c>
      <c r="KB75" s="47" t="n">
        <v>0</v>
      </c>
      <c r="KC75" s="47" t="n">
        <v>0</v>
      </c>
      <c r="KD75" s="48" t="n">
        <v>0</v>
      </c>
      <c r="KE75" s="47" t="n">
        <v>0</v>
      </c>
      <c r="KF75" s="47" t="n">
        <v>0</v>
      </c>
      <c r="KG75" s="47" t="n">
        <v>0</v>
      </c>
      <c r="KH75" s="47" t="n">
        <v>0</v>
      </c>
      <c r="KI75" s="47" t="n">
        <v>0</v>
      </c>
      <c r="KJ75" s="47" t="n">
        <v>0</v>
      </c>
      <c r="KK75" s="47" t="n">
        <v>0</v>
      </c>
      <c r="KL75" s="47" t="n">
        <v>0</v>
      </c>
    </row>
    <row r="76" customFormat="false" ht="15.75" hidden="false" customHeight="true" outlineLevel="0" collapsed="false">
      <c r="A76" s="35" t="s">
        <v>319</v>
      </c>
      <c r="B76" s="35" t="s">
        <v>320</v>
      </c>
      <c r="C76" s="35" t="s">
        <v>164</v>
      </c>
      <c r="D76" s="35" t="s">
        <v>165</v>
      </c>
      <c r="E76" s="35" t="s">
        <v>166</v>
      </c>
      <c r="G76" s="44" t="n">
        <v>400</v>
      </c>
      <c r="H76" s="44" t="n">
        <v>400</v>
      </c>
      <c r="I76" s="44" t="n">
        <v>400</v>
      </c>
      <c r="J76" s="44" t="n">
        <v>1000</v>
      </c>
      <c r="K76" s="44" t="n">
        <v>1000</v>
      </c>
      <c r="L76" s="44" t="n">
        <v>1000</v>
      </c>
      <c r="M76" s="44" t="n">
        <v>900</v>
      </c>
      <c r="N76" s="44" t="n">
        <v>900</v>
      </c>
      <c r="O76" s="44" t="n">
        <v>900</v>
      </c>
      <c r="P76" s="44" t="n">
        <v>900</v>
      </c>
      <c r="Q76" s="44" t="n">
        <v>900</v>
      </c>
      <c r="R76" s="44" t="n">
        <v>900</v>
      </c>
      <c r="S76" s="44" t="n">
        <v>900</v>
      </c>
      <c r="T76" s="44" t="n">
        <v>900</v>
      </c>
      <c r="U76" s="44" t="n">
        <v>900</v>
      </c>
      <c r="V76" s="44" t="n">
        <v>900</v>
      </c>
      <c r="W76" s="44" t="n">
        <v>900</v>
      </c>
      <c r="X76" s="44" t="n">
        <v>900</v>
      </c>
      <c r="Y76" s="44" t="n">
        <v>1000</v>
      </c>
      <c r="Z76" s="44" t="n">
        <v>1000</v>
      </c>
      <c r="AA76" s="44" t="n">
        <v>1000</v>
      </c>
      <c r="AB76" s="44" t="n">
        <v>1000</v>
      </c>
      <c r="AC76" s="44" t="n">
        <v>1000</v>
      </c>
      <c r="AD76" s="44" t="n">
        <v>1000</v>
      </c>
      <c r="AE76" s="44" t="n">
        <v>1000</v>
      </c>
      <c r="AF76" s="44" t="n">
        <v>1000</v>
      </c>
      <c r="AG76" s="44" t="n">
        <v>1000</v>
      </c>
      <c r="AH76" s="44" t="n">
        <v>1000</v>
      </c>
      <c r="AI76" s="44" t="n">
        <v>1000</v>
      </c>
      <c r="AJ76" s="44" t="n">
        <v>1000</v>
      </c>
      <c r="AK76" s="44" t="n">
        <v>1300</v>
      </c>
      <c r="AL76" s="44" t="n">
        <v>1300</v>
      </c>
      <c r="AM76" s="44" t="n">
        <v>1300</v>
      </c>
      <c r="AN76" s="44" t="n">
        <v>1300</v>
      </c>
      <c r="AO76" s="44" t="n">
        <v>1300</v>
      </c>
      <c r="AP76" s="44" t="n">
        <v>1300</v>
      </c>
      <c r="AQ76" s="44" t="n">
        <v>1300</v>
      </c>
      <c r="AR76" s="44" t="n">
        <v>1300</v>
      </c>
      <c r="AS76" s="44" t="n">
        <v>1300</v>
      </c>
      <c r="AT76" s="44" t="n">
        <v>1300</v>
      </c>
      <c r="AU76" s="44" t="n">
        <v>1300</v>
      </c>
      <c r="AV76" s="44" t="n">
        <v>1300</v>
      </c>
      <c r="AW76" s="44" t="n">
        <v>1100</v>
      </c>
      <c r="AX76" s="44" t="n">
        <v>1100</v>
      </c>
      <c r="AY76" s="44" t="n">
        <v>1100</v>
      </c>
      <c r="AZ76" s="44" t="n">
        <v>1100</v>
      </c>
      <c r="BA76" s="44" t="n">
        <v>1100</v>
      </c>
      <c r="BB76" s="44" t="n">
        <v>1100</v>
      </c>
      <c r="BC76" s="44" t="n">
        <v>1100</v>
      </c>
      <c r="BD76" s="44" t="n">
        <v>1100</v>
      </c>
      <c r="BE76" s="44" t="n">
        <v>1100</v>
      </c>
      <c r="BF76" s="44" t="n">
        <v>1100</v>
      </c>
      <c r="BG76" s="44" t="n">
        <v>1100</v>
      </c>
      <c r="BH76" s="44" t="n">
        <v>1100</v>
      </c>
      <c r="BI76" s="44" t="n">
        <v>1000</v>
      </c>
      <c r="BJ76" s="44" t="n">
        <v>1000</v>
      </c>
      <c r="BK76" s="44" t="n">
        <v>1000</v>
      </c>
      <c r="BL76" s="44" t="n">
        <v>1000</v>
      </c>
      <c r="BM76" s="44" t="n">
        <v>1000</v>
      </c>
      <c r="BN76" s="44" t="n">
        <v>1000</v>
      </c>
      <c r="BO76" s="44" t="n">
        <v>1000</v>
      </c>
      <c r="BP76" s="44" t="n">
        <v>1000</v>
      </c>
      <c r="BQ76" s="44" t="n">
        <v>1000</v>
      </c>
      <c r="BR76" s="45" t="n">
        <v>1000</v>
      </c>
      <c r="BS76" s="46" t="n">
        <v>1000</v>
      </c>
      <c r="BT76" s="46" t="n">
        <v>1000</v>
      </c>
      <c r="BU76" s="46" t="n">
        <v>1000</v>
      </c>
      <c r="BV76" s="46" t="n">
        <v>1000</v>
      </c>
      <c r="BW76" s="46" t="n">
        <v>1000</v>
      </c>
      <c r="BX76" s="46" t="n">
        <v>1000</v>
      </c>
      <c r="BY76" s="46" t="n">
        <v>1000</v>
      </c>
      <c r="BZ76" s="46" t="n">
        <v>1000</v>
      </c>
      <c r="EX76" s="47" t="n">
        <v>400</v>
      </c>
      <c r="EY76" s="47" t="n">
        <v>400</v>
      </c>
      <c r="EZ76" s="47" t="n">
        <v>400</v>
      </c>
      <c r="FA76" s="47" t="n">
        <v>1000</v>
      </c>
      <c r="FB76" s="47" t="n">
        <v>1000</v>
      </c>
      <c r="FC76" s="47" t="n">
        <v>1000</v>
      </c>
      <c r="FD76" s="47" t="n">
        <v>900</v>
      </c>
      <c r="FE76" s="47" t="n">
        <v>900</v>
      </c>
      <c r="FF76" s="47" t="n">
        <v>900</v>
      </c>
      <c r="FG76" s="47" t="n">
        <v>900</v>
      </c>
      <c r="FH76" s="47" t="n">
        <v>900</v>
      </c>
      <c r="FI76" s="47" t="n">
        <v>900</v>
      </c>
      <c r="FJ76" s="47" t="n">
        <v>900</v>
      </c>
      <c r="FK76" s="47" t="n">
        <v>900</v>
      </c>
      <c r="FL76" s="47" t="n">
        <v>900</v>
      </c>
      <c r="FM76" s="47" t="n">
        <v>900</v>
      </c>
      <c r="FN76" s="47" t="n">
        <v>900</v>
      </c>
      <c r="FO76" s="47" t="n">
        <v>900</v>
      </c>
      <c r="FP76" s="47" t="n">
        <v>1000</v>
      </c>
      <c r="FQ76" s="47" t="n">
        <v>1000</v>
      </c>
      <c r="FR76" s="47" t="n">
        <v>1000</v>
      </c>
      <c r="FS76" s="47" t="n">
        <v>1000</v>
      </c>
      <c r="FT76" s="47" t="n">
        <v>1000</v>
      </c>
      <c r="FU76" s="47" t="n">
        <v>1000</v>
      </c>
      <c r="FV76" s="47" t="n">
        <v>1000</v>
      </c>
      <c r="FW76" s="47" t="n">
        <v>1000</v>
      </c>
      <c r="FX76" s="47" t="n">
        <v>1000</v>
      </c>
      <c r="FY76" s="47" t="n">
        <v>1000</v>
      </c>
      <c r="FZ76" s="47" t="n">
        <v>1000</v>
      </c>
      <c r="GA76" s="47" t="n">
        <v>1000</v>
      </c>
      <c r="GB76" s="47" t="n">
        <v>1300</v>
      </c>
      <c r="GC76" s="47" t="n">
        <v>1300</v>
      </c>
      <c r="GD76" s="47" t="n">
        <v>1300</v>
      </c>
      <c r="GE76" s="47" t="n">
        <v>1300</v>
      </c>
      <c r="GF76" s="47" t="n">
        <v>1300</v>
      </c>
      <c r="GG76" s="47" t="n">
        <v>1300</v>
      </c>
      <c r="GH76" s="47" t="n">
        <v>1300</v>
      </c>
      <c r="GI76" s="47" t="n">
        <v>1300</v>
      </c>
      <c r="GJ76" s="47" t="n">
        <v>1300</v>
      </c>
      <c r="GK76" s="47" t="n">
        <v>1300</v>
      </c>
      <c r="GL76" s="47" t="n">
        <v>1300</v>
      </c>
      <c r="GM76" s="47" t="n">
        <v>1300</v>
      </c>
      <c r="GN76" s="47" t="n">
        <v>1100</v>
      </c>
      <c r="GO76" s="47" t="n">
        <v>1100</v>
      </c>
      <c r="GP76" s="47" t="n">
        <v>1100</v>
      </c>
      <c r="GQ76" s="47" t="n">
        <v>1100</v>
      </c>
      <c r="GR76" s="47" t="n">
        <v>1100</v>
      </c>
      <c r="GS76" s="47" t="n">
        <v>1100</v>
      </c>
      <c r="GT76" s="47" t="n">
        <v>1100</v>
      </c>
      <c r="GU76" s="47" t="n">
        <v>1100</v>
      </c>
      <c r="GV76" s="47" t="n">
        <v>1100</v>
      </c>
      <c r="GW76" s="47" t="n">
        <v>1100</v>
      </c>
      <c r="GX76" s="47" t="n">
        <v>1100</v>
      </c>
      <c r="GY76" s="47" t="n">
        <v>1100</v>
      </c>
      <c r="GZ76" s="47" t="n">
        <v>1000</v>
      </c>
      <c r="HA76" s="47" t="n">
        <v>1000</v>
      </c>
      <c r="HB76" s="47" t="n">
        <v>1000</v>
      </c>
      <c r="HC76" s="47" t="n">
        <v>1000</v>
      </c>
      <c r="HD76" s="47" t="n">
        <v>1000</v>
      </c>
      <c r="HE76" s="47" t="n">
        <v>1000</v>
      </c>
      <c r="HF76" s="47" t="n">
        <v>1000</v>
      </c>
      <c r="HG76" s="47" t="n">
        <v>1000</v>
      </c>
      <c r="HH76" s="47" t="n">
        <v>1000</v>
      </c>
      <c r="HI76" s="48" t="n">
        <v>1000</v>
      </c>
      <c r="HJ76" s="47" t="n">
        <v>1000</v>
      </c>
      <c r="HK76" s="47" t="n">
        <v>1000</v>
      </c>
      <c r="HL76" s="47" t="n">
        <v>1000</v>
      </c>
      <c r="HM76" s="47" t="n">
        <v>1000</v>
      </c>
      <c r="HN76" s="47" t="n">
        <v>1000</v>
      </c>
      <c r="HO76" s="47" t="n">
        <v>1000</v>
      </c>
      <c r="HP76" s="47" t="n">
        <v>1000</v>
      </c>
      <c r="HQ76" s="47" t="n">
        <v>1000</v>
      </c>
      <c r="HS76" s="47" t="n">
        <v>400</v>
      </c>
      <c r="HT76" s="47" t="n">
        <v>400</v>
      </c>
      <c r="HU76" s="47" t="n">
        <v>400</v>
      </c>
      <c r="HV76" s="47" t="n">
        <v>1000</v>
      </c>
      <c r="HW76" s="47" t="n">
        <v>1000</v>
      </c>
      <c r="HX76" s="47" t="n">
        <v>1000</v>
      </c>
      <c r="HY76" s="47" t="n">
        <v>900</v>
      </c>
      <c r="HZ76" s="47" t="n">
        <v>900</v>
      </c>
      <c r="IA76" s="47" t="n">
        <v>900</v>
      </c>
      <c r="IB76" s="47" t="n">
        <v>900</v>
      </c>
      <c r="IC76" s="47" t="n">
        <v>900</v>
      </c>
      <c r="ID76" s="47" t="n">
        <v>900</v>
      </c>
      <c r="IE76" s="47" t="n">
        <v>900</v>
      </c>
      <c r="IF76" s="47" t="n">
        <v>900</v>
      </c>
      <c r="IG76" s="47" t="n">
        <v>900</v>
      </c>
      <c r="IH76" s="47" t="n">
        <v>900</v>
      </c>
      <c r="II76" s="47" t="n">
        <v>900</v>
      </c>
      <c r="IJ76" s="47" t="n">
        <v>900</v>
      </c>
      <c r="IK76" s="47" t="n">
        <v>1000</v>
      </c>
      <c r="IL76" s="47" t="n">
        <v>1000</v>
      </c>
      <c r="IM76" s="47" t="n">
        <v>1000</v>
      </c>
      <c r="IN76" s="47" t="n">
        <v>1000</v>
      </c>
      <c r="IO76" s="47" t="n">
        <v>1000</v>
      </c>
      <c r="IP76" s="47" t="n">
        <v>1000</v>
      </c>
      <c r="IQ76" s="47" t="n">
        <v>1000</v>
      </c>
      <c r="IR76" s="47" t="n">
        <v>1000</v>
      </c>
      <c r="IS76" s="47" t="n">
        <v>1000</v>
      </c>
      <c r="IT76" s="47" t="n">
        <v>1000</v>
      </c>
      <c r="IU76" s="47" t="n">
        <v>1000</v>
      </c>
      <c r="IV76" s="47" t="n">
        <v>1000</v>
      </c>
      <c r="IW76" s="47" t="n">
        <v>1300</v>
      </c>
      <c r="IX76" s="47" t="n">
        <v>1300</v>
      </c>
      <c r="IY76" s="47" t="n">
        <v>1300</v>
      </c>
      <c r="IZ76" s="47" t="n">
        <v>1300</v>
      </c>
      <c r="JA76" s="47" t="n">
        <v>1300</v>
      </c>
      <c r="JB76" s="47" t="n">
        <v>1300</v>
      </c>
      <c r="JC76" s="47" t="n">
        <v>1300</v>
      </c>
      <c r="JD76" s="47" t="n">
        <v>1300</v>
      </c>
      <c r="JE76" s="47" t="n">
        <v>1300</v>
      </c>
      <c r="JF76" s="47" t="n">
        <v>1300</v>
      </c>
      <c r="JG76" s="47" t="n">
        <v>1300</v>
      </c>
      <c r="JH76" s="47" t="n">
        <v>1300</v>
      </c>
      <c r="JI76" s="47" t="n">
        <v>1100</v>
      </c>
      <c r="JJ76" s="47" t="n">
        <v>1100</v>
      </c>
      <c r="JK76" s="47" t="n">
        <v>1100</v>
      </c>
      <c r="JL76" s="47" t="n">
        <v>1100</v>
      </c>
      <c r="JM76" s="47" t="n">
        <v>1100</v>
      </c>
      <c r="JN76" s="47" t="n">
        <v>1100</v>
      </c>
      <c r="JO76" s="47" t="n">
        <v>1100</v>
      </c>
      <c r="JP76" s="47" t="n">
        <v>1100</v>
      </c>
      <c r="JQ76" s="47" t="n">
        <v>1100</v>
      </c>
      <c r="JR76" s="47" t="n">
        <v>1100</v>
      </c>
      <c r="JS76" s="47" t="n">
        <v>1100</v>
      </c>
      <c r="JT76" s="47" t="n">
        <v>1100</v>
      </c>
      <c r="JU76" s="47" t="n">
        <v>1000</v>
      </c>
      <c r="JV76" s="47" t="n">
        <v>1000</v>
      </c>
      <c r="JW76" s="47" t="n">
        <v>1000</v>
      </c>
      <c r="JX76" s="47" t="n">
        <v>1000</v>
      </c>
      <c r="JY76" s="47" t="n">
        <v>1000</v>
      </c>
      <c r="JZ76" s="47" t="n">
        <v>1000</v>
      </c>
      <c r="KA76" s="47" t="n">
        <v>1000</v>
      </c>
      <c r="KB76" s="47" t="n">
        <v>1000</v>
      </c>
      <c r="KC76" s="47" t="n">
        <v>1000</v>
      </c>
      <c r="KD76" s="48" t="n">
        <v>1000</v>
      </c>
      <c r="KE76" s="47" t="n">
        <v>1000</v>
      </c>
      <c r="KF76" s="47" t="n">
        <v>1000</v>
      </c>
      <c r="KG76" s="47" t="n">
        <v>1000</v>
      </c>
      <c r="KH76" s="47" t="n">
        <v>1000</v>
      </c>
      <c r="KI76" s="47" t="n">
        <v>1000</v>
      </c>
      <c r="KJ76" s="47" t="n">
        <v>1000</v>
      </c>
      <c r="KK76" s="47" t="n">
        <v>1000</v>
      </c>
      <c r="KL76" s="47" t="n">
        <v>1000</v>
      </c>
    </row>
    <row r="77" customFormat="false" ht="15.75" hidden="false" customHeight="true" outlineLevel="0" collapsed="false">
      <c r="A77" s="35" t="s">
        <v>321</v>
      </c>
      <c r="B77" s="35" t="s">
        <v>322</v>
      </c>
      <c r="C77" s="35" t="s">
        <v>164</v>
      </c>
      <c r="D77" s="35" t="s">
        <v>215</v>
      </c>
      <c r="E77" s="35" t="s">
        <v>174</v>
      </c>
      <c r="G77" s="44" t="n">
        <v>0</v>
      </c>
      <c r="H77" s="44" t="n">
        <v>0</v>
      </c>
      <c r="I77" s="44" t="n">
        <v>0</v>
      </c>
      <c r="J77" s="44" t="n">
        <v>0</v>
      </c>
      <c r="K77" s="44" t="n">
        <v>0</v>
      </c>
      <c r="L77" s="44" t="n">
        <v>1875</v>
      </c>
      <c r="M77" s="44" t="n">
        <v>1875</v>
      </c>
      <c r="N77" s="44" t="n">
        <v>1875</v>
      </c>
      <c r="O77" s="44" t="n">
        <v>1875</v>
      </c>
      <c r="P77" s="44" t="n">
        <v>1875</v>
      </c>
      <c r="Q77" s="44" t="n">
        <v>1875</v>
      </c>
      <c r="R77" s="44" t="n">
        <v>1875</v>
      </c>
      <c r="S77" s="44" t="n">
        <v>1875</v>
      </c>
      <c r="T77" s="44" t="n">
        <v>2062.5</v>
      </c>
      <c r="U77" s="44" t="n">
        <v>2062.5</v>
      </c>
      <c r="V77" s="44" t="n">
        <v>2062.5</v>
      </c>
      <c r="W77" s="44" t="n">
        <v>2062.5</v>
      </c>
      <c r="X77" s="44" t="n">
        <v>2062.5</v>
      </c>
      <c r="Y77" s="44" t="n">
        <v>2062.5</v>
      </c>
      <c r="Z77" s="44" t="n">
        <v>2062.5</v>
      </c>
      <c r="AA77" s="44" t="n">
        <v>2062.5</v>
      </c>
      <c r="AB77" s="44" t="n">
        <v>2062.5</v>
      </c>
      <c r="AC77" s="44" t="n">
        <v>2062.5</v>
      </c>
      <c r="AD77" s="44" t="n">
        <v>2062.5</v>
      </c>
      <c r="AE77" s="44" t="n">
        <v>2062.5</v>
      </c>
      <c r="AF77" s="44" t="n">
        <v>4125</v>
      </c>
      <c r="AG77" s="44" t="n">
        <v>4125</v>
      </c>
      <c r="AH77" s="44" t="n">
        <v>4125</v>
      </c>
      <c r="AI77" s="44" t="n">
        <v>4125</v>
      </c>
      <c r="AJ77" s="44" t="n">
        <v>4125</v>
      </c>
      <c r="AK77" s="44" t="n">
        <v>4125</v>
      </c>
      <c r="AL77" s="44" t="n">
        <v>4125</v>
      </c>
      <c r="AM77" s="44" t="n">
        <v>4125</v>
      </c>
      <c r="AN77" s="44" t="n">
        <v>4125</v>
      </c>
      <c r="AO77" s="44" t="n">
        <v>4125</v>
      </c>
      <c r="AP77" s="44" t="n">
        <v>4125</v>
      </c>
      <c r="AQ77" s="44" t="n">
        <v>4125</v>
      </c>
      <c r="AR77" s="44" t="n">
        <v>447.727272727273</v>
      </c>
      <c r="AS77" s="44" t="n">
        <v>447.727272727273</v>
      </c>
      <c r="AT77" s="44" t="n">
        <v>447.727272727273</v>
      </c>
      <c r="AU77" s="44" t="n">
        <v>447.727272727273</v>
      </c>
      <c r="AV77" s="44" t="n">
        <v>447.727272727273</v>
      </c>
      <c r="AW77" s="44" t="n">
        <v>447.727272727273</v>
      </c>
      <c r="AX77" s="44" t="n">
        <v>447.727272727273</v>
      </c>
      <c r="AY77" s="44" t="n">
        <v>447.727272727273</v>
      </c>
      <c r="AZ77" s="44" t="n">
        <v>2281.06060606061</v>
      </c>
      <c r="BA77" s="44" t="n">
        <v>2281.06060606061</v>
      </c>
      <c r="BB77" s="44" t="n">
        <v>3656.06060606061</v>
      </c>
      <c r="BC77" s="44" t="n">
        <v>4812.5</v>
      </c>
      <c r="BD77" s="44" t="n">
        <v>4812.5</v>
      </c>
      <c r="BE77" s="44" t="n">
        <v>4812.5</v>
      </c>
      <c r="BF77" s="44" t="n">
        <v>5087.5</v>
      </c>
      <c r="BG77" s="44" t="n">
        <v>5087.5</v>
      </c>
      <c r="BH77" s="44" t="n">
        <v>5087.5</v>
      </c>
      <c r="BI77" s="44" t="n">
        <v>5087.5</v>
      </c>
      <c r="BJ77" s="44" t="n">
        <v>5087.5</v>
      </c>
      <c r="BK77" s="44" t="n">
        <v>5087.5</v>
      </c>
      <c r="BL77" s="44" t="n">
        <v>5087.5</v>
      </c>
      <c r="BM77" s="44" t="n">
        <v>5087.5</v>
      </c>
      <c r="BN77" s="44" t="n">
        <v>5087.5</v>
      </c>
      <c r="BO77" s="44" t="n">
        <v>5087.5</v>
      </c>
      <c r="BP77" s="44" t="n">
        <v>5087.5</v>
      </c>
      <c r="BQ77" s="44" t="n">
        <v>5087.5</v>
      </c>
      <c r="BR77" s="45" t="n">
        <v>5087.5</v>
      </c>
      <c r="BS77" s="46" t="n">
        <v>5087.5</v>
      </c>
      <c r="BT77" s="46" t="n">
        <v>5087.5</v>
      </c>
      <c r="BU77" s="46" t="n">
        <v>5087.5</v>
      </c>
      <c r="BV77" s="46" t="n">
        <v>5087.5</v>
      </c>
      <c r="BW77" s="46" t="n">
        <v>5087.5</v>
      </c>
      <c r="BX77" s="46" t="n">
        <v>5087.5</v>
      </c>
      <c r="BY77" s="46" t="n">
        <v>5087.5</v>
      </c>
      <c r="BZ77" s="46" t="n">
        <v>5087.5</v>
      </c>
      <c r="EX77" s="47" t="n">
        <v>0</v>
      </c>
      <c r="EY77" s="47" t="n">
        <v>0</v>
      </c>
      <c r="EZ77" s="47" t="n">
        <v>0</v>
      </c>
      <c r="FA77" s="47" t="n">
        <v>0</v>
      </c>
      <c r="FB77" s="47" t="n">
        <v>0</v>
      </c>
      <c r="FC77" s="47" t="n">
        <v>1875</v>
      </c>
      <c r="FD77" s="47" t="n">
        <v>1875</v>
      </c>
      <c r="FE77" s="47" t="n">
        <v>1875</v>
      </c>
      <c r="FF77" s="47" t="n">
        <v>1875</v>
      </c>
      <c r="FG77" s="47" t="n">
        <v>1875</v>
      </c>
      <c r="FH77" s="47" t="n">
        <v>1875</v>
      </c>
      <c r="FI77" s="47" t="n">
        <v>1875</v>
      </c>
      <c r="FJ77" s="47" t="n">
        <v>1875</v>
      </c>
      <c r="FK77" s="47" t="n">
        <v>2062.5</v>
      </c>
      <c r="FL77" s="47" t="n">
        <v>2062.5</v>
      </c>
      <c r="FM77" s="47" t="n">
        <v>2062.5</v>
      </c>
      <c r="FN77" s="47" t="n">
        <v>2062.5</v>
      </c>
      <c r="FO77" s="47" t="n">
        <v>2062.5</v>
      </c>
      <c r="FP77" s="47" t="n">
        <v>2062.5</v>
      </c>
      <c r="FQ77" s="47" t="n">
        <v>2062.5</v>
      </c>
      <c r="FR77" s="47" t="n">
        <v>2062.5</v>
      </c>
      <c r="FS77" s="47" t="n">
        <v>2062.5</v>
      </c>
      <c r="FT77" s="47" t="n">
        <v>2062.5</v>
      </c>
      <c r="FU77" s="47" t="n">
        <v>2062.5</v>
      </c>
      <c r="FV77" s="47" t="n">
        <v>2062.5</v>
      </c>
      <c r="FW77" s="47" t="n">
        <v>4125</v>
      </c>
      <c r="FX77" s="47" t="n">
        <v>4125</v>
      </c>
      <c r="FY77" s="47" t="n">
        <v>4125</v>
      </c>
      <c r="FZ77" s="47" t="n">
        <v>4125</v>
      </c>
      <c r="GA77" s="47" t="n">
        <v>4125</v>
      </c>
      <c r="GB77" s="47" t="n">
        <v>4125</v>
      </c>
      <c r="GC77" s="47" t="n">
        <v>4125</v>
      </c>
      <c r="GD77" s="47" t="n">
        <v>4125</v>
      </c>
      <c r="GE77" s="47" t="n">
        <v>4125</v>
      </c>
      <c r="GF77" s="47" t="n">
        <v>4125</v>
      </c>
      <c r="GG77" s="47" t="n">
        <v>4125</v>
      </c>
      <c r="GH77" s="47" t="n">
        <v>4125</v>
      </c>
      <c r="GI77" s="47" t="n">
        <v>447.727272727273</v>
      </c>
      <c r="GJ77" s="47" t="n">
        <v>447.727272727273</v>
      </c>
      <c r="GK77" s="47" t="n">
        <v>447.727272727273</v>
      </c>
      <c r="GL77" s="47" t="n">
        <v>447.727272727273</v>
      </c>
      <c r="GM77" s="47" t="n">
        <v>447.727272727273</v>
      </c>
      <c r="GN77" s="47" t="n">
        <v>447.727272727273</v>
      </c>
      <c r="GO77" s="47" t="n">
        <v>447.727272727273</v>
      </c>
      <c r="GP77" s="47" t="n">
        <v>447.727272727273</v>
      </c>
      <c r="GQ77" s="47" t="n">
        <v>2281.06060606061</v>
      </c>
      <c r="GR77" s="47" t="n">
        <v>2281.06060606061</v>
      </c>
      <c r="GS77" s="47" t="n">
        <v>3656.06060606061</v>
      </c>
      <c r="GT77" s="47" t="n">
        <v>4812.5</v>
      </c>
      <c r="GU77" s="47" t="n">
        <v>4812.5</v>
      </c>
      <c r="GV77" s="47" t="n">
        <v>4812.5</v>
      </c>
      <c r="GW77" s="47" t="n">
        <v>5087.5</v>
      </c>
      <c r="GX77" s="47" t="n">
        <v>5087.5</v>
      </c>
      <c r="GY77" s="47" t="n">
        <v>5087.5</v>
      </c>
      <c r="GZ77" s="47" t="n">
        <v>5087.5</v>
      </c>
      <c r="HA77" s="47" t="n">
        <v>5087.5</v>
      </c>
      <c r="HB77" s="47" t="n">
        <v>5087.5</v>
      </c>
      <c r="HC77" s="47" t="n">
        <v>5087.5</v>
      </c>
      <c r="HD77" s="47" t="n">
        <v>5087.5</v>
      </c>
      <c r="HE77" s="47" t="n">
        <v>5087.5</v>
      </c>
      <c r="HF77" s="47" t="n">
        <v>5087.5</v>
      </c>
      <c r="HG77" s="47" t="n">
        <v>5087.5</v>
      </c>
      <c r="HH77" s="47" t="n">
        <v>5087.5</v>
      </c>
      <c r="HI77" s="48" t="n">
        <v>5087.5</v>
      </c>
      <c r="HJ77" s="47" t="n">
        <v>5087.5</v>
      </c>
      <c r="HK77" s="47" t="n">
        <v>5087.5</v>
      </c>
      <c r="HL77" s="47" t="n">
        <v>5087.5</v>
      </c>
      <c r="HM77" s="47" t="n">
        <v>5087.5</v>
      </c>
      <c r="HN77" s="47" t="n">
        <v>5087.5</v>
      </c>
      <c r="HO77" s="47" t="n">
        <v>5087.5</v>
      </c>
      <c r="HP77" s="47" t="n">
        <v>5087.5</v>
      </c>
      <c r="HQ77" s="47" t="n">
        <v>5087.5</v>
      </c>
      <c r="HS77" s="47" t="n">
        <v>0</v>
      </c>
      <c r="HT77" s="47" t="n">
        <v>0</v>
      </c>
      <c r="HU77" s="47" t="n">
        <v>0</v>
      </c>
      <c r="HV77" s="47" t="n">
        <v>0</v>
      </c>
      <c r="HW77" s="47" t="n">
        <v>0</v>
      </c>
      <c r="HX77" s="47" t="n">
        <v>1875</v>
      </c>
      <c r="HY77" s="47" t="n">
        <v>1875</v>
      </c>
      <c r="HZ77" s="47" t="n">
        <v>1875</v>
      </c>
      <c r="IA77" s="47" t="n">
        <v>1875</v>
      </c>
      <c r="IB77" s="47" t="n">
        <v>1875</v>
      </c>
      <c r="IC77" s="47" t="n">
        <v>1875</v>
      </c>
      <c r="ID77" s="47" t="n">
        <v>1875</v>
      </c>
      <c r="IE77" s="47" t="n">
        <v>1875</v>
      </c>
      <c r="IF77" s="47" t="n">
        <v>2062.5</v>
      </c>
      <c r="IG77" s="47" t="n">
        <v>2062.5</v>
      </c>
      <c r="IH77" s="47" t="n">
        <v>2062.5</v>
      </c>
      <c r="II77" s="47" t="n">
        <v>2062.5</v>
      </c>
      <c r="IJ77" s="47" t="n">
        <v>2062.5</v>
      </c>
      <c r="IK77" s="47" t="n">
        <v>2062.5</v>
      </c>
      <c r="IL77" s="47" t="n">
        <v>2062.5</v>
      </c>
      <c r="IM77" s="47" t="n">
        <v>2062.5</v>
      </c>
      <c r="IN77" s="47" t="n">
        <v>2062.5</v>
      </c>
      <c r="IO77" s="47" t="n">
        <v>2062.5</v>
      </c>
      <c r="IP77" s="47" t="n">
        <v>2062.5</v>
      </c>
      <c r="IQ77" s="47" t="n">
        <v>2062.5</v>
      </c>
      <c r="IR77" s="47" t="n">
        <v>4125</v>
      </c>
      <c r="IS77" s="47" t="n">
        <v>4125</v>
      </c>
      <c r="IT77" s="47" t="n">
        <v>4125</v>
      </c>
      <c r="IU77" s="47" t="n">
        <v>4125</v>
      </c>
      <c r="IV77" s="47" t="n">
        <v>4125</v>
      </c>
      <c r="IW77" s="47" t="n">
        <v>4125</v>
      </c>
      <c r="IX77" s="47" t="n">
        <v>4125</v>
      </c>
      <c r="IY77" s="47" t="n">
        <v>4125</v>
      </c>
      <c r="IZ77" s="47" t="n">
        <v>4125</v>
      </c>
      <c r="JA77" s="47" t="n">
        <v>4125</v>
      </c>
      <c r="JB77" s="47" t="n">
        <v>4125</v>
      </c>
      <c r="JC77" s="47" t="n">
        <v>4125</v>
      </c>
      <c r="JD77" s="47" t="n">
        <v>447.727272727273</v>
      </c>
      <c r="JE77" s="47" t="n">
        <v>447.727272727273</v>
      </c>
      <c r="JF77" s="47" t="n">
        <v>447.727272727273</v>
      </c>
      <c r="JG77" s="47" t="n">
        <v>447.727272727273</v>
      </c>
      <c r="JH77" s="47" t="n">
        <v>447.727272727273</v>
      </c>
      <c r="JI77" s="47" t="n">
        <v>447.727272727273</v>
      </c>
      <c r="JJ77" s="47" t="n">
        <v>447.727272727273</v>
      </c>
      <c r="JK77" s="47" t="n">
        <v>447.727272727273</v>
      </c>
      <c r="JL77" s="47" t="n">
        <v>2281.06060606061</v>
      </c>
      <c r="JM77" s="47" t="n">
        <v>2281.06060606061</v>
      </c>
      <c r="JN77" s="47" t="n">
        <v>3656.06060606061</v>
      </c>
      <c r="JO77" s="47" t="n">
        <v>4812.5</v>
      </c>
      <c r="JP77" s="47" t="n">
        <v>4812.5</v>
      </c>
      <c r="JQ77" s="47" t="n">
        <v>4812.5</v>
      </c>
      <c r="JR77" s="47" t="n">
        <v>5087.5</v>
      </c>
      <c r="JS77" s="47" t="n">
        <v>5087.5</v>
      </c>
      <c r="JT77" s="47" t="n">
        <v>5087.5</v>
      </c>
      <c r="JU77" s="47" t="n">
        <v>5087.5</v>
      </c>
      <c r="JV77" s="47" t="n">
        <v>5087.5</v>
      </c>
      <c r="JW77" s="47" t="n">
        <v>5087.5</v>
      </c>
      <c r="JX77" s="47" t="n">
        <v>5087.5</v>
      </c>
      <c r="JY77" s="47" t="n">
        <v>5087.5</v>
      </c>
      <c r="JZ77" s="47" t="n">
        <v>5087.5</v>
      </c>
      <c r="KA77" s="47" t="n">
        <v>5087.5</v>
      </c>
      <c r="KB77" s="47" t="n">
        <v>5087.5</v>
      </c>
      <c r="KC77" s="47" t="n">
        <v>5087.5</v>
      </c>
      <c r="KD77" s="48" t="n">
        <v>5087.5</v>
      </c>
      <c r="KE77" s="47" t="n">
        <v>5087.5</v>
      </c>
      <c r="KF77" s="47" t="n">
        <v>5087.5</v>
      </c>
      <c r="KG77" s="47" t="n">
        <v>5087.5</v>
      </c>
      <c r="KH77" s="47" t="n">
        <v>5087.5</v>
      </c>
      <c r="KI77" s="47" t="n">
        <v>5087.5</v>
      </c>
      <c r="KJ77" s="47" t="n">
        <v>5087.5</v>
      </c>
      <c r="KK77" s="47" t="n">
        <v>5087.5</v>
      </c>
      <c r="KL77" s="47" t="n">
        <v>5087.5</v>
      </c>
    </row>
    <row r="78" customFormat="false" ht="15.75" hidden="false" customHeight="true" outlineLevel="0" collapsed="false">
      <c r="A78" s="35" t="s">
        <v>323</v>
      </c>
      <c r="B78" s="35" t="s">
        <v>324</v>
      </c>
      <c r="C78" s="35" t="s">
        <v>164</v>
      </c>
      <c r="D78" s="35" t="s">
        <v>204</v>
      </c>
      <c r="E78" s="35" t="s">
        <v>177</v>
      </c>
      <c r="S78" s="44" t="n">
        <v>0</v>
      </c>
      <c r="T78" s="44" t="n">
        <v>0</v>
      </c>
      <c r="U78" s="44" t="n">
        <v>0</v>
      </c>
      <c r="V78" s="44" t="n">
        <v>0</v>
      </c>
      <c r="W78" s="44" t="n">
        <v>0</v>
      </c>
      <c r="X78" s="44" t="n">
        <v>0</v>
      </c>
      <c r="Y78" s="44" t="n">
        <v>0</v>
      </c>
      <c r="Z78" s="44" t="n">
        <v>0</v>
      </c>
      <c r="AA78" s="44" t="n">
        <v>0</v>
      </c>
      <c r="AB78" s="44" t="n">
        <v>0</v>
      </c>
      <c r="AC78" s="44" t="n">
        <v>0</v>
      </c>
      <c r="AD78" s="44" t="n">
        <v>0</v>
      </c>
      <c r="AE78" s="44" t="n">
        <v>0</v>
      </c>
      <c r="AF78" s="44" t="n">
        <v>0</v>
      </c>
      <c r="AG78" s="44" t="n">
        <v>0</v>
      </c>
      <c r="AH78" s="44" t="n">
        <v>0</v>
      </c>
      <c r="AI78" s="44" t="n">
        <v>0</v>
      </c>
      <c r="AJ78" s="44" t="n">
        <v>0</v>
      </c>
      <c r="AK78" s="44" t="n">
        <v>0</v>
      </c>
      <c r="AL78" s="44" t="n">
        <v>0</v>
      </c>
      <c r="AM78" s="44" t="n">
        <v>0</v>
      </c>
      <c r="AN78" s="44" t="n">
        <v>0</v>
      </c>
      <c r="AO78" s="44" t="n">
        <v>0</v>
      </c>
      <c r="AP78" s="44" t="n">
        <v>0</v>
      </c>
      <c r="AQ78" s="44" t="n">
        <v>0</v>
      </c>
      <c r="AR78" s="44" t="n">
        <v>0</v>
      </c>
      <c r="AS78" s="44" t="n">
        <v>0</v>
      </c>
      <c r="AT78" s="44" t="n">
        <v>0</v>
      </c>
      <c r="AU78" s="44" t="n">
        <v>0</v>
      </c>
      <c r="AV78" s="44" t="n">
        <v>0</v>
      </c>
      <c r="AW78" s="44" t="n">
        <v>0</v>
      </c>
      <c r="AX78" s="44" t="n">
        <v>0</v>
      </c>
      <c r="AY78" s="44" t="n">
        <v>0</v>
      </c>
      <c r="AZ78" s="44" t="n">
        <v>0</v>
      </c>
      <c r="BA78" s="44" t="n">
        <v>0</v>
      </c>
      <c r="BB78" s="44" t="n">
        <v>0</v>
      </c>
      <c r="BC78" s="44" t="n">
        <v>0</v>
      </c>
      <c r="BD78" s="44" t="n">
        <v>250</v>
      </c>
      <c r="BE78" s="44" t="n">
        <v>250</v>
      </c>
      <c r="BF78" s="44" t="n">
        <v>250</v>
      </c>
      <c r="BG78" s="44" t="n">
        <v>250</v>
      </c>
      <c r="BH78" s="44" t="n">
        <v>250</v>
      </c>
      <c r="BI78" s="44" t="n">
        <v>250</v>
      </c>
      <c r="BJ78" s="44" t="n">
        <v>250</v>
      </c>
      <c r="BK78" s="44" t="n">
        <v>250</v>
      </c>
      <c r="BL78" s="44" t="n">
        <v>250</v>
      </c>
      <c r="BM78" s="44" t="n">
        <v>250</v>
      </c>
      <c r="BN78" s="44" t="n">
        <v>250</v>
      </c>
      <c r="BO78" s="44" t="n">
        <v>250</v>
      </c>
      <c r="BP78" s="44" t="n">
        <v>125</v>
      </c>
      <c r="BQ78" s="44" t="n">
        <v>125</v>
      </c>
      <c r="BR78" s="45" t="n">
        <v>125</v>
      </c>
      <c r="BS78" s="46" t="n">
        <v>125</v>
      </c>
      <c r="BT78" s="46" t="n">
        <v>125</v>
      </c>
      <c r="BU78" s="46" t="n">
        <v>125</v>
      </c>
      <c r="BV78" s="46" t="n">
        <v>125</v>
      </c>
      <c r="BW78" s="46" t="n">
        <v>125</v>
      </c>
      <c r="BX78" s="46" t="n">
        <v>125</v>
      </c>
      <c r="BY78" s="46" t="n">
        <v>125</v>
      </c>
      <c r="BZ78" s="46" t="n">
        <v>125</v>
      </c>
      <c r="EX78" s="47" t="n">
        <v>0</v>
      </c>
      <c r="EY78" s="47" t="n">
        <v>0</v>
      </c>
      <c r="EZ78" s="47" t="n">
        <v>0</v>
      </c>
      <c r="FA78" s="47" t="n">
        <v>0</v>
      </c>
      <c r="FB78" s="47" t="n">
        <v>0</v>
      </c>
      <c r="FC78" s="47" t="n">
        <v>0</v>
      </c>
      <c r="FD78" s="47" t="n">
        <v>0</v>
      </c>
      <c r="FE78" s="47" t="n">
        <v>0</v>
      </c>
      <c r="FF78" s="47" t="n">
        <v>0</v>
      </c>
      <c r="FG78" s="47" t="n">
        <v>0</v>
      </c>
      <c r="FH78" s="47" t="n">
        <v>0</v>
      </c>
      <c r="FI78" s="47" t="n">
        <v>0</v>
      </c>
      <c r="FJ78" s="47" t="n">
        <v>0</v>
      </c>
      <c r="FK78" s="47" t="n">
        <v>0</v>
      </c>
      <c r="FL78" s="47" t="n">
        <v>0</v>
      </c>
      <c r="FM78" s="47" t="n">
        <v>0</v>
      </c>
      <c r="FN78" s="47" t="n">
        <v>0</v>
      </c>
      <c r="FO78" s="47" t="n">
        <v>0</v>
      </c>
      <c r="FP78" s="47" t="n">
        <v>0</v>
      </c>
      <c r="FQ78" s="47" t="n">
        <v>0</v>
      </c>
      <c r="FR78" s="47" t="n">
        <v>0</v>
      </c>
      <c r="FS78" s="47" t="n">
        <v>0</v>
      </c>
      <c r="FT78" s="47" t="n">
        <v>0</v>
      </c>
      <c r="FU78" s="47" t="n">
        <v>0</v>
      </c>
      <c r="FV78" s="47" t="n">
        <v>0</v>
      </c>
      <c r="FW78" s="47" t="n">
        <v>0</v>
      </c>
      <c r="FX78" s="47" t="n">
        <v>0</v>
      </c>
      <c r="FY78" s="47" t="n">
        <v>0</v>
      </c>
      <c r="FZ78" s="47" t="n">
        <v>0</v>
      </c>
      <c r="GA78" s="47" t="n">
        <v>0</v>
      </c>
      <c r="GB78" s="47" t="n">
        <v>0</v>
      </c>
      <c r="GC78" s="47" t="n">
        <v>0</v>
      </c>
      <c r="GD78" s="47" t="n">
        <v>0</v>
      </c>
      <c r="GE78" s="47" t="n">
        <v>0</v>
      </c>
      <c r="GF78" s="47" t="n">
        <v>0</v>
      </c>
      <c r="GG78" s="47" t="n">
        <v>0</v>
      </c>
      <c r="GH78" s="47" t="n">
        <v>0</v>
      </c>
      <c r="GI78" s="47" t="n">
        <v>0</v>
      </c>
      <c r="GJ78" s="47" t="n">
        <v>0</v>
      </c>
      <c r="GK78" s="47" t="n">
        <v>0</v>
      </c>
      <c r="GL78" s="47" t="n">
        <v>0</v>
      </c>
      <c r="GM78" s="47" t="n">
        <v>0</v>
      </c>
      <c r="GN78" s="47" t="n">
        <v>0</v>
      </c>
      <c r="GO78" s="47" t="n">
        <v>0</v>
      </c>
      <c r="GP78" s="47" t="n">
        <v>0</v>
      </c>
      <c r="GQ78" s="47" t="n">
        <v>0</v>
      </c>
      <c r="GR78" s="47" t="n">
        <v>0</v>
      </c>
      <c r="GS78" s="47" t="n">
        <v>0</v>
      </c>
      <c r="GT78" s="47" t="n">
        <v>0</v>
      </c>
      <c r="GU78" s="47" t="n">
        <v>250</v>
      </c>
      <c r="GV78" s="47" t="n">
        <v>250</v>
      </c>
      <c r="GW78" s="47" t="n">
        <v>250</v>
      </c>
      <c r="GX78" s="47" t="n">
        <v>250</v>
      </c>
      <c r="GY78" s="47" t="n">
        <v>250</v>
      </c>
      <c r="GZ78" s="47" t="n">
        <v>250</v>
      </c>
      <c r="HA78" s="47" t="n">
        <v>250</v>
      </c>
      <c r="HB78" s="47" t="n">
        <v>250</v>
      </c>
      <c r="HC78" s="47" t="n">
        <v>250</v>
      </c>
      <c r="HD78" s="47" t="n">
        <v>250</v>
      </c>
      <c r="HE78" s="47" t="n">
        <v>250</v>
      </c>
      <c r="HF78" s="47" t="n">
        <v>250</v>
      </c>
      <c r="HG78" s="47" t="n">
        <v>125</v>
      </c>
      <c r="HH78" s="47" t="n">
        <v>125</v>
      </c>
      <c r="HI78" s="48" t="n">
        <v>125</v>
      </c>
      <c r="HJ78" s="47" t="n">
        <v>125</v>
      </c>
      <c r="HK78" s="47" t="n">
        <v>125</v>
      </c>
      <c r="HL78" s="47" t="n">
        <v>125</v>
      </c>
      <c r="HM78" s="47" t="n">
        <v>125</v>
      </c>
      <c r="HN78" s="47" t="n">
        <v>125</v>
      </c>
      <c r="HO78" s="47" t="n">
        <v>125</v>
      </c>
      <c r="HP78" s="47" t="n">
        <v>125</v>
      </c>
      <c r="HQ78" s="47" t="n">
        <v>125</v>
      </c>
      <c r="HS78" s="47" t="n">
        <v>0</v>
      </c>
      <c r="HT78" s="47" t="n">
        <v>0</v>
      </c>
      <c r="HU78" s="47" t="n">
        <v>0</v>
      </c>
      <c r="HV78" s="47" t="n">
        <v>0</v>
      </c>
      <c r="HW78" s="47" t="n">
        <v>0</v>
      </c>
      <c r="HX78" s="47" t="n">
        <v>0</v>
      </c>
      <c r="HY78" s="47" t="n">
        <v>0</v>
      </c>
      <c r="HZ78" s="47" t="n">
        <v>0</v>
      </c>
      <c r="IA78" s="47" t="n">
        <v>0</v>
      </c>
      <c r="IB78" s="47" t="n">
        <v>0</v>
      </c>
      <c r="IC78" s="47" t="n">
        <v>0</v>
      </c>
      <c r="ID78" s="47" t="n">
        <v>0</v>
      </c>
      <c r="IE78" s="47" t="n">
        <v>0</v>
      </c>
      <c r="IF78" s="47" t="n">
        <v>0</v>
      </c>
      <c r="IG78" s="47" t="n">
        <v>0</v>
      </c>
      <c r="IH78" s="47" t="n">
        <v>0</v>
      </c>
      <c r="II78" s="47" t="n">
        <v>0</v>
      </c>
      <c r="IJ78" s="47" t="n">
        <v>0</v>
      </c>
      <c r="IK78" s="47" t="n">
        <v>0</v>
      </c>
      <c r="IL78" s="47" t="n">
        <v>0</v>
      </c>
      <c r="IM78" s="47" t="n">
        <v>0</v>
      </c>
      <c r="IN78" s="47" t="n">
        <v>0</v>
      </c>
      <c r="IO78" s="47" t="n">
        <v>0</v>
      </c>
      <c r="IP78" s="47" t="n">
        <v>0</v>
      </c>
      <c r="IQ78" s="47" t="n">
        <v>0</v>
      </c>
      <c r="IR78" s="47" t="n">
        <v>0</v>
      </c>
      <c r="IS78" s="47" t="n">
        <v>0</v>
      </c>
      <c r="IT78" s="47" t="n">
        <v>0</v>
      </c>
      <c r="IU78" s="47" t="n">
        <v>0</v>
      </c>
      <c r="IV78" s="47" t="n">
        <v>0</v>
      </c>
      <c r="IW78" s="47" t="n">
        <v>0</v>
      </c>
      <c r="IX78" s="47" t="n">
        <v>0</v>
      </c>
      <c r="IY78" s="47" t="n">
        <v>0</v>
      </c>
      <c r="IZ78" s="47" t="n">
        <v>0</v>
      </c>
      <c r="JA78" s="47" t="n">
        <v>0</v>
      </c>
      <c r="JB78" s="47" t="n">
        <v>0</v>
      </c>
      <c r="JC78" s="47" t="n">
        <v>0</v>
      </c>
      <c r="JD78" s="47" t="n">
        <v>0</v>
      </c>
      <c r="JE78" s="47" t="n">
        <v>0</v>
      </c>
      <c r="JF78" s="47" t="n">
        <v>0</v>
      </c>
      <c r="JG78" s="47" t="n">
        <v>0</v>
      </c>
      <c r="JH78" s="47" t="n">
        <v>0</v>
      </c>
      <c r="JI78" s="47" t="n">
        <v>0</v>
      </c>
      <c r="JJ78" s="47" t="n">
        <v>0</v>
      </c>
      <c r="JK78" s="47" t="n">
        <v>0</v>
      </c>
      <c r="JL78" s="47" t="n">
        <v>0</v>
      </c>
      <c r="JM78" s="47" t="n">
        <v>0</v>
      </c>
      <c r="JN78" s="47" t="n">
        <v>0</v>
      </c>
      <c r="JO78" s="47" t="n">
        <v>0</v>
      </c>
      <c r="JP78" s="47" t="n">
        <v>250</v>
      </c>
      <c r="JQ78" s="47" t="n">
        <v>250</v>
      </c>
      <c r="JR78" s="47" t="n">
        <v>250</v>
      </c>
      <c r="JS78" s="47" t="n">
        <v>250</v>
      </c>
      <c r="JT78" s="47" t="n">
        <v>250</v>
      </c>
      <c r="JU78" s="47" t="n">
        <v>250</v>
      </c>
      <c r="JV78" s="47" t="n">
        <v>250</v>
      </c>
      <c r="JW78" s="47" t="n">
        <v>250</v>
      </c>
      <c r="JX78" s="47" t="n">
        <v>250</v>
      </c>
      <c r="JY78" s="47" t="n">
        <v>250</v>
      </c>
      <c r="JZ78" s="47" t="n">
        <v>250</v>
      </c>
      <c r="KA78" s="47" t="n">
        <v>250</v>
      </c>
      <c r="KB78" s="47" t="n">
        <v>125</v>
      </c>
      <c r="KC78" s="47" t="n">
        <v>125</v>
      </c>
      <c r="KD78" s="48" t="n">
        <v>125</v>
      </c>
      <c r="KE78" s="47" t="n">
        <v>125</v>
      </c>
      <c r="KF78" s="47" t="n">
        <v>125</v>
      </c>
      <c r="KG78" s="47" t="n">
        <v>125</v>
      </c>
      <c r="KH78" s="47" t="n">
        <v>125</v>
      </c>
      <c r="KI78" s="47" t="n">
        <v>125</v>
      </c>
      <c r="KJ78" s="47" t="n">
        <v>125</v>
      </c>
      <c r="KK78" s="47" t="n">
        <v>125</v>
      </c>
      <c r="KL78" s="47" t="n">
        <v>125</v>
      </c>
    </row>
    <row r="79" customFormat="false" ht="15.75" hidden="false" customHeight="true" outlineLevel="0" collapsed="false">
      <c r="A79" s="35" t="s">
        <v>325</v>
      </c>
      <c r="B79" s="35" t="s">
        <v>326</v>
      </c>
      <c r="C79" s="35" t="s">
        <v>164</v>
      </c>
      <c r="D79" s="35" t="s">
        <v>228</v>
      </c>
      <c r="E79" s="35" t="s">
        <v>174</v>
      </c>
      <c r="G79" s="44" t="n">
        <v>1602.6</v>
      </c>
      <c r="H79" s="44" t="n">
        <v>1602.6</v>
      </c>
      <c r="I79" s="44" t="n">
        <v>1602.6</v>
      </c>
      <c r="J79" s="44" t="n">
        <v>1602.6</v>
      </c>
      <c r="K79" s="44" t="n">
        <v>1602.6</v>
      </c>
      <c r="L79" s="44" t="n">
        <v>1602.6</v>
      </c>
      <c r="M79" s="44" t="n">
        <v>1602.6</v>
      </c>
      <c r="N79" s="44" t="n">
        <v>1602.6</v>
      </c>
      <c r="O79" s="44" t="n">
        <v>1602.6</v>
      </c>
      <c r="P79" s="44" t="n">
        <v>1602.6</v>
      </c>
      <c r="Q79" s="44" t="n">
        <v>1602.6</v>
      </c>
      <c r="R79" s="44" t="n">
        <v>1602.6</v>
      </c>
      <c r="S79" s="44" t="n">
        <v>1602.6</v>
      </c>
      <c r="T79" s="44" t="n">
        <v>1762.86</v>
      </c>
      <c r="U79" s="44" t="n">
        <v>1762.86</v>
      </c>
      <c r="V79" s="44" t="n">
        <v>1762.86</v>
      </c>
      <c r="W79" s="44" t="n">
        <v>1762.86</v>
      </c>
      <c r="X79" s="44" t="n">
        <v>1762.86</v>
      </c>
      <c r="Y79" s="44" t="n">
        <v>1762.86</v>
      </c>
      <c r="Z79" s="44" t="n">
        <v>1762.86</v>
      </c>
      <c r="AA79" s="44" t="n">
        <v>1762.86</v>
      </c>
      <c r="AB79" s="44" t="n">
        <v>1762.86</v>
      </c>
      <c r="AC79" s="44" t="n">
        <v>1762.86</v>
      </c>
      <c r="AD79" s="44" t="n">
        <v>1762.86</v>
      </c>
      <c r="AE79" s="44" t="n">
        <v>1762.86</v>
      </c>
      <c r="AF79" s="44" t="n">
        <v>1762.86</v>
      </c>
      <c r="AG79" s="44" t="n">
        <v>1762.86</v>
      </c>
      <c r="AH79" s="44" t="n">
        <v>1762.86</v>
      </c>
      <c r="AI79" s="44" t="n">
        <v>1762.86</v>
      </c>
      <c r="AJ79" s="44" t="n">
        <v>1762.86</v>
      </c>
      <c r="AK79" s="44" t="n">
        <v>1762.86</v>
      </c>
      <c r="AL79" s="44" t="n">
        <v>1762.86</v>
      </c>
      <c r="AM79" s="44" t="n">
        <v>1762.86</v>
      </c>
      <c r="AN79" s="44" t="n">
        <v>1762.86</v>
      </c>
      <c r="AO79" s="44" t="n">
        <v>1762.86</v>
      </c>
      <c r="AP79" s="44" t="n">
        <v>1762.86</v>
      </c>
      <c r="AQ79" s="44" t="n">
        <v>1762.86</v>
      </c>
      <c r="AR79" s="44" t="n">
        <v>1762.86</v>
      </c>
      <c r="AS79" s="44" t="n">
        <v>1762.86</v>
      </c>
      <c r="AT79" s="44" t="n">
        <v>1762.86</v>
      </c>
      <c r="AU79" s="44" t="n">
        <v>1762.86</v>
      </c>
      <c r="AV79" s="44" t="n">
        <v>1762.86</v>
      </c>
      <c r="AW79" s="44" t="n">
        <v>1762.86</v>
      </c>
      <c r="AX79" s="44" t="n">
        <v>1762.86</v>
      </c>
      <c r="AY79" s="44" t="n">
        <v>1762.86</v>
      </c>
      <c r="AZ79" s="44" t="n">
        <v>1762.86</v>
      </c>
      <c r="BA79" s="44" t="n">
        <v>1762.86</v>
      </c>
      <c r="BB79" s="44" t="n">
        <v>1762.86</v>
      </c>
      <c r="BC79" s="44" t="n">
        <v>1762.86</v>
      </c>
      <c r="BD79" s="44" t="n">
        <v>1762.86</v>
      </c>
      <c r="BE79" s="44" t="n">
        <v>1762.86</v>
      </c>
      <c r="BF79" s="44" t="n">
        <v>1762.86</v>
      </c>
      <c r="BG79" s="44" t="n">
        <v>1762.86</v>
      </c>
      <c r="BH79" s="44" t="n">
        <v>1762.86</v>
      </c>
      <c r="BI79" s="44" t="n">
        <v>1762.86</v>
      </c>
      <c r="BJ79" s="44" t="n">
        <v>1762.86</v>
      </c>
      <c r="BK79" s="44" t="n">
        <v>1762.86</v>
      </c>
      <c r="BL79" s="44" t="n">
        <v>1762.86</v>
      </c>
      <c r="BM79" s="44" t="n">
        <v>1762.86</v>
      </c>
      <c r="BN79" s="44" t="n">
        <v>1762.86</v>
      </c>
      <c r="BO79" s="44" t="n">
        <v>1762.86</v>
      </c>
      <c r="BP79" s="44" t="n">
        <v>2259.20833333333</v>
      </c>
      <c r="BQ79" s="44" t="n">
        <v>2259.20833333333</v>
      </c>
      <c r="BR79" s="45" t="n">
        <v>2259.20833333333</v>
      </c>
      <c r="BS79" s="46" t="n">
        <v>2259.20833333333</v>
      </c>
      <c r="BT79" s="46" t="n">
        <v>2259.20833333333</v>
      </c>
      <c r="BU79" s="46" t="n">
        <v>2259.20833333333</v>
      </c>
      <c r="BV79" s="46" t="n">
        <v>2259.20833333333</v>
      </c>
      <c r="BW79" s="46" t="n">
        <v>2259.20833333333</v>
      </c>
      <c r="BX79" s="46" t="n">
        <v>2259.20833333333</v>
      </c>
      <c r="BY79" s="46" t="n">
        <v>2259.20833333333</v>
      </c>
      <c r="BZ79" s="46" t="n">
        <v>2259.20833333333</v>
      </c>
      <c r="EX79" s="47" t="n">
        <v>1602.6</v>
      </c>
      <c r="EY79" s="47" t="n">
        <v>1602.6</v>
      </c>
      <c r="EZ79" s="47" t="n">
        <v>1602.6</v>
      </c>
      <c r="FA79" s="47" t="n">
        <v>1602.6</v>
      </c>
      <c r="FB79" s="47" t="n">
        <v>1602.6</v>
      </c>
      <c r="FC79" s="47" t="n">
        <v>1602.6</v>
      </c>
      <c r="FD79" s="47" t="n">
        <v>1602.6</v>
      </c>
      <c r="FE79" s="47" t="n">
        <v>1602.6</v>
      </c>
      <c r="FF79" s="47" t="n">
        <v>1602.6</v>
      </c>
      <c r="FG79" s="47" t="n">
        <v>1602.6</v>
      </c>
      <c r="FH79" s="47" t="n">
        <v>1602.6</v>
      </c>
      <c r="FI79" s="47" t="n">
        <v>1602.6</v>
      </c>
      <c r="FJ79" s="47" t="n">
        <v>1602.6</v>
      </c>
      <c r="FK79" s="47" t="n">
        <v>1762.86</v>
      </c>
      <c r="FL79" s="47" t="n">
        <v>1762.86</v>
      </c>
      <c r="FM79" s="47" t="n">
        <v>1762.86</v>
      </c>
      <c r="FN79" s="47" t="n">
        <v>1762.86</v>
      </c>
      <c r="FO79" s="47" t="n">
        <v>1762.86</v>
      </c>
      <c r="FP79" s="47" t="n">
        <v>1762.86</v>
      </c>
      <c r="FQ79" s="47" t="n">
        <v>1762.86</v>
      </c>
      <c r="FR79" s="47" t="n">
        <v>1762.86</v>
      </c>
      <c r="FS79" s="47" t="n">
        <v>1762.86</v>
      </c>
      <c r="FT79" s="47" t="n">
        <v>1762.86</v>
      </c>
      <c r="FU79" s="47" t="n">
        <v>1762.86</v>
      </c>
      <c r="FV79" s="47" t="n">
        <v>1762.86</v>
      </c>
      <c r="FW79" s="47" t="n">
        <v>1762.86</v>
      </c>
      <c r="FX79" s="47" t="n">
        <v>1762.86</v>
      </c>
      <c r="FY79" s="47" t="n">
        <v>1762.86</v>
      </c>
      <c r="FZ79" s="47" t="n">
        <v>1762.86</v>
      </c>
      <c r="GA79" s="47" t="n">
        <v>1762.86</v>
      </c>
      <c r="GB79" s="47" t="n">
        <v>1762.86</v>
      </c>
      <c r="GC79" s="47" t="n">
        <v>1762.86</v>
      </c>
      <c r="GD79" s="47" t="n">
        <v>1762.86</v>
      </c>
      <c r="GE79" s="47" t="n">
        <v>1762.86</v>
      </c>
      <c r="GF79" s="47" t="n">
        <v>1762.86</v>
      </c>
      <c r="GG79" s="47" t="n">
        <v>1762.86</v>
      </c>
      <c r="GH79" s="47" t="n">
        <v>1762.86</v>
      </c>
      <c r="GI79" s="47" t="n">
        <v>1762.86</v>
      </c>
      <c r="GJ79" s="47" t="n">
        <v>1762.86</v>
      </c>
      <c r="GK79" s="47" t="n">
        <v>1762.86</v>
      </c>
      <c r="GL79" s="47" t="n">
        <v>1762.86</v>
      </c>
      <c r="GM79" s="47" t="n">
        <v>1762.86</v>
      </c>
      <c r="GN79" s="47" t="n">
        <v>1762.86</v>
      </c>
      <c r="GO79" s="47" t="n">
        <v>1762.86</v>
      </c>
      <c r="GP79" s="47" t="n">
        <v>1762.86</v>
      </c>
      <c r="GQ79" s="47" t="n">
        <v>1762.86</v>
      </c>
      <c r="GR79" s="47" t="n">
        <v>1762.86</v>
      </c>
      <c r="GS79" s="47" t="n">
        <v>1762.86</v>
      </c>
      <c r="GT79" s="47" t="n">
        <v>1762.86</v>
      </c>
      <c r="GU79" s="47" t="n">
        <v>1762.86</v>
      </c>
      <c r="GV79" s="47" t="n">
        <v>1762.86</v>
      </c>
      <c r="GW79" s="47" t="n">
        <v>1762.86</v>
      </c>
      <c r="GX79" s="47" t="n">
        <v>1762.86</v>
      </c>
      <c r="GY79" s="47" t="n">
        <v>1762.86</v>
      </c>
      <c r="GZ79" s="47" t="n">
        <v>1762.86</v>
      </c>
      <c r="HA79" s="47" t="n">
        <v>1762.86</v>
      </c>
      <c r="HB79" s="47" t="n">
        <v>1762.86</v>
      </c>
      <c r="HC79" s="47" t="n">
        <v>1762.86</v>
      </c>
      <c r="HD79" s="47" t="n">
        <v>1762.86</v>
      </c>
      <c r="HE79" s="47" t="n">
        <v>1762.86</v>
      </c>
      <c r="HF79" s="47" t="n">
        <v>1762.86</v>
      </c>
      <c r="HG79" s="47" t="n">
        <v>2259.20833333333</v>
      </c>
      <c r="HH79" s="47" t="n">
        <v>2259.20833333333</v>
      </c>
      <c r="HI79" s="48" t="n">
        <v>2259.20833333333</v>
      </c>
      <c r="HJ79" s="47" t="n">
        <v>2259.20833333333</v>
      </c>
      <c r="HK79" s="47" t="n">
        <v>2259.20833333333</v>
      </c>
      <c r="HL79" s="47" t="n">
        <v>2259.20833333333</v>
      </c>
      <c r="HM79" s="47" t="n">
        <v>2259.20833333333</v>
      </c>
      <c r="HN79" s="47" t="n">
        <v>2259.20833333333</v>
      </c>
      <c r="HO79" s="47" t="n">
        <v>2259.20833333333</v>
      </c>
      <c r="HP79" s="47" t="n">
        <v>2259.20833333333</v>
      </c>
      <c r="HQ79" s="47" t="n">
        <v>2259.20833333333</v>
      </c>
      <c r="HS79" s="47" t="n">
        <v>1602.6</v>
      </c>
      <c r="HT79" s="47" t="n">
        <v>1602.6</v>
      </c>
      <c r="HU79" s="47" t="n">
        <v>1602.6</v>
      </c>
      <c r="HV79" s="47" t="n">
        <v>1602.6</v>
      </c>
      <c r="HW79" s="47" t="n">
        <v>1602.6</v>
      </c>
      <c r="HX79" s="47" t="n">
        <v>1602.6</v>
      </c>
      <c r="HY79" s="47" t="n">
        <v>1602.6</v>
      </c>
      <c r="HZ79" s="47" t="n">
        <v>1602.6</v>
      </c>
      <c r="IA79" s="47" t="n">
        <v>1602.6</v>
      </c>
      <c r="IB79" s="47" t="n">
        <v>1602.6</v>
      </c>
      <c r="IC79" s="47" t="n">
        <v>1602.6</v>
      </c>
      <c r="ID79" s="47" t="n">
        <v>1602.6</v>
      </c>
      <c r="IE79" s="47" t="n">
        <v>1602.6</v>
      </c>
      <c r="IF79" s="47" t="n">
        <v>1762.86</v>
      </c>
      <c r="IG79" s="47" t="n">
        <v>1762.86</v>
      </c>
      <c r="IH79" s="47" t="n">
        <v>1762.86</v>
      </c>
      <c r="II79" s="47" t="n">
        <v>1762.86</v>
      </c>
      <c r="IJ79" s="47" t="n">
        <v>1762.86</v>
      </c>
      <c r="IK79" s="47" t="n">
        <v>1762.86</v>
      </c>
      <c r="IL79" s="47" t="n">
        <v>1762.86</v>
      </c>
      <c r="IM79" s="47" t="n">
        <v>1762.86</v>
      </c>
      <c r="IN79" s="47" t="n">
        <v>1762.86</v>
      </c>
      <c r="IO79" s="47" t="n">
        <v>1762.86</v>
      </c>
      <c r="IP79" s="47" t="n">
        <v>1762.86</v>
      </c>
      <c r="IQ79" s="47" t="n">
        <v>1762.86</v>
      </c>
      <c r="IR79" s="47" t="n">
        <v>1762.86</v>
      </c>
      <c r="IS79" s="47" t="n">
        <v>1762.86</v>
      </c>
      <c r="IT79" s="47" t="n">
        <v>1762.86</v>
      </c>
      <c r="IU79" s="47" t="n">
        <v>1762.86</v>
      </c>
      <c r="IV79" s="47" t="n">
        <v>1762.86</v>
      </c>
      <c r="IW79" s="47" t="n">
        <v>1762.86</v>
      </c>
      <c r="IX79" s="47" t="n">
        <v>1762.86</v>
      </c>
      <c r="IY79" s="47" t="n">
        <v>1762.86</v>
      </c>
      <c r="IZ79" s="47" t="n">
        <v>1762.86</v>
      </c>
      <c r="JA79" s="47" t="n">
        <v>1762.86</v>
      </c>
      <c r="JB79" s="47" t="n">
        <v>1762.86</v>
      </c>
      <c r="JC79" s="47" t="n">
        <v>1762.86</v>
      </c>
      <c r="JD79" s="47" t="n">
        <v>1762.86</v>
      </c>
      <c r="JE79" s="47" t="n">
        <v>1762.86</v>
      </c>
      <c r="JF79" s="47" t="n">
        <v>1762.86</v>
      </c>
      <c r="JG79" s="47" t="n">
        <v>1762.86</v>
      </c>
      <c r="JH79" s="47" t="n">
        <v>1762.86</v>
      </c>
      <c r="JI79" s="47" t="n">
        <v>1762.86</v>
      </c>
      <c r="JJ79" s="47" t="n">
        <v>1762.86</v>
      </c>
      <c r="JK79" s="47" t="n">
        <v>1762.86</v>
      </c>
      <c r="JL79" s="47" t="n">
        <v>1762.86</v>
      </c>
      <c r="JM79" s="47" t="n">
        <v>1762.86</v>
      </c>
      <c r="JN79" s="47" t="n">
        <v>1762.86</v>
      </c>
      <c r="JO79" s="47" t="n">
        <v>1762.86</v>
      </c>
      <c r="JP79" s="47" t="n">
        <v>1762.86</v>
      </c>
      <c r="JQ79" s="47" t="n">
        <v>1762.86</v>
      </c>
      <c r="JR79" s="47" t="n">
        <v>1762.86</v>
      </c>
      <c r="JS79" s="47" t="n">
        <v>1762.86</v>
      </c>
      <c r="JT79" s="47" t="n">
        <v>1762.86</v>
      </c>
      <c r="JU79" s="47" t="n">
        <v>1762.86</v>
      </c>
      <c r="JV79" s="47" t="n">
        <v>1762.86</v>
      </c>
      <c r="JW79" s="47" t="n">
        <v>1762.86</v>
      </c>
      <c r="JX79" s="47" t="n">
        <v>1762.86</v>
      </c>
      <c r="JY79" s="47" t="n">
        <v>1762.86</v>
      </c>
      <c r="JZ79" s="47" t="n">
        <v>1762.86</v>
      </c>
      <c r="KA79" s="47" t="n">
        <v>1762.86</v>
      </c>
      <c r="KB79" s="47" t="n">
        <v>2259.20833333333</v>
      </c>
      <c r="KC79" s="47" t="n">
        <v>2259.20833333333</v>
      </c>
      <c r="KD79" s="48" t="n">
        <v>2259.20833333333</v>
      </c>
      <c r="KE79" s="47" t="n">
        <v>2259.20833333333</v>
      </c>
      <c r="KF79" s="47" t="n">
        <v>2259.20833333333</v>
      </c>
      <c r="KG79" s="47" t="n">
        <v>2259.20833333333</v>
      </c>
      <c r="KH79" s="47" t="n">
        <v>2259.20833333333</v>
      </c>
      <c r="KI79" s="47" t="n">
        <v>2259.20833333333</v>
      </c>
      <c r="KJ79" s="47" t="n">
        <v>2259.20833333333</v>
      </c>
      <c r="KK79" s="47" t="n">
        <v>2259.20833333333</v>
      </c>
      <c r="KL79" s="47" t="n">
        <v>2259.20833333333</v>
      </c>
    </row>
    <row r="80" customFormat="false" ht="15.75" hidden="false" customHeight="true" outlineLevel="0" collapsed="false">
      <c r="A80" s="35" t="s">
        <v>327</v>
      </c>
      <c r="B80" s="35" t="s">
        <v>328</v>
      </c>
      <c r="C80" s="35" t="s">
        <v>164</v>
      </c>
      <c r="D80" s="35" t="s">
        <v>228</v>
      </c>
      <c r="E80" s="35" t="s">
        <v>174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  <c r="AL80" s="44" t="n">
        <v>0</v>
      </c>
      <c r="AM80" s="44" t="n">
        <v>0</v>
      </c>
      <c r="AN80" s="44" t="n">
        <v>0</v>
      </c>
      <c r="AO80" s="44" t="n">
        <v>0</v>
      </c>
      <c r="AP80" s="44" t="n">
        <v>0</v>
      </c>
      <c r="AQ80" s="44" t="n">
        <v>0</v>
      </c>
      <c r="AR80" s="44" t="n">
        <v>0</v>
      </c>
      <c r="AS80" s="44" t="n">
        <v>0</v>
      </c>
      <c r="AT80" s="44" t="n">
        <v>0</v>
      </c>
      <c r="AU80" s="44" t="n">
        <v>0</v>
      </c>
      <c r="AV80" s="44" t="n">
        <v>0</v>
      </c>
      <c r="AW80" s="44" t="n">
        <v>0</v>
      </c>
      <c r="AX80" s="44" t="n">
        <v>0</v>
      </c>
      <c r="AY80" s="44" t="n">
        <v>0</v>
      </c>
      <c r="AZ80" s="44" t="n">
        <v>0</v>
      </c>
      <c r="BA80" s="44" t="n">
        <v>5483.33333333333</v>
      </c>
      <c r="BB80" s="44" t="n">
        <v>5483.33333333333</v>
      </c>
      <c r="BC80" s="44" t="n">
        <v>5483.33333333333</v>
      </c>
      <c r="BD80" s="44" t="n">
        <v>5483.33333333333</v>
      </c>
      <c r="BE80" s="44" t="n">
        <v>5483.33333333333</v>
      </c>
      <c r="BF80" s="44" t="n">
        <v>7254.18047619048</v>
      </c>
      <c r="BG80" s="44" t="n">
        <v>7254.18047619048</v>
      </c>
      <c r="BH80" s="44" t="n">
        <v>7520.85047619048</v>
      </c>
      <c r="BI80" s="44" t="n">
        <v>8041.70047619048</v>
      </c>
      <c r="BJ80" s="44" t="n">
        <v>8041.70047619048</v>
      </c>
      <c r="BK80" s="44" t="n">
        <v>8041.70047619048</v>
      </c>
      <c r="BL80" s="44" t="n">
        <v>8041.70047619048</v>
      </c>
      <c r="BM80" s="44" t="n">
        <v>6708.33333333333</v>
      </c>
      <c r="BN80" s="44" t="n">
        <v>6708.33333333333</v>
      </c>
      <c r="BO80" s="44" t="n">
        <v>8208.33333333333</v>
      </c>
      <c r="BP80" s="44" t="n">
        <v>8208.33333333333</v>
      </c>
      <c r="BQ80" s="44" t="n">
        <v>8208.33333333333</v>
      </c>
      <c r="BR80" s="45" t="n">
        <v>12558.3333333333</v>
      </c>
      <c r="BS80" s="46" t="n">
        <v>12558.3333333333</v>
      </c>
      <c r="BT80" s="46" t="n">
        <v>12558.3333333333</v>
      </c>
      <c r="BU80" s="46" t="n">
        <v>12558.3333333333</v>
      </c>
      <c r="BV80" s="46" t="n">
        <v>12558.3333333333</v>
      </c>
      <c r="BW80" s="46" t="n">
        <v>12558.3333333333</v>
      </c>
      <c r="BX80" s="46" t="n">
        <v>12558.3333333333</v>
      </c>
      <c r="BY80" s="46" t="n">
        <v>12558.3333333333</v>
      </c>
      <c r="BZ80" s="46" t="n">
        <v>12558.3333333333</v>
      </c>
      <c r="EX80" s="47" t="n">
        <v>0</v>
      </c>
      <c r="EY80" s="47" t="n">
        <v>0</v>
      </c>
      <c r="EZ80" s="47" t="n">
        <v>0</v>
      </c>
      <c r="FA80" s="47" t="n">
        <v>0</v>
      </c>
      <c r="FB80" s="47" t="n">
        <v>0</v>
      </c>
      <c r="FC80" s="47" t="n">
        <v>0</v>
      </c>
      <c r="FD80" s="47" t="n">
        <v>0</v>
      </c>
      <c r="FE80" s="47" t="n">
        <v>0</v>
      </c>
      <c r="FF80" s="47" t="n">
        <v>0</v>
      </c>
      <c r="FG80" s="47" t="n">
        <v>0</v>
      </c>
      <c r="FH80" s="47" t="n">
        <v>0</v>
      </c>
      <c r="FI80" s="47" t="n">
        <v>0</v>
      </c>
      <c r="FJ80" s="47" t="n">
        <v>0</v>
      </c>
      <c r="FK80" s="47" t="n">
        <v>0</v>
      </c>
      <c r="FL80" s="47" t="n">
        <v>0</v>
      </c>
      <c r="FM80" s="47" t="n">
        <v>0</v>
      </c>
      <c r="FN80" s="47" t="n">
        <v>0</v>
      </c>
      <c r="FO80" s="47" t="n">
        <v>0</v>
      </c>
      <c r="FP80" s="47" t="n">
        <v>0</v>
      </c>
      <c r="FQ80" s="47" t="n">
        <v>0</v>
      </c>
      <c r="FR80" s="47" t="n">
        <v>0</v>
      </c>
      <c r="FS80" s="47" t="n">
        <v>0</v>
      </c>
      <c r="FT80" s="47" t="n">
        <v>0</v>
      </c>
      <c r="FU80" s="47" t="n">
        <v>0</v>
      </c>
      <c r="FV80" s="47" t="n">
        <v>0</v>
      </c>
      <c r="FW80" s="47" t="n">
        <v>0</v>
      </c>
      <c r="FX80" s="47" t="n">
        <v>0</v>
      </c>
      <c r="FY80" s="47" t="n">
        <v>0</v>
      </c>
      <c r="FZ80" s="47" t="n">
        <v>0</v>
      </c>
      <c r="GA80" s="47" t="n">
        <v>0</v>
      </c>
      <c r="GB80" s="47" t="n">
        <v>0</v>
      </c>
      <c r="GC80" s="47" t="n">
        <v>0</v>
      </c>
      <c r="GD80" s="47" t="n">
        <v>0</v>
      </c>
      <c r="GE80" s="47" t="n">
        <v>0</v>
      </c>
      <c r="GF80" s="47" t="n">
        <v>0</v>
      </c>
      <c r="GG80" s="47" t="n">
        <v>0</v>
      </c>
      <c r="GH80" s="47" t="n">
        <v>0</v>
      </c>
      <c r="GI80" s="47" t="n">
        <v>0</v>
      </c>
      <c r="GJ80" s="47" t="n">
        <v>0</v>
      </c>
      <c r="GK80" s="47" t="n">
        <v>0</v>
      </c>
      <c r="GL80" s="47" t="n">
        <v>0</v>
      </c>
      <c r="GM80" s="47" t="n">
        <v>0</v>
      </c>
      <c r="GN80" s="47" t="n">
        <v>0</v>
      </c>
      <c r="GO80" s="47" t="n">
        <v>0</v>
      </c>
      <c r="GP80" s="47" t="n">
        <v>0</v>
      </c>
      <c r="GQ80" s="47" t="n">
        <v>0</v>
      </c>
      <c r="GR80" s="47" t="n">
        <v>5483.33333333333</v>
      </c>
      <c r="GS80" s="47" t="n">
        <v>5483.33333333333</v>
      </c>
      <c r="GT80" s="47" t="n">
        <v>5483.33333333333</v>
      </c>
      <c r="GU80" s="47" t="n">
        <v>5483.33333333333</v>
      </c>
      <c r="GV80" s="47" t="n">
        <v>5483.33333333333</v>
      </c>
      <c r="GW80" s="47" t="n">
        <v>7254.18047619048</v>
      </c>
      <c r="GX80" s="47" t="n">
        <v>7254.18047619048</v>
      </c>
      <c r="GY80" s="47" t="n">
        <v>7520.85047619048</v>
      </c>
      <c r="GZ80" s="47" t="n">
        <v>8041.70047619048</v>
      </c>
      <c r="HA80" s="47" t="n">
        <v>8041.70047619048</v>
      </c>
      <c r="HB80" s="47" t="n">
        <v>8041.70047619048</v>
      </c>
      <c r="HC80" s="47" t="n">
        <v>8041.70047619048</v>
      </c>
      <c r="HD80" s="47" t="n">
        <v>6708.33333333333</v>
      </c>
      <c r="HE80" s="47" t="n">
        <v>6708.33333333333</v>
      </c>
      <c r="HF80" s="47" t="n">
        <v>8208.33333333333</v>
      </c>
      <c r="HG80" s="47" t="n">
        <v>8208.33333333333</v>
      </c>
      <c r="HH80" s="47" t="n">
        <v>8208.33333333333</v>
      </c>
      <c r="HI80" s="48" t="n">
        <v>12558.3333333333</v>
      </c>
      <c r="HJ80" s="47" t="n">
        <v>12558.3333333333</v>
      </c>
      <c r="HK80" s="47" t="n">
        <v>12558.3333333333</v>
      </c>
      <c r="HL80" s="47" t="n">
        <v>12558.3333333333</v>
      </c>
      <c r="HM80" s="47" t="n">
        <v>12558.3333333333</v>
      </c>
      <c r="HN80" s="47" t="n">
        <v>12558.3333333333</v>
      </c>
      <c r="HO80" s="47" t="n">
        <v>12558.3333333333</v>
      </c>
      <c r="HP80" s="47" t="n">
        <v>12558.3333333333</v>
      </c>
      <c r="HQ80" s="47" t="n">
        <v>12558.3333333333</v>
      </c>
      <c r="HS80" s="47" t="n">
        <v>0</v>
      </c>
      <c r="HT80" s="47" t="n">
        <v>0</v>
      </c>
      <c r="HU80" s="47" t="n">
        <v>0</v>
      </c>
      <c r="HV80" s="47" t="n">
        <v>0</v>
      </c>
      <c r="HW80" s="47" t="n">
        <v>0</v>
      </c>
      <c r="HX80" s="47" t="n">
        <v>0</v>
      </c>
      <c r="HY80" s="47" t="n">
        <v>0</v>
      </c>
      <c r="HZ80" s="47" t="n">
        <v>0</v>
      </c>
      <c r="IA80" s="47" t="n">
        <v>0</v>
      </c>
      <c r="IB80" s="47" t="n">
        <v>0</v>
      </c>
      <c r="IC80" s="47" t="n">
        <v>0</v>
      </c>
      <c r="ID80" s="47" t="n">
        <v>0</v>
      </c>
      <c r="IE80" s="47" t="n">
        <v>0</v>
      </c>
      <c r="IF80" s="47" t="n">
        <v>0</v>
      </c>
      <c r="IG80" s="47" t="n">
        <v>0</v>
      </c>
      <c r="IH80" s="47" t="n">
        <v>0</v>
      </c>
      <c r="II80" s="47" t="n">
        <v>0</v>
      </c>
      <c r="IJ80" s="47" t="n">
        <v>0</v>
      </c>
      <c r="IK80" s="47" t="n">
        <v>0</v>
      </c>
      <c r="IL80" s="47" t="n">
        <v>0</v>
      </c>
      <c r="IM80" s="47" t="n">
        <v>0</v>
      </c>
      <c r="IN80" s="47" t="n">
        <v>0</v>
      </c>
      <c r="IO80" s="47" t="n">
        <v>0</v>
      </c>
      <c r="IP80" s="47" t="n">
        <v>0</v>
      </c>
      <c r="IQ80" s="47" t="n">
        <v>0</v>
      </c>
      <c r="IR80" s="47" t="n">
        <v>0</v>
      </c>
      <c r="IS80" s="47" t="n">
        <v>0</v>
      </c>
      <c r="IT80" s="47" t="n">
        <v>0</v>
      </c>
      <c r="IU80" s="47" t="n">
        <v>0</v>
      </c>
      <c r="IV80" s="47" t="n">
        <v>0</v>
      </c>
      <c r="IW80" s="47" t="n">
        <v>0</v>
      </c>
      <c r="IX80" s="47" t="n">
        <v>0</v>
      </c>
      <c r="IY80" s="47" t="n">
        <v>0</v>
      </c>
      <c r="IZ80" s="47" t="n">
        <v>0</v>
      </c>
      <c r="JA80" s="47" t="n">
        <v>0</v>
      </c>
      <c r="JB80" s="47" t="n">
        <v>0</v>
      </c>
      <c r="JC80" s="47" t="n">
        <v>0</v>
      </c>
      <c r="JD80" s="47" t="n">
        <v>0</v>
      </c>
      <c r="JE80" s="47" t="n">
        <v>0</v>
      </c>
      <c r="JF80" s="47" t="n">
        <v>0</v>
      </c>
      <c r="JG80" s="47" t="n">
        <v>0</v>
      </c>
      <c r="JH80" s="47" t="n">
        <v>0</v>
      </c>
      <c r="JI80" s="47" t="n">
        <v>0</v>
      </c>
      <c r="JJ80" s="47" t="n">
        <v>0</v>
      </c>
      <c r="JK80" s="47" t="n">
        <v>0</v>
      </c>
      <c r="JL80" s="47" t="n">
        <v>0</v>
      </c>
      <c r="JM80" s="47" t="n">
        <v>5483.33333333333</v>
      </c>
      <c r="JN80" s="47" t="n">
        <v>5483.33333333333</v>
      </c>
      <c r="JO80" s="47" t="n">
        <v>5483.33333333333</v>
      </c>
      <c r="JP80" s="47" t="n">
        <v>5483.33333333333</v>
      </c>
      <c r="JQ80" s="47" t="n">
        <v>5483.33333333333</v>
      </c>
      <c r="JR80" s="47" t="n">
        <v>7254.18047619048</v>
      </c>
      <c r="JS80" s="47" t="n">
        <v>7254.18047619048</v>
      </c>
      <c r="JT80" s="47" t="n">
        <v>7520.85047619048</v>
      </c>
      <c r="JU80" s="47" t="n">
        <v>8041.70047619048</v>
      </c>
      <c r="JV80" s="47" t="n">
        <v>8041.70047619048</v>
      </c>
      <c r="JW80" s="47" t="n">
        <v>8041.70047619048</v>
      </c>
      <c r="JX80" s="47" t="n">
        <v>8041.70047619048</v>
      </c>
      <c r="JY80" s="47" t="n">
        <v>6708.33333333333</v>
      </c>
      <c r="JZ80" s="47" t="n">
        <v>6708.33333333333</v>
      </c>
      <c r="KA80" s="47" t="n">
        <v>8208.33333333333</v>
      </c>
      <c r="KB80" s="47" t="n">
        <v>8208.33333333333</v>
      </c>
      <c r="KC80" s="47" t="n">
        <v>8208.33333333333</v>
      </c>
      <c r="KD80" s="48" t="n">
        <v>12558.3333333333</v>
      </c>
      <c r="KE80" s="47" t="n">
        <v>12558.3333333333</v>
      </c>
      <c r="KF80" s="47" t="n">
        <v>12558.3333333333</v>
      </c>
      <c r="KG80" s="47" t="n">
        <v>12558.3333333333</v>
      </c>
      <c r="KH80" s="47" t="n">
        <v>12558.3333333333</v>
      </c>
      <c r="KI80" s="47" t="n">
        <v>12558.3333333333</v>
      </c>
      <c r="KJ80" s="47" t="n">
        <v>12558.3333333333</v>
      </c>
      <c r="KK80" s="47" t="n">
        <v>12558.3333333333</v>
      </c>
      <c r="KL80" s="47" t="n">
        <v>12558.3333333333</v>
      </c>
    </row>
    <row r="81" customFormat="false" ht="15.75" hidden="false" customHeight="true" outlineLevel="0" collapsed="false">
      <c r="A81" s="35" t="s">
        <v>329</v>
      </c>
      <c r="B81" s="35" t="s">
        <v>330</v>
      </c>
      <c r="C81" s="35" t="s">
        <v>164</v>
      </c>
      <c r="D81" s="35" t="s">
        <v>331</v>
      </c>
      <c r="E81" s="35" t="s">
        <v>174</v>
      </c>
      <c r="G81" s="44" t="n">
        <v>5166.66666666667</v>
      </c>
      <c r="H81" s="44" t="n">
        <v>5166.66666666667</v>
      </c>
      <c r="I81" s="44" t="n">
        <v>5166.66666666667</v>
      </c>
      <c r="J81" s="44" t="n">
        <v>5166.66666666667</v>
      </c>
      <c r="K81" s="44" t="n">
        <v>5166.66666666667</v>
      </c>
      <c r="L81" s="44" t="n">
        <v>5166.66666666667</v>
      </c>
      <c r="M81" s="44" t="n">
        <v>5166.66666666667</v>
      </c>
      <c r="N81" s="44" t="n">
        <v>5166.66666666667</v>
      </c>
      <c r="O81" s="44" t="n">
        <v>5166.66666666667</v>
      </c>
      <c r="P81" s="44" t="n">
        <v>5166.66666666667</v>
      </c>
      <c r="Q81" s="44" t="n">
        <v>5166.66666666667</v>
      </c>
      <c r="R81" s="44" t="n">
        <v>5166.66666666667</v>
      </c>
      <c r="S81" s="44" t="n">
        <v>5166.66666666667</v>
      </c>
      <c r="T81" s="44" t="n">
        <v>5166.66666666667</v>
      </c>
      <c r="U81" s="44" t="n">
        <v>5166.66666666667</v>
      </c>
      <c r="V81" s="44" t="n">
        <v>4566.66666666667</v>
      </c>
      <c r="W81" s="44" t="n">
        <v>4566.66666666667</v>
      </c>
      <c r="X81" s="44" t="n">
        <v>4566.66666666667</v>
      </c>
      <c r="Y81" s="44" t="n">
        <v>4566.66666666667</v>
      </c>
      <c r="Z81" s="44" t="n">
        <v>4566.66666666667</v>
      </c>
      <c r="AA81" s="44" t="n">
        <v>4566.66666666667</v>
      </c>
      <c r="AB81" s="44" t="n">
        <v>4566.66666666667</v>
      </c>
      <c r="AC81" s="44" t="n">
        <v>4566.66666666667</v>
      </c>
      <c r="AD81" s="44" t="n">
        <v>4566.66666666667</v>
      </c>
      <c r="AE81" s="44" t="n">
        <v>4666.66666666667</v>
      </c>
      <c r="AF81" s="44" t="n">
        <v>4666.66666666667</v>
      </c>
      <c r="AG81" s="44" t="n">
        <v>4666.66666666667</v>
      </c>
      <c r="AH81" s="44" t="n">
        <v>4666.66666666667</v>
      </c>
      <c r="AI81" s="44" t="n">
        <v>4666.66666666667</v>
      </c>
      <c r="AJ81" s="44" t="n">
        <v>4666.66666666667</v>
      </c>
      <c r="AK81" s="44" t="n">
        <v>4666.66666666667</v>
      </c>
      <c r="AL81" s="44" t="n">
        <v>4666.66666666667</v>
      </c>
      <c r="AM81" s="44" t="n">
        <v>4666.66666666667</v>
      </c>
      <c r="AN81" s="44" t="n">
        <v>4666.66666666667</v>
      </c>
      <c r="AO81" s="44" t="n">
        <v>4666.66666666667</v>
      </c>
      <c r="AP81" s="44" t="n">
        <v>4666.66666666667</v>
      </c>
      <c r="AQ81" s="44" t="n">
        <v>4666.66666666667</v>
      </c>
      <c r="AR81" s="44" t="n">
        <v>4666.66666666667</v>
      </c>
      <c r="AS81" s="44" t="n">
        <v>4666.66666666667</v>
      </c>
      <c r="AT81" s="44" t="n">
        <v>4666.66666666667</v>
      </c>
      <c r="AU81" s="44" t="n">
        <v>4666.66666666667</v>
      </c>
      <c r="AV81" s="44" t="n">
        <v>4666.66666666667</v>
      </c>
      <c r="AW81" s="44" t="n">
        <v>4666.66666666667</v>
      </c>
      <c r="AX81" s="44" t="n">
        <v>4666.66666666667</v>
      </c>
      <c r="AY81" s="44" t="n">
        <v>4666.66666666667</v>
      </c>
      <c r="AZ81" s="44" t="n">
        <v>4666.66666666667</v>
      </c>
      <c r="BA81" s="44" t="n">
        <v>4666.66666666667</v>
      </c>
      <c r="BB81" s="44" t="n">
        <v>4666.66666666667</v>
      </c>
      <c r="BC81" s="44" t="n">
        <v>4666.66666666667</v>
      </c>
      <c r="BD81" s="44" t="n">
        <v>4666.66666666667</v>
      </c>
      <c r="BE81" s="44" t="n">
        <v>4666.66666666667</v>
      </c>
      <c r="BF81" s="44" t="n">
        <v>4666.66666666667</v>
      </c>
      <c r="BG81" s="44" t="n">
        <v>4666.66666666667</v>
      </c>
      <c r="BH81" s="44" t="n">
        <v>4666.66666666667</v>
      </c>
      <c r="BI81" s="44" t="n">
        <v>4666.66666666667</v>
      </c>
      <c r="BJ81" s="44" t="n">
        <v>4666.66666666667</v>
      </c>
      <c r="BK81" s="44" t="n">
        <v>4666.66666666667</v>
      </c>
      <c r="BL81" s="44" t="n">
        <v>4666.66666666667</v>
      </c>
      <c r="BM81" s="44" t="n">
        <v>4666.66666666667</v>
      </c>
      <c r="BN81" s="44" t="n">
        <v>4666.66666666667</v>
      </c>
      <c r="BO81" s="44" t="n">
        <v>4666.66666666667</v>
      </c>
      <c r="BP81" s="44" t="n">
        <v>4666.66666666667</v>
      </c>
      <c r="BQ81" s="44" t="n">
        <v>4666.66666666667</v>
      </c>
      <c r="BR81" s="45" t="n">
        <v>4876.66666666667</v>
      </c>
      <c r="BS81" s="46" t="n">
        <v>4876.66666666667</v>
      </c>
      <c r="BT81" s="46" t="n">
        <v>4876.66666666667</v>
      </c>
      <c r="BU81" s="46" t="n">
        <v>4876.66666666667</v>
      </c>
      <c r="BV81" s="46" t="n">
        <v>4876.66666666667</v>
      </c>
      <c r="BW81" s="46" t="n">
        <v>4876.66666666667</v>
      </c>
      <c r="BX81" s="46" t="n">
        <v>4876.66666666667</v>
      </c>
      <c r="BY81" s="46" t="n">
        <v>4876.66666666667</v>
      </c>
      <c r="BZ81" s="46" t="n">
        <v>4876.66666666667</v>
      </c>
      <c r="EX81" s="47" t="n">
        <v>5166.66666666667</v>
      </c>
      <c r="EY81" s="47" t="n">
        <v>5166.66666666667</v>
      </c>
      <c r="EZ81" s="47" t="n">
        <v>5166.66666666667</v>
      </c>
      <c r="FA81" s="47" t="n">
        <v>5166.66666666667</v>
      </c>
      <c r="FB81" s="47" t="n">
        <v>5166.66666666667</v>
      </c>
      <c r="FC81" s="47" t="n">
        <v>5166.66666666667</v>
      </c>
      <c r="FD81" s="47" t="n">
        <v>5166.66666666667</v>
      </c>
      <c r="FE81" s="47" t="n">
        <v>5166.66666666667</v>
      </c>
      <c r="FF81" s="47" t="n">
        <v>5166.66666666667</v>
      </c>
      <c r="FG81" s="47" t="n">
        <v>5166.66666666667</v>
      </c>
      <c r="FH81" s="47" t="n">
        <v>5166.66666666667</v>
      </c>
      <c r="FI81" s="47" t="n">
        <v>5166.66666666667</v>
      </c>
      <c r="FJ81" s="47" t="n">
        <v>5166.66666666667</v>
      </c>
      <c r="FK81" s="47" t="n">
        <v>5166.66666666667</v>
      </c>
      <c r="FL81" s="47" t="n">
        <v>5166.66666666667</v>
      </c>
      <c r="FM81" s="47" t="n">
        <v>4566.66666666667</v>
      </c>
      <c r="FN81" s="47" t="n">
        <v>4566.66666666667</v>
      </c>
      <c r="FO81" s="47" t="n">
        <v>4566.66666666667</v>
      </c>
      <c r="FP81" s="47" t="n">
        <v>4566.66666666667</v>
      </c>
      <c r="FQ81" s="47" t="n">
        <v>4566.66666666667</v>
      </c>
      <c r="FR81" s="47" t="n">
        <v>4566.66666666667</v>
      </c>
      <c r="FS81" s="47" t="n">
        <v>4566.66666666667</v>
      </c>
      <c r="FT81" s="47" t="n">
        <v>4566.66666666667</v>
      </c>
      <c r="FU81" s="47" t="n">
        <v>4566.66666666667</v>
      </c>
      <c r="FV81" s="47" t="n">
        <v>4666.66666666667</v>
      </c>
      <c r="FW81" s="47" t="n">
        <v>4666.66666666667</v>
      </c>
      <c r="FX81" s="47" t="n">
        <v>4666.66666666667</v>
      </c>
      <c r="FY81" s="47" t="n">
        <v>4666.66666666667</v>
      </c>
      <c r="FZ81" s="47" t="n">
        <v>4666.66666666667</v>
      </c>
      <c r="GA81" s="47" t="n">
        <v>4666.66666666667</v>
      </c>
      <c r="GB81" s="47" t="n">
        <v>4666.66666666667</v>
      </c>
      <c r="GC81" s="47" t="n">
        <v>4666.66666666667</v>
      </c>
      <c r="GD81" s="47" t="n">
        <v>4666.66666666667</v>
      </c>
      <c r="GE81" s="47" t="n">
        <v>4666.66666666667</v>
      </c>
      <c r="GF81" s="47" t="n">
        <v>4666.66666666667</v>
      </c>
      <c r="GG81" s="47" t="n">
        <v>4666.66666666667</v>
      </c>
      <c r="GH81" s="47" t="n">
        <v>4666.66666666667</v>
      </c>
      <c r="GI81" s="47" t="n">
        <v>4666.66666666667</v>
      </c>
      <c r="GJ81" s="47" t="n">
        <v>4666.66666666667</v>
      </c>
      <c r="GK81" s="47" t="n">
        <v>4666.66666666667</v>
      </c>
      <c r="GL81" s="47" t="n">
        <v>4666.66666666667</v>
      </c>
      <c r="GM81" s="47" t="n">
        <v>4666.66666666667</v>
      </c>
      <c r="GN81" s="47" t="n">
        <v>4666.66666666667</v>
      </c>
      <c r="GO81" s="47" t="n">
        <v>4666.66666666667</v>
      </c>
      <c r="GP81" s="47" t="n">
        <v>4666.66666666667</v>
      </c>
      <c r="GQ81" s="47" t="n">
        <v>4666.66666666667</v>
      </c>
      <c r="GR81" s="47" t="n">
        <v>4666.66666666667</v>
      </c>
      <c r="GS81" s="47" t="n">
        <v>4666.66666666667</v>
      </c>
      <c r="GT81" s="47" t="n">
        <v>4666.66666666667</v>
      </c>
      <c r="GU81" s="47" t="n">
        <v>4666.66666666667</v>
      </c>
      <c r="GV81" s="47" t="n">
        <v>4666.66666666667</v>
      </c>
      <c r="GW81" s="47" t="n">
        <v>4666.66666666667</v>
      </c>
      <c r="GX81" s="47" t="n">
        <v>4666.66666666667</v>
      </c>
      <c r="GY81" s="47" t="n">
        <v>4666.66666666667</v>
      </c>
      <c r="GZ81" s="47" t="n">
        <v>4666.66666666667</v>
      </c>
      <c r="HA81" s="47" t="n">
        <v>4666.66666666667</v>
      </c>
      <c r="HB81" s="47" t="n">
        <v>4666.66666666667</v>
      </c>
      <c r="HC81" s="47" t="n">
        <v>4666.66666666667</v>
      </c>
      <c r="HD81" s="47" t="n">
        <v>4666.66666666667</v>
      </c>
      <c r="HE81" s="47" t="n">
        <v>4666.66666666667</v>
      </c>
      <c r="HF81" s="47" t="n">
        <v>4666.66666666667</v>
      </c>
      <c r="HG81" s="47" t="n">
        <v>4666.66666666667</v>
      </c>
      <c r="HH81" s="47" t="n">
        <v>4666.66666666667</v>
      </c>
      <c r="HI81" s="48" t="n">
        <v>4876.66666666667</v>
      </c>
      <c r="HJ81" s="47" t="n">
        <v>4876.66666666667</v>
      </c>
      <c r="HK81" s="47" t="n">
        <v>4876.66666666667</v>
      </c>
      <c r="HL81" s="47" t="n">
        <v>4876.66666666667</v>
      </c>
      <c r="HM81" s="47" t="n">
        <v>4876.66666666667</v>
      </c>
      <c r="HN81" s="47" t="n">
        <v>4876.66666666667</v>
      </c>
      <c r="HO81" s="47" t="n">
        <v>4876.66666666667</v>
      </c>
      <c r="HP81" s="47" t="n">
        <v>4876.66666666667</v>
      </c>
      <c r="HQ81" s="47" t="n">
        <v>4876.66666666667</v>
      </c>
      <c r="HS81" s="47" t="n">
        <v>5166.66666666667</v>
      </c>
      <c r="HT81" s="47" t="n">
        <v>5166.66666666667</v>
      </c>
      <c r="HU81" s="47" t="n">
        <v>5166.66666666667</v>
      </c>
      <c r="HV81" s="47" t="n">
        <v>5166.66666666667</v>
      </c>
      <c r="HW81" s="47" t="n">
        <v>5166.66666666667</v>
      </c>
      <c r="HX81" s="47" t="n">
        <v>5166.66666666667</v>
      </c>
      <c r="HY81" s="47" t="n">
        <v>5166.66666666667</v>
      </c>
      <c r="HZ81" s="47" t="n">
        <v>5166.66666666667</v>
      </c>
      <c r="IA81" s="47" t="n">
        <v>5166.66666666667</v>
      </c>
      <c r="IB81" s="47" t="n">
        <v>5166.66666666667</v>
      </c>
      <c r="IC81" s="47" t="n">
        <v>5166.66666666667</v>
      </c>
      <c r="ID81" s="47" t="n">
        <v>5166.66666666667</v>
      </c>
      <c r="IE81" s="47" t="n">
        <v>5166.66666666667</v>
      </c>
      <c r="IF81" s="47" t="n">
        <v>5166.66666666667</v>
      </c>
      <c r="IG81" s="47" t="n">
        <v>5166.66666666667</v>
      </c>
      <c r="IH81" s="47" t="n">
        <v>4566.66666666667</v>
      </c>
      <c r="II81" s="47" t="n">
        <v>4566.66666666667</v>
      </c>
      <c r="IJ81" s="47" t="n">
        <v>4566.66666666667</v>
      </c>
      <c r="IK81" s="47" t="n">
        <v>4566.66666666667</v>
      </c>
      <c r="IL81" s="47" t="n">
        <v>4566.66666666667</v>
      </c>
      <c r="IM81" s="47" t="n">
        <v>4566.66666666667</v>
      </c>
      <c r="IN81" s="47" t="n">
        <v>4566.66666666667</v>
      </c>
      <c r="IO81" s="47" t="n">
        <v>4566.66666666667</v>
      </c>
      <c r="IP81" s="47" t="n">
        <v>4566.66666666667</v>
      </c>
      <c r="IQ81" s="47" t="n">
        <v>4666.66666666667</v>
      </c>
      <c r="IR81" s="47" t="n">
        <v>4666.66666666667</v>
      </c>
      <c r="IS81" s="47" t="n">
        <v>4666.66666666667</v>
      </c>
      <c r="IT81" s="47" t="n">
        <v>4666.66666666667</v>
      </c>
      <c r="IU81" s="47" t="n">
        <v>4666.66666666667</v>
      </c>
      <c r="IV81" s="47" t="n">
        <v>4666.66666666667</v>
      </c>
      <c r="IW81" s="47" t="n">
        <v>4666.66666666667</v>
      </c>
      <c r="IX81" s="47" t="n">
        <v>4666.66666666667</v>
      </c>
      <c r="IY81" s="47" t="n">
        <v>4666.66666666667</v>
      </c>
      <c r="IZ81" s="47" t="n">
        <v>4666.66666666667</v>
      </c>
      <c r="JA81" s="47" t="n">
        <v>4666.66666666667</v>
      </c>
      <c r="JB81" s="47" t="n">
        <v>4666.66666666667</v>
      </c>
      <c r="JC81" s="47" t="n">
        <v>4666.66666666667</v>
      </c>
      <c r="JD81" s="47" t="n">
        <v>4666.66666666667</v>
      </c>
      <c r="JE81" s="47" t="n">
        <v>4666.66666666667</v>
      </c>
      <c r="JF81" s="47" t="n">
        <v>4666.66666666667</v>
      </c>
      <c r="JG81" s="47" t="n">
        <v>4666.66666666667</v>
      </c>
      <c r="JH81" s="47" t="n">
        <v>4666.66666666667</v>
      </c>
      <c r="JI81" s="47" t="n">
        <v>4666.66666666667</v>
      </c>
      <c r="JJ81" s="47" t="n">
        <v>4666.66666666667</v>
      </c>
      <c r="JK81" s="47" t="n">
        <v>4666.66666666667</v>
      </c>
      <c r="JL81" s="47" t="n">
        <v>4666.66666666667</v>
      </c>
      <c r="JM81" s="47" t="n">
        <v>4666.66666666667</v>
      </c>
      <c r="JN81" s="47" t="n">
        <v>4666.66666666667</v>
      </c>
      <c r="JO81" s="47" t="n">
        <v>4666.66666666667</v>
      </c>
      <c r="JP81" s="47" t="n">
        <v>4666.66666666667</v>
      </c>
      <c r="JQ81" s="47" t="n">
        <v>4666.66666666667</v>
      </c>
      <c r="JR81" s="47" t="n">
        <v>4666.66666666667</v>
      </c>
      <c r="JS81" s="47" t="n">
        <v>4666.66666666667</v>
      </c>
      <c r="JT81" s="47" t="n">
        <v>4666.66666666667</v>
      </c>
      <c r="JU81" s="47" t="n">
        <v>4666.66666666667</v>
      </c>
      <c r="JV81" s="47" t="n">
        <v>4666.66666666667</v>
      </c>
      <c r="JW81" s="47" t="n">
        <v>4666.66666666667</v>
      </c>
      <c r="JX81" s="47" t="n">
        <v>4666.66666666667</v>
      </c>
      <c r="JY81" s="47" t="n">
        <v>4666.66666666667</v>
      </c>
      <c r="JZ81" s="47" t="n">
        <v>4666.66666666667</v>
      </c>
      <c r="KA81" s="47" t="n">
        <v>4666.66666666667</v>
      </c>
      <c r="KB81" s="47" t="n">
        <v>4666.66666666667</v>
      </c>
      <c r="KC81" s="47" t="n">
        <v>4666.66666666667</v>
      </c>
      <c r="KD81" s="48" t="n">
        <v>4876.66666666667</v>
      </c>
      <c r="KE81" s="47" t="n">
        <v>4876.66666666667</v>
      </c>
      <c r="KF81" s="47" t="n">
        <v>4876.66666666667</v>
      </c>
      <c r="KG81" s="47" t="n">
        <v>4876.66666666667</v>
      </c>
      <c r="KH81" s="47" t="n">
        <v>4876.66666666667</v>
      </c>
      <c r="KI81" s="47" t="n">
        <v>4876.66666666667</v>
      </c>
      <c r="KJ81" s="47" t="n">
        <v>4876.66666666667</v>
      </c>
      <c r="KK81" s="47" t="n">
        <v>4876.66666666667</v>
      </c>
      <c r="KL81" s="47" t="n">
        <v>4876.66666666667</v>
      </c>
    </row>
    <row r="82" customFormat="false" ht="15.75" hidden="false" customHeight="true" outlineLevel="0" collapsed="false">
      <c r="A82" s="35" t="s">
        <v>332</v>
      </c>
      <c r="B82" s="35" t="s">
        <v>333</v>
      </c>
      <c r="C82" s="35" t="s">
        <v>164</v>
      </c>
      <c r="D82" s="35" t="s">
        <v>231</v>
      </c>
      <c r="E82" s="35" t="s">
        <v>174</v>
      </c>
      <c r="G82" s="44" t="n">
        <v>0</v>
      </c>
      <c r="H82" s="44" t="n">
        <v>0</v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14305.4166666667</v>
      </c>
      <c r="AF82" s="44" t="n">
        <v>14305.4166666667</v>
      </c>
      <c r="AG82" s="44" t="n">
        <v>14305.4166666667</v>
      </c>
      <c r="AH82" s="44" t="n">
        <v>14305.4166666667</v>
      </c>
      <c r="AI82" s="44" t="n">
        <v>14305.4166666667</v>
      </c>
      <c r="AJ82" s="44" t="n">
        <v>14305.4166666667</v>
      </c>
      <c r="AK82" s="44" t="n">
        <v>14305.4166666667</v>
      </c>
      <c r="AL82" s="44" t="n">
        <v>14305.4166666667</v>
      </c>
      <c r="AM82" s="44" t="n">
        <v>14305.4166666667</v>
      </c>
      <c r="AN82" s="44" t="n">
        <v>14305.4166666667</v>
      </c>
      <c r="AO82" s="44" t="n">
        <v>14305.4166666667</v>
      </c>
      <c r="AP82" s="44" t="n">
        <v>14305.4166666667</v>
      </c>
      <c r="AQ82" s="44" t="n">
        <v>14305.4166666667</v>
      </c>
      <c r="AR82" s="44" t="n">
        <v>14305.4166666667</v>
      </c>
      <c r="AS82" s="44" t="n">
        <v>14305.4166666667</v>
      </c>
      <c r="AT82" s="44" t="n">
        <v>14305.4166666667</v>
      </c>
      <c r="AU82" s="44" t="n">
        <v>14305.4166666667</v>
      </c>
      <c r="AV82" s="44" t="n">
        <v>14305.4166666667</v>
      </c>
      <c r="AW82" s="44" t="n">
        <v>14305.4166666667</v>
      </c>
      <c r="AX82" s="44" t="n">
        <v>14305.4166666667</v>
      </c>
      <c r="AY82" s="44" t="n">
        <v>14305.4166666667</v>
      </c>
      <c r="AZ82" s="44" t="n">
        <v>14305.4166666667</v>
      </c>
      <c r="BA82" s="44" t="n">
        <v>14305.4166666667</v>
      </c>
      <c r="BB82" s="44" t="n">
        <v>14305.4166666667</v>
      </c>
      <c r="BC82" s="44" t="n">
        <v>14305.4166666667</v>
      </c>
      <c r="BD82" s="44" t="n">
        <v>14305.4166666667</v>
      </c>
      <c r="BE82" s="44" t="n">
        <v>14305.4166666667</v>
      </c>
      <c r="BF82" s="44" t="n">
        <v>14305.4166666667</v>
      </c>
      <c r="BG82" s="44" t="n">
        <v>14305.4166666667</v>
      </c>
      <c r="BH82" s="44" t="n">
        <v>14305.4166666667</v>
      </c>
      <c r="BI82" s="44" t="n">
        <v>14305.4166666667</v>
      </c>
      <c r="BJ82" s="44" t="n">
        <v>14305.4166666667</v>
      </c>
      <c r="BK82" s="44" t="n">
        <v>14305.4166666667</v>
      </c>
      <c r="BL82" s="44" t="n">
        <v>14305.4166666667</v>
      </c>
      <c r="BM82" s="44" t="n">
        <v>14305.4166666667</v>
      </c>
      <c r="BN82" s="44" t="n">
        <v>14305.4166666667</v>
      </c>
      <c r="BO82" s="44" t="n">
        <v>14305.4166666667</v>
      </c>
      <c r="BP82" s="44" t="n">
        <v>14305.4166666667</v>
      </c>
      <c r="BQ82" s="44" t="n">
        <v>14305.4166666667</v>
      </c>
      <c r="BR82" s="45" t="n">
        <v>14305.4166666667</v>
      </c>
      <c r="BS82" s="46" t="n">
        <v>14305.4166666667</v>
      </c>
      <c r="BT82" s="46" t="n">
        <v>14305.4166666667</v>
      </c>
      <c r="BU82" s="46" t="n">
        <v>14305.4166666667</v>
      </c>
      <c r="BV82" s="46" t="n">
        <v>14305.4166666667</v>
      </c>
      <c r="BW82" s="46" t="n">
        <v>14305.4166666667</v>
      </c>
      <c r="BX82" s="46" t="n">
        <v>14305.4166666667</v>
      </c>
      <c r="BY82" s="46" t="n">
        <v>14305.4166666667</v>
      </c>
      <c r="BZ82" s="46" t="n">
        <v>14305.4166666667</v>
      </c>
      <c r="EX82" s="47" t="n">
        <v>0</v>
      </c>
      <c r="EY82" s="47" t="n">
        <v>0</v>
      </c>
      <c r="EZ82" s="47" t="n">
        <v>0</v>
      </c>
      <c r="FA82" s="47" t="n">
        <v>0</v>
      </c>
      <c r="FB82" s="47" t="n">
        <v>0</v>
      </c>
      <c r="FC82" s="47" t="n">
        <v>0</v>
      </c>
      <c r="FD82" s="47" t="n">
        <v>0</v>
      </c>
      <c r="FE82" s="47" t="n">
        <v>0</v>
      </c>
      <c r="FF82" s="47" t="n">
        <v>0</v>
      </c>
      <c r="FG82" s="47" t="n">
        <v>0</v>
      </c>
      <c r="FH82" s="47" t="n">
        <v>0</v>
      </c>
      <c r="FI82" s="47" t="n">
        <v>0</v>
      </c>
      <c r="FJ82" s="47" t="n">
        <v>0</v>
      </c>
      <c r="FK82" s="47" t="n">
        <v>0</v>
      </c>
      <c r="FL82" s="47" t="n">
        <v>0</v>
      </c>
      <c r="FM82" s="47" t="n">
        <v>0</v>
      </c>
      <c r="FN82" s="47" t="n">
        <v>0</v>
      </c>
      <c r="FO82" s="47" t="n">
        <v>0</v>
      </c>
      <c r="FP82" s="47" t="n">
        <v>0</v>
      </c>
      <c r="FQ82" s="47" t="n">
        <v>0</v>
      </c>
      <c r="FR82" s="47" t="n">
        <v>0</v>
      </c>
      <c r="FS82" s="47" t="n">
        <v>0</v>
      </c>
      <c r="FT82" s="47" t="n">
        <v>0</v>
      </c>
      <c r="FU82" s="47" t="n">
        <v>0</v>
      </c>
      <c r="FV82" s="47" t="n">
        <v>14305.4166666667</v>
      </c>
      <c r="FW82" s="47" t="n">
        <v>14305.4166666667</v>
      </c>
      <c r="FX82" s="47" t="n">
        <v>14305.4166666667</v>
      </c>
      <c r="FY82" s="47" t="n">
        <v>14305.4166666667</v>
      </c>
      <c r="FZ82" s="47" t="n">
        <v>14305.4166666667</v>
      </c>
      <c r="GA82" s="47" t="n">
        <v>14305.4166666667</v>
      </c>
      <c r="GB82" s="47" t="n">
        <v>14305.4166666667</v>
      </c>
      <c r="GC82" s="47" t="n">
        <v>14305.4166666667</v>
      </c>
      <c r="GD82" s="47" t="n">
        <v>14305.4166666667</v>
      </c>
      <c r="GE82" s="47" t="n">
        <v>14305.4166666667</v>
      </c>
      <c r="GF82" s="47" t="n">
        <v>14305.4166666667</v>
      </c>
      <c r="GG82" s="47" t="n">
        <v>14305.4166666667</v>
      </c>
      <c r="GH82" s="47" t="n">
        <v>14305.4166666667</v>
      </c>
      <c r="GI82" s="47" t="n">
        <v>14305.4166666667</v>
      </c>
      <c r="GJ82" s="47" t="n">
        <v>14305.4166666667</v>
      </c>
      <c r="GK82" s="47" t="n">
        <v>14305.4166666667</v>
      </c>
      <c r="GL82" s="47" t="n">
        <v>14305.4166666667</v>
      </c>
      <c r="GM82" s="47" t="n">
        <v>14305.4166666667</v>
      </c>
      <c r="GN82" s="47" t="n">
        <v>14305.4166666667</v>
      </c>
      <c r="GO82" s="47" t="n">
        <v>14305.4166666667</v>
      </c>
      <c r="GP82" s="47" t="n">
        <v>14305.4166666667</v>
      </c>
      <c r="GQ82" s="47" t="n">
        <v>14305.4166666667</v>
      </c>
      <c r="GR82" s="47" t="n">
        <v>14305.4166666667</v>
      </c>
      <c r="GS82" s="47" t="n">
        <v>14305.4166666667</v>
      </c>
      <c r="GT82" s="47" t="n">
        <v>14305.4166666667</v>
      </c>
      <c r="GU82" s="47" t="n">
        <v>14305.4166666667</v>
      </c>
      <c r="GV82" s="47" t="n">
        <v>14305.4166666667</v>
      </c>
      <c r="GW82" s="47" t="n">
        <v>14305.4166666667</v>
      </c>
      <c r="GX82" s="47" t="n">
        <v>14305.4166666667</v>
      </c>
      <c r="GY82" s="47" t="n">
        <v>14305.4166666667</v>
      </c>
      <c r="GZ82" s="47" t="n">
        <v>14305.4166666667</v>
      </c>
      <c r="HA82" s="47" t="n">
        <v>14305.4166666667</v>
      </c>
      <c r="HB82" s="47" t="n">
        <v>14305.4166666667</v>
      </c>
      <c r="HC82" s="47" t="n">
        <v>14305.4166666667</v>
      </c>
      <c r="HD82" s="47" t="n">
        <v>14305.4166666667</v>
      </c>
      <c r="HE82" s="47" t="n">
        <v>14305.4166666667</v>
      </c>
      <c r="HF82" s="47" t="n">
        <v>14305.4166666667</v>
      </c>
      <c r="HG82" s="47" t="n">
        <v>14305.4166666667</v>
      </c>
      <c r="HH82" s="47" t="n">
        <v>14305.4166666667</v>
      </c>
      <c r="HI82" s="48" t="n">
        <v>14305.4166666667</v>
      </c>
      <c r="HJ82" s="47" t="n">
        <v>14305.4166666667</v>
      </c>
      <c r="HK82" s="47" t="n">
        <v>14305.4166666667</v>
      </c>
      <c r="HL82" s="47" t="n">
        <v>14305.4166666667</v>
      </c>
      <c r="HM82" s="47" t="n">
        <v>14305.4166666667</v>
      </c>
      <c r="HN82" s="47" t="n">
        <v>14305.4166666667</v>
      </c>
      <c r="HO82" s="47" t="n">
        <v>14305.4166666667</v>
      </c>
      <c r="HP82" s="47" t="n">
        <v>14305.4166666667</v>
      </c>
      <c r="HQ82" s="47" t="n">
        <v>14305.4166666667</v>
      </c>
      <c r="HS82" s="47" t="n">
        <v>0</v>
      </c>
      <c r="HT82" s="47" t="n">
        <v>0</v>
      </c>
      <c r="HU82" s="47" t="n">
        <v>0</v>
      </c>
      <c r="HV82" s="47" t="n">
        <v>0</v>
      </c>
      <c r="HW82" s="47" t="n">
        <v>0</v>
      </c>
      <c r="HX82" s="47" t="n">
        <v>0</v>
      </c>
      <c r="HY82" s="47" t="n">
        <v>0</v>
      </c>
      <c r="HZ82" s="47" t="n">
        <v>0</v>
      </c>
      <c r="IA82" s="47" t="n">
        <v>0</v>
      </c>
      <c r="IB82" s="47" t="n">
        <v>0</v>
      </c>
      <c r="IC82" s="47" t="n">
        <v>0</v>
      </c>
      <c r="ID82" s="47" t="n">
        <v>0</v>
      </c>
      <c r="IE82" s="47" t="n">
        <v>0</v>
      </c>
      <c r="IF82" s="47" t="n">
        <v>0</v>
      </c>
      <c r="IG82" s="47" t="n">
        <v>0</v>
      </c>
      <c r="IH82" s="47" t="n">
        <v>0</v>
      </c>
      <c r="II82" s="47" t="n">
        <v>0</v>
      </c>
      <c r="IJ82" s="47" t="n">
        <v>0</v>
      </c>
      <c r="IK82" s="47" t="n">
        <v>0</v>
      </c>
      <c r="IL82" s="47" t="n">
        <v>0</v>
      </c>
      <c r="IM82" s="47" t="n">
        <v>0</v>
      </c>
      <c r="IN82" s="47" t="n">
        <v>0</v>
      </c>
      <c r="IO82" s="47" t="n">
        <v>0</v>
      </c>
      <c r="IP82" s="47" t="n">
        <v>0</v>
      </c>
      <c r="IQ82" s="47" t="n">
        <v>14305.4166666667</v>
      </c>
      <c r="IR82" s="47" t="n">
        <v>14305.4166666667</v>
      </c>
      <c r="IS82" s="47" t="n">
        <v>14305.4166666667</v>
      </c>
      <c r="IT82" s="47" t="n">
        <v>14305.4166666667</v>
      </c>
      <c r="IU82" s="47" t="n">
        <v>14305.4166666667</v>
      </c>
      <c r="IV82" s="47" t="n">
        <v>14305.4166666667</v>
      </c>
      <c r="IW82" s="47" t="n">
        <v>14305.4166666667</v>
      </c>
      <c r="IX82" s="47" t="n">
        <v>14305.4166666667</v>
      </c>
      <c r="IY82" s="47" t="n">
        <v>14305.4166666667</v>
      </c>
      <c r="IZ82" s="47" t="n">
        <v>14305.4166666667</v>
      </c>
      <c r="JA82" s="47" t="n">
        <v>14305.4166666667</v>
      </c>
      <c r="JB82" s="47" t="n">
        <v>14305.4166666667</v>
      </c>
      <c r="JC82" s="47" t="n">
        <v>14305.4166666667</v>
      </c>
      <c r="JD82" s="47" t="n">
        <v>14305.4166666667</v>
      </c>
      <c r="JE82" s="47" t="n">
        <v>14305.4166666667</v>
      </c>
      <c r="JF82" s="47" t="n">
        <v>14305.4166666667</v>
      </c>
      <c r="JG82" s="47" t="n">
        <v>14305.4166666667</v>
      </c>
      <c r="JH82" s="47" t="n">
        <v>14305.4166666667</v>
      </c>
      <c r="JI82" s="47" t="n">
        <v>14305.4166666667</v>
      </c>
      <c r="JJ82" s="47" t="n">
        <v>14305.4166666667</v>
      </c>
      <c r="JK82" s="47" t="n">
        <v>14305.4166666667</v>
      </c>
      <c r="JL82" s="47" t="n">
        <v>14305.4166666667</v>
      </c>
      <c r="JM82" s="47" t="n">
        <v>14305.4166666667</v>
      </c>
      <c r="JN82" s="47" t="n">
        <v>14305.4166666667</v>
      </c>
      <c r="JO82" s="47" t="n">
        <v>14305.4166666667</v>
      </c>
      <c r="JP82" s="47" t="n">
        <v>14305.4166666667</v>
      </c>
      <c r="JQ82" s="47" t="n">
        <v>14305.4166666667</v>
      </c>
      <c r="JR82" s="47" t="n">
        <v>14305.4166666667</v>
      </c>
      <c r="JS82" s="47" t="n">
        <v>14305.4166666667</v>
      </c>
      <c r="JT82" s="47" t="n">
        <v>14305.4166666667</v>
      </c>
      <c r="JU82" s="47" t="n">
        <v>14305.4166666667</v>
      </c>
      <c r="JV82" s="47" t="n">
        <v>14305.4166666667</v>
      </c>
      <c r="JW82" s="47" t="n">
        <v>14305.4166666667</v>
      </c>
      <c r="JX82" s="47" t="n">
        <v>14305.4166666667</v>
      </c>
      <c r="JY82" s="47" t="n">
        <v>14305.4166666667</v>
      </c>
      <c r="JZ82" s="47" t="n">
        <v>14305.4166666667</v>
      </c>
      <c r="KA82" s="47" t="n">
        <v>14305.4166666667</v>
      </c>
      <c r="KB82" s="47" t="n">
        <v>14305.4166666667</v>
      </c>
      <c r="KC82" s="47" t="n">
        <v>14305.4166666667</v>
      </c>
      <c r="KD82" s="48" t="n">
        <v>14305.4166666667</v>
      </c>
      <c r="KE82" s="47" t="n">
        <v>14305.4166666667</v>
      </c>
      <c r="KF82" s="47" t="n">
        <v>14305.4166666667</v>
      </c>
      <c r="KG82" s="47" t="n">
        <v>14305.4166666667</v>
      </c>
      <c r="KH82" s="47" t="n">
        <v>14305.4166666667</v>
      </c>
      <c r="KI82" s="47" t="n">
        <v>14305.4166666667</v>
      </c>
      <c r="KJ82" s="47" t="n">
        <v>14305.4166666667</v>
      </c>
      <c r="KK82" s="47" t="n">
        <v>14305.4166666667</v>
      </c>
      <c r="KL82" s="47" t="n">
        <v>14305.4166666667</v>
      </c>
    </row>
    <row r="83" customFormat="false" ht="15.75" hidden="false" customHeight="true" outlineLevel="0" collapsed="false">
      <c r="A83" s="35" t="s">
        <v>334</v>
      </c>
      <c r="B83" s="35" t="s">
        <v>335</v>
      </c>
      <c r="C83" s="35" t="s">
        <v>164</v>
      </c>
      <c r="D83" s="35" t="s">
        <v>165</v>
      </c>
      <c r="E83" s="35" t="s">
        <v>174</v>
      </c>
      <c r="G83" s="44" t="n">
        <v>0</v>
      </c>
      <c r="H83" s="44" t="n">
        <v>0</v>
      </c>
      <c r="I83" s="44" t="n">
        <v>0</v>
      </c>
      <c r="J83" s="44" t="n">
        <v>0</v>
      </c>
      <c r="K83" s="44" t="n">
        <v>0</v>
      </c>
      <c r="L83" s="44" t="n">
        <v>0</v>
      </c>
      <c r="M83" s="44" t="n">
        <v>0</v>
      </c>
      <c r="N83" s="44" t="n">
        <v>0</v>
      </c>
      <c r="O83" s="44" t="n">
        <v>0</v>
      </c>
      <c r="P83" s="44" t="n">
        <v>0</v>
      </c>
      <c r="Q83" s="44" t="n">
        <v>466.666666666667</v>
      </c>
      <c r="R83" s="44" t="n">
        <v>466.666666666667</v>
      </c>
      <c r="S83" s="44" t="n">
        <v>466.666666666667</v>
      </c>
      <c r="T83" s="44" t="n">
        <v>466.666666666667</v>
      </c>
      <c r="U83" s="44" t="n">
        <v>466.666666666667</v>
      </c>
      <c r="V83" s="44" t="n">
        <v>466.666666666667</v>
      </c>
      <c r="W83" s="44" t="n">
        <v>466.666666666667</v>
      </c>
      <c r="X83" s="44" t="n">
        <v>466.666666666667</v>
      </c>
      <c r="Y83" s="44" t="n">
        <v>466.666666666667</v>
      </c>
      <c r="Z83" s="44" t="n">
        <v>466.666666666667</v>
      </c>
      <c r="AA83" s="44" t="n">
        <v>466.666666666667</v>
      </c>
      <c r="AB83" s="44" t="n">
        <v>583.326666666667</v>
      </c>
      <c r="AC83" s="44" t="n">
        <v>583.333333333333</v>
      </c>
      <c r="AD83" s="44" t="n">
        <v>583.333333333333</v>
      </c>
      <c r="AE83" s="44" t="n">
        <v>583.333333333333</v>
      </c>
      <c r="AF83" s="44" t="n">
        <v>583.333333333333</v>
      </c>
      <c r="AG83" s="44" t="n">
        <v>583.333333333333</v>
      </c>
      <c r="AH83" s="44" t="n">
        <v>583.333333333333</v>
      </c>
      <c r="AI83" s="44" t="n">
        <v>583.333333333333</v>
      </c>
      <c r="AJ83" s="44" t="n">
        <v>583.333333333333</v>
      </c>
      <c r="AK83" s="44" t="n">
        <v>583.333333333333</v>
      </c>
      <c r="AL83" s="44" t="n">
        <v>583.333333333333</v>
      </c>
      <c r="AM83" s="44" t="n">
        <v>583.333333333333</v>
      </c>
      <c r="AN83" s="44" t="n">
        <v>583.333333333333</v>
      </c>
      <c r="AO83" s="44" t="n">
        <v>583.333333333333</v>
      </c>
      <c r="AP83" s="44" t="n">
        <v>583.333333333333</v>
      </c>
      <c r="AQ83" s="44" t="n">
        <v>583.333333333333</v>
      </c>
      <c r="AR83" s="44" t="n">
        <v>583.333333333333</v>
      </c>
      <c r="AS83" s="44" t="n">
        <v>583.333333333333</v>
      </c>
      <c r="AT83" s="44" t="n">
        <v>583.333333333333</v>
      </c>
      <c r="AU83" s="44" t="n">
        <v>583.333333333333</v>
      </c>
      <c r="AV83" s="44" t="n">
        <v>583.333333333333</v>
      </c>
      <c r="AW83" s="44" t="n">
        <v>583.333333333333</v>
      </c>
      <c r="AX83" s="44" t="n">
        <v>583.333333333333</v>
      </c>
      <c r="AY83" s="44" t="n">
        <v>583.333333333333</v>
      </c>
      <c r="AZ83" s="44" t="n">
        <v>583.333333333333</v>
      </c>
      <c r="BA83" s="44" t="n">
        <v>0</v>
      </c>
      <c r="BB83" s="44" t="n">
        <v>0</v>
      </c>
      <c r="BC83" s="44" t="n">
        <v>0</v>
      </c>
      <c r="BD83" s="44" t="n">
        <v>0</v>
      </c>
      <c r="BE83" s="44" t="n">
        <v>0</v>
      </c>
      <c r="BF83" s="44" t="n">
        <v>0</v>
      </c>
      <c r="BG83" s="44" t="n">
        <v>0</v>
      </c>
      <c r="BH83" s="44" t="n">
        <v>0</v>
      </c>
      <c r="BI83" s="44" t="n">
        <v>0</v>
      </c>
      <c r="BJ83" s="44" t="n">
        <v>0</v>
      </c>
      <c r="BK83" s="44" t="n">
        <v>0</v>
      </c>
      <c r="BL83" s="44" t="n">
        <v>0</v>
      </c>
      <c r="BM83" s="44" t="n">
        <v>0</v>
      </c>
      <c r="BN83" s="44" t="n">
        <v>0</v>
      </c>
      <c r="BO83" s="44" t="n">
        <v>0</v>
      </c>
      <c r="BP83" s="44" t="n">
        <v>0</v>
      </c>
      <c r="BQ83" s="44" t="n">
        <v>0</v>
      </c>
      <c r="BR83" s="45" t="n">
        <v>0</v>
      </c>
      <c r="BS83" s="46" t="n">
        <v>0</v>
      </c>
      <c r="BT83" s="46" t="n">
        <v>0</v>
      </c>
      <c r="BU83" s="46" t="n">
        <v>0</v>
      </c>
      <c r="BV83" s="46" t="n">
        <v>0</v>
      </c>
      <c r="BW83" s="46" t="n">
        <v>0</v>
      </c>
      <c r="BX83" s="46" t="n">
        <v>0</v>
      </c>
      <c r="BY83" s="46" t="n">
        <v>0</v>
      </c>
      <c r="BZ83" s="46" t="n">
        <v>0</v>
      </c>
      <c r="CB83" s="52" t="s">
        <v>262</v>
      </c>
      <c r="CC83" s="50" t="n">
        <v>0</v>
      </c>
      <c r="CD83" s="50" t="n">
        <v>0</v>
      </c>
      <c r="CE83" s="50" t="n">
        <v>0</v>
      </c>
      <c r="CF83" s="50" t="n">
        <v>0</v>
      </c>
      <c r="CG83" s="50" t="n">
        <v>0</v>
      </c>
      <c r="CH83" s="50" t="n">
        <v>0</v>
      </c>
      <c r="CI83" s="50" t="n">
        <v>0</v>
      </c>
      <c r="CJ83" s="50" t="n">
        <v>0</v>
      </c>
      <c r="CK83" s="50" t="n">
        <v>0</v>
      </c>
      <c r="CL83" s="50" t="n">
        <v>0</v>
      </c>
      <c r="CM83" s="50" t="n">
        <v>-466.666666666667</v>
      </c>
      <c r="CN83" s="50" t="n">
        <v>-466.666666666667</v>
      </c>
      <c r="CO83" s="50" t="n">
        <v>-466.666666666667</v>
      </c>
      <c r="CP83" s="50" t="n">
        <v>-466.666666666667</v>
      </c>
      <c r="CQ83" s="50" t="n">
        <v>-466.666666666667</v>
      </c>
      <c r="CR83" s="50" t="n">
        <v>-466.666666666667</v>
      </c>
      <c r="CS83" s="50" t="n">
        <v>-466.666666666667</v>
      </c>
      <c r="CT83" s="50" t="n">
        <v>-466.666666666667</v>
      </c>
      <c r="CU83" s="50" t="n">
        <v>-466.666666666667</v>
      </c>
      <c r="CV83" s="50" t="n">
        <v>-466.666666666667</v>
      </c>
      <c r="CW83" s="50" t="n">
        <v>-466.666666666667</v>
      </c>
      <c r="CX83" s="50" t="n">
        <v>-583.326666666667</v>
      </c>
      <c r="CY83" s="50" t="n">
        <v>-583.333333333333</v>
      </c>
      <c r="CZ83" s="50" t="n">
        <v>-583.333333333333</v>
      </c>
      <c r="DA83" s="50" t="n">
        <v>-583.333333333333</v>
      </c>
      <c r="DB83" s="50" t="n">
        <v>-583.333333333333</v>
      </c>
      <c r="DC83" s="50" t="n">
        <v>-583.333333333333</v>
      </c>
      <c r="DD83" s="50" t="n">
        <v>-583.333333333333</v>
      </c>
      <c r="DE83" s="50" t="n">
        <v>-583.333333333333</v>
      </c>
      <c r="DF83" s="50" t="n">
        <v>-583.333333333333</v>
      </c>
      <c r="DG83" s="50" t="n">
        <v>-583.333333333333</v>
      </c>
      <c r="DH83" s="50" t="n">
        <v>-583.333333333333</v>
      </c>
      <c r="DI83" s="50" t="n">
        <v>-583.333333333333</v>
      </c>
      <c r="DJ83" s="50" t="n">
        <v>-583.333333333333</v>
      </c>
      <c r="DK83" s="50" t="n">
        <v>-583.333333333333</v>
      </c>
      <c r="DL83" s="50" t="n">
        <v>-583.333333333333</v>
      </c>
      <c r="DM83" s="50" t="n">
        <v>-583.333333333333</v>
      </c>
      <c r="DN83" s="50" t="n">
        <v>-583.333333333333</v>
      </c>
      <c r="DO83" s="50" t="n">
        <v>-583.333333333333</v>
      </c>
      <c r="DP83" s="50" t="n">
        <v>-583.333333333333</v>
      </c>
      <c r="DQ83" s="50" t="n">
        <v>-583.333333333333</v>
      </c>
      <c r="DR83" s="50" t="n">
        <v>-583.333333333333</v>
      </c>
      <c r="DS83" s="50" t="n">
        <v>-583.333333333333</v>
      </c>
      <c r="DT83" s="50" t="n">
        <v>-583.333333333333</v>
      </c>
      <c r="DU83" s="50" t="n">
        <v>-583.333333333333</v>
      </c>
      <c r="DV83" s="50" t="n">
        <v>-583.333333333333</v>
      </c>
      <c r="DW83" s="50" t="n">
        <v>0</v>
      </c>
      <c r="DX83" s="50" t="n">
        <v>0</v>
      </c>
      <c r="DY83" s="50" t="n">
        <v>0</v>
      </c>
      <c r="DZ83" s="50" t="n">
        <v>0</v>
      </c>
      <c r="EA83" s="50" t="n">
        <v>0</v>
      </c>
      <c r="EB83" s="50" t="n">
        <v>0</v>
      </c>
      <c r="EC83" s="50" t="n">
        <v>0</v>
      </c>
      <c r="ED83" s="50" t="n">
        <v>0</v>
      </c>
      <c r="EE83" s="50" t="n">
        <v>0</v>
      </c>
      <c r="EF83" s="50" t="n">
        <v>0</v>
      </c>
      <c r="EG83" s="50" t="n">
        <v>0</v>
      </c>
      <c r="EH83" s="50" t="n">
        <v>0</v>
      </c>
      <c r="EI83" s="50" t="n">
        <v>0</v>
      </c>
      <c r="EJ83" s="50" t="n">
        <v>0</v>
      </c>
      <c r="EK83" s="50" t="n">
        <v>0</v>
      </c>
      <c r="EL83" s="50" t="n">
        <v>0</v>
      </c>
      <c r="EM83" s="50" t="n">
        <v>0</v>
      </c>
      <c r="EN83" s="51" t="n">
        <v>0</v>
      </c>
      <c r="EO83" s="50" t="n">
        <v>0</v>
      </c>
      <c r="EP83" s="50" t="n">
        <v>0</v>
      </c>
      <c r="EQ83" s="50" t="n">
        <v>0</v>
      </c>
      <c r="ER83" s="50" t="n">
        <v>0</v>
      </c>
      <c r="ES83" s="50" t="n">
        <v>0</v>
      </c>
      <c r="ET83" s="50" t="n">
        <v>0</v>
      </c>
      <c r="EU83" s="50" t="n">
        <v>0</v>
      </c>
      <c r="EV83" s="50" t="n">
        <v>0</v>
      </c>
      <c r="EX83" s="47" t="n">
        <v>0</v>
      </c>
      <c r="EY83" s="47" t="n">
        <v>0</v>
      </c>
      <c r="EZ83" s="47" t="n">
        <v>0</v>
      </c>
      <c r="FA83" s="47" t="n">
        <v>0</v>
      </c>
      <c r="FB83" s="47" t="n">
        <v>0</v>
      </c>
      <c r="FC83" s="47" t="n">
        <v>0</v>
      </c>
      <c r="FD83" s="47" t="n">
        <v>0</v>
      </c>
      <c r="FE83" s="47" t="n">
        <v>0</v>
      </c>
      <c r="FF83" s="47" t="n">
        <v>0</v>
      </c>
      <c r="FG83" s="47" t="n">
        <v>0</v>
      </c>
      <c r="FH83" s="47" t="n">
        <v>466.666666666667</v>
      </c>
      <c r="FI83" s="47" t="n">
        <v>466.666666666667</v>
      </c>
      <c r="FJ83" s="47" t="n">
        <v>466.666666666667</v>
      </c>
      <c r="FK83" s="47" t="n">
        <v>466.666666666667</v>
      </c>
      <c r="FL83" s="47" t="n">
        <v>466.666666666667</v>
      </c>
      <c r="FM83" s="47" t="n">
        <v>466.666666666667</v>
      </c>
      <c r="FN83" s="47" t="n">
        <v>466.666666666667</v>
      </c>
      <c r="FO83" s="47" t="n">
        <v>466.666666666667</v>
      </c>
      <c r="FP83" s="47" t="n">
        <v>466.666666666667</v>
      </c>
      <c r="FQ83" s="47" t="n">
        <v>466.666666666667</v>
      </c>
      <c r="FR83" s="47" t="n">
        <v>466.666666666667</v>
      </c>
      <c r="FS83" s="47" t="n">
        <v>583.326666666667</v>
      </c>
      <c r="FT83" s="47" t="n">
        <v>583.333333333333</v>
      </c>
      <c r="FU83" s="47" t="n">
        <v>583.333333333333</v>
      </c>
      <c r="FV83" s="47" t="n">
        <v>583.333333333333</v>
      </c>
      <c r="FW83" s="47" t="n">
        <v>583.333333333333</v>
      </c>
      <c r="FX83" s="47" t="n">
        <v>583.333333333333</v>
      </c>
      <c r="FY83" s="47" t="n">
        <v>583.333333333333</v>
      </c>
      <c r="FZ83" s="47" t="n">
        <v>583.333333333333</v>
      </c>
      <c r="GA83" s="47" t="n">
        <v>583.333333333333</v>
      </c>
      <c r="GB83" s="47" t="n">
        <v>583.333333333333</v>
      </c>
      <c r="GC83" s="47" t="n">
        <v>583.333333333333</v>
      </c>
      <c r="GD83" s="47" t="n">
        <v>583.333333333333</v>
      </c>
      <c r="GE83" s="47" t="n">
        <v>583.333333333333</v>
      </c>
      <c r="GF83" s="47" t="n">
        <v>583.333333333333</v>
      </c>
      <c r="GG83" s="47" t="n">
        <v>583.333333333333</v>
      </c>
      <c r="GH83" s="47" t="n">
        <v>583.333333333333</v>
      </c>
      <c r="GI83" s="47" t="n">
        <v>583.333333333333</v>
      </c>
      <c r="GJ83" s="47" t="n">
        <v>583.333333333333</v>
      </c>
      <c r="GK83" s="47" t="n">
        <v>583.333333333333</v>
      </c>
      <c r="GL83" s="47" t="n">
        <v>583.333333333333</v>
      </c>
      <c r="GM83" s="47" t="n">
        <v>583.333333333333</v>
      </c>
      <c r="GN83" s="47" t="n">
        <v>583.333333333333</v>
      </c>
      <c r="GO83" s="47" t="n">
        <v>583.333333333333</v>
      </c>
      <c r="GP83" s="47" t="n">
        <v>583.333333333333</v>
      </c>
      <c r="GQ83" s="47" t="n">
        <v>583.333333333333</v>
      </c>
      <c r="GR83" s="47" t="n">
        <v>0</v>
      </c>
      <c r="GS83" s="47" t="n">
        <v>0</v>
      </c>
      <c r="GT83" s="47" t="n">
        <v>0</v>
      </c>
      <c r="GU83" s="47" t="n">
        <v>0</v>
      </c>
      <c r="GV83" s="47" t="n">
        <v>0</v>
      </c>
      <c r="GW83" s="47" t="n">
        <v>0</v>
      </c>
      <c r="GX83" s="47" t="n">
        <v>0</v>
      </c>
      <c r="GY83" s="47" t="n">
        <v>0</v>
      </c>
      <c r="GZ83" s="47" t="n">
        <v>0</v>
      </c>
      <c r="HA83" s="47" t="n">
        <v>0</v>
      </c>
      <c r="HB83" s="47" t="n">
        <v>0</v>
      </c>
      <c r="HC83" s="47" t="n">
        <v>0</v>
      </c>
      <c r="HD83" s="47" t="n">
        <v>0</v>
      </c>
      <c r="HE83" s="47" t="n">
        <v>0</v>
      </c>
      <c r="HF83" s="47" t="n">
        <v>0</v>
      </c>
      <c r="HG83" s="47" t="n">
        <v>0</v>
      </c>
      <c r="HH83" s="47" t="n">
        <v>0</v>
      </c>
      <c r="HI83" s="48" t="n">
        <v>0</v>
      </c>
      <c r="HJ83" s="47" t="n">
        <v>0</v>
      </c>
      <c r="HK83" s="47" t="n">
        <v>0</v>
      </c>
      <c r="HL83" s="47" t="n">
        <v>0</v>
      </c>
      <c r="HM83" s="47" t="n">
        <v>0</v>
      </c>
      <c r="HN83" s="47" t="n">
        <v>0</v>
      </c>
      <c r="HO83" s="47" t="n">
        <v>0</v>
      </c>
      <c r="HP83" s="47" t="n">
        <v>0</v>
      </c>
      <c r="HQ83" s="47" t="n">
        <v>0</v>
      </c>
      <c r="HS83" s="47" t="n">
        <v>0</v>
      </c>
      <c r="HT83" s="47" t="n">
        <v>0</v>
      </c>
      <c r="HU83" s="47" t="n">
        <v>0</v>
      </c>
      <c r="HV83" s="47" t="n">
        <v>0</v>
      </c>
      <c r="HW83" s="47" t="n">
        <v>0</v>
      </c>
      <c r="HX83" s="47" t="n">
        <v>0</v>
      </c>
      <c r="HY83" s="47" t="n">
        <v>0</v>
      </c>
      <c r="HZ83" s="47" t="n">
        <v>0</v>
      </c>
      <c r="IA83" s="47" t="n">
        <v>0</v>
      </c>
      <c r="IB83" s="47" t="n">
        <v>0</v>
      </c>
      <c r="IC83" s="47" t="n">
        <v>0</v>
      </c>
      <c r="ID83" s="47" t="n">
        <v>0</v>
      </c>
      <c r="IE83" s="47" t="n">
        <v>0</v>
      </c>
      <c r="IF83" s="47" t="n">
        <v>0</v>
      </c>
      <c r="IG83" s="47" t="n">
        <v>0</v>
      </c>
      <c r="IH83" s="47" t="n">
        <v>0</v>
      </c>
      <c r="II83" s="47" t="n">
        <v>0</v>
      </c>
      <c r="IJ83" s="47" t="n">
        <v>0</v>
      </c>
      <c r="IK83" s="47" t="n">
        <v>0</v>
      </c>
      <c r="IL83" s="47" t="n">
        <v>0</v>
      </c>
      <c r="IM83" s="47" t="n">
        <v>0</v>
      </c>
      <c r="IN83" s="47" t="n">
        <v>0</v>
      </c>
      <c r="IO83" s="47" t="n">
        <v>0</v>
      </c>
      <c r="IP83" s="47" t="n">
        <v>0</v>
      </c>
      <c r="IQ83" s="47" t="n">
        <v>0</v>
      </c>
      <c r="IR83" s="47" t="n">
        <v>0</v>
      </c>
      <c r="IS83" s="47" t="n">
        <v>0</v>
      </c>
      <c r="IT83" s="47" t="n">
        <v>0</v>
      </c>
      <c r="IU83" s="47" t="n">
        <v>0</v>
      </c>
      <c r="IV83" s="47" t="n">
        <v>0</v>
      </c>
      <c r="IW83" s="47" t="n">
        <v>0</v>
      </c>
      <c r="IX83" s="47" t="n">
        <v>0</v>
      </c>
      <c r="IY83" s="47" t="n">
        <v>0</v>
      </c>
      <c r="IZ83" s="47" t="n">
        <v>0</v>
      </c>
      <c r="JA83" s="47" t="n">
        <v>0</v>
      </c>
      <c r="JB83" s="47" t="n">
        <v>0</v>
      </c>
      <c r="JC83" s="47" t="n">
        <v>0</v>
      </c>
      <c r="JD83" s="47" t="n">
        <v>0</v>
      </c>
      <c r="JE83" s="47" t="n">
        <v>0</v>
      </c>
      <c r="JF83" s="47" t="n">
        <v>0</v>
      </c>
      <c r="JG83" s="47" t="n">
        <v>0</v>
      </c>
      <c r="JH83" s="47" t="n">
        <v>0</v>
      </c>
      <c r="JI83" s="47" t="n">
        <v>0</v>
      </c>
      <c r="JJ83" s="47" t="n">
        <v>0</v>
      </c>
      <c r="JK83" s="47" t="n">
        <v>0</v>
      </c>
      <c r="JL83" s="47" t="n">
        <v>0</v>
      </c>
      <c r="JM83" s="47" t="n">
        <v>0</v>
      </c>
      <c r="JN83" s="47" t="n">
        <v>0</v>
      </c>
      <c r="JO83" s="47" t="n">
        <v>0</v>
      </c>
      <c r="JP83" s="47" t="n">
        <v>0</v>
      </c>
      <c r="JQ83" s="47" t="n">
        <v>0</v>
      </c>
      <c r="JR83" s="47" t="n">
        <v>0</v>
      </c>
      <c r="JS83" s="47" t="n">
        <v>0</v>
      </c>
      <c r="JT83" s="47" t="n">
        <v>0</v>
      </c>
      <c r="JU83" s="47" t="n">
        <v>0</v>
      </c>
      <c r="JV83" s="47" t="n">
        <v>0</v>
      </c>
      <c r="JW83" s="47" t="n">
        <v>0</v>
      </c>
      <c r="JX83" s="47" t="n">
        <v>0</v>
      </c>
      <c r="JY83" s="47" t="n">
        <v>0</v>
      </c>
      <c r="JZ83" s="47" t="n">
        <v>0</v>
      </c>
      <c r="KA83" s="47" t="n">
        <v>0</v>
      </c>
      <c r="KB83" s="47" t="n">
        <v>0</v>
      </c>
      <c r="KC83" s="47" t="n">
        <v>0</v>
      </c>
      <c r="KD83" s="48" t="n">
        <v>0</v>
      </c>
      <c r="KE83" s="47" t="n">
        <v>0</v>
      </c>
      <c r="KF83" s="47" t="n">
        <v>0</v>
      </c>
      <c r="KG83" s="47" t="n">
        <v>0</v>
      </c>
      <c r="KH83" s="47" t="n">
        <v>0</v>
      </c>
      <c r="KI83" s="47" t="n">
        <v>0</v>
      </c>
      <c r="KJ83" s="47" t="n">
        <v>0</v>
      </c>
      <c r="KK83" s="47" t="n">
        <v>0</v>
      </c>
      <c r="KL83" s="47" t="n">
        <v>0</v>
      </c>
    </row>
    <row r="84" customFormat="false" ht="15.75" hidden="false" customHeight="true" outlineLevel="0" collapsed="false">
      <c r="A84" s="35" t="s">
        <v>336</v>
      </c>
      <c r="B84" s="35" t="s">
        <v>337</v>
      </c>
      <c r="C84" s="35" t="s">
        <v>164</v>
      </c>
      <c r="D84" s="35" t="s">
        <v>165</v>
      </c>
      <c r="E84" s="35" t="s">
        <v>169</v>
      </c>
      <c r="G84" s="44" t="n">
        <v>28746.0541666667</v>
      </c>
      <c r="H84" s="44" t="n">
        <v>28746.0541666667</v>
      </c>
      <c r="I84" s="44" t="n">
        <v>28746.0541666667</v>
      </c>
      <c r="J84" s="44" t="n">
        <v>28746.0541666667</v>
      </c>
      <c r="K84" s="44" t="n">
        <v>28746.0541666667</v>
      </c>
      <c r="L84" s="44" t="n">
        <v>28746.0541666667</v>
      </c>
      <c r="M84" s="44" t="n">
        <v>28746.0541666667</v>
      </c>
      <c r="N84" s="44" t="n">
        <v>28746.0541666667</v>
      </c>
      <c r="O84" s="44" t="n">
        <v>28525</v>
      </c>
      <c r="P84" s="44" t="n">
        <v>28525</v>
      </c>
      <c r="Q84" s="44" t="n">
        <v>28525</v>
      </c>
      <c r="R84" s="44" t="n">
        <v>28525</v>
      </c>
      <c r="S84" s="44" t="n">
        <v>27514</v>
      </c>
      <c r="T84" s="44" t="n">
        <v>27514</v>
      </c>
      <c r="U84" s="44" t="n">
        <v>27514</v>
      </c>
      <c r="V84" s="44" t="n">
        <v>27514</v>
      </c>
      <c r="W84" s="44" t="n">
        <v>27514</v>
      </c>
      <c r="X84" s="44" t="n">
        <v>27514</v>
      </c>
      <c r="Y84" s="44" t="n">
        <v>27514</v>
      </c>
      <c r="Z84" s="44" t="n">
        <v>27514</v>
      </c>
      <c r="AA84" s="44" t="n">
        <v>27747.3333333333</v>
      </c>
      <c r="AB84" s="44" t="n">
        <v>27747.3333333333</v>
      </c>
      <c r="AC84" s="44" t="n">
        <v>27747.3333333333</v>
      </c>
      <c r="AD84" s="44" t="n">
        <v>27747.3333333333</v>
      </c>
      <c r="AE84" s="44" t="n">
        <v>30755.5208333333</v>
      </c>
      <c r="AF84" s="44" t="n">
        <v>30755.5208333333</v>
      </c>
      <c r="AG84" s="44" t="n">
        <v>30755.5208333333</v>
      </c>
      <c r="AH84" s="44" t="n">
        <v>30755.5208333333</v>
      </c>
      <c r="AI84" s="44" t="n">
        <v>30755.5208333333</v>
      </c>
      <c r="AJ84" s="44" t="n">
        <v>30755.5208333333</v>
      </c>
      <c r="AK84" s="44" t="n">
        <v>30755.5208333333</v>
      </c>
      <c r="AL84" s="44" t="n">
        <v>30755.5208333333</v>
      </c>
      <c r="AM84" s="44" t="n">
        <v>30755.5208333333</v>
      </c>
      <c r="AN84" s="44" t="n">
        <v>30755.5208333333</v>
      </c>
      <c r="AO84" s="44" t="n">
        <v>30755.5208333333</v>
      </c>
      <c r="AP84" s="44" t="n">
        <v>30755.5208333333</v>
      </c>
      <c r="AQ84" s="44" t="n">
        <v>37130.5208333333</v>
      </c>
      <c r="AR84" s="44" t="n">
        <v>37130.5208333333</v>
      </c>
      <c r="AS84" s="44" t="n">
        <v>37130.5208333333</v>
      </c>
      <c r="AT84" s="44" t="n">
        <v>37130.5208333333</v>
      </c>
      <c r="AU84" s="44" t="n">
        <v>37130.5208333333</v>
      </c>
      <c r="AV84" s="44" t="n">
        <v>37130.5208333333</v>
      </c>
      <c r="AW84" s="44" t="n">
        <v>37130.5208333333</v>
      </c>
      <c r="AX84" s="44" t="n">
        <v>37130.5208333333</v>
      </c>
      <c r="AY84" s="44" t="n">
        <v>37130.7833333333</v>
      </c>
      <c r="AZ84" s="44" t="n">
        <v>37130.7833333333</v>
      </c>
      <c r="BA84" s="44" t="n">
        <v>37130.7833333333</v>
      </c>
      <c r="BB84" s="44" t="n">
        <v>37130.7833333333</v>
      </c>
      <c r="BC84" s="44" t="n">
        <v>37130.7833333333</v>
      </c>
      <c r="BD84" s="44" t="n">
        <v>37130.7833333333</v>
      </c>
      <c r="BE84" s="44" t="n">
        <v>37130.7833333333</v>
      </c>
      <c r="BF84" s="44" t="n">
        <v>37130.7833333333</v>
      </c>
      <c r="BG84" s="44" t="n">
        <v>37130.7833333333</v>
      </c>
      <c r="BH84" s="44" t="n">
        <v>37130.7833333333</v>
      </c>
      <c r="BI84" s="44" t="n">
        <v>37130.7833333333</v>
      </c>
      <c r="BJ84" s="44" t="n">
        <v>37130.7833333333</v>
      </c>
      <c r="BK84" s="44" t="n">
        <v>36897.1875</v>
      </c>
      <c r="BL84" s="44" t="n">
        <v>36897.1875</v>
      </c>
      <c r="BM84" s="44" t="n">
        <v>36897.1875</v>
      </c>
      <c r="BN84" s="44" t="n">
        <v>36897.1875</v>
      </c>
      <c r="BO84" s="44" t="n">
        <v>37188.72125</v>
      </c>
      <c r="BP84" s="44" t="n">
        <v>37188.72125</v>
      </c>
      <c r="BQ84" s="44" t="n">
        <v>37188.72125</v>
      </c>
      <c r="BR84" s="45" t="n">
        <v>37188.72125</v>
      </c>
      <c r="BS84" s="46" t="n">
        <v>37188.72125</v>
      </c>
      <c r="BT84" s="46" t="n">
        <v>37188.72125</v>
      </c>
      <c r="BU84" s="46" t="n">
        <v>37188.72125</v>
      </c>
      <c r="BV84" s="46" t="n">
        <v>37188.72125</v>
      </c>
      <c r="BW84" s="46" t="n">
        <v>37188.72125</v>
      </c>
      <c r="BX84" s="46" t="n">
        <v>37188.72125</v>
      </c>
      <c r="BY84" s="46" t="n">
        <v>37188.72125</v>
      </c>
      <c r="BZ84" s="46" t="n">
        <v>37188.72125</v>
      </c>
      <c r="EX84" s="47" t="n">
        <v>28746.0541666667</v>
      </c>
      <c r="EY84" s="47" t="n">
        <v>28746.0541666667</v>
      </c>
      <c r="EZ84" s="47" t="n">
        <v>28746.0541666667</v>
      </c>
      <c r="FA84" s="47" t="n">
        <v>28746.0541666667</v>
      </c>
      <c r="FB84" s="47" t="n">
        <v>28746.0541666667</v>
      </c>
      <c r="FC84" s="47" t="n">
        <v>28746.0541666667</v>
      </c>
      <c r="FD84" s="47" t="n">
        <v>28746.0541666667</v>
      </c>
      <c r="FE84" s="47" t="n">
        <v>28746.0541666667</v>
      </c>
      <c r="FF84" s="47" t="n">
        <v>28525</v>
      </c>
      <c r="FG84" s="47" t="n">
        <v>28525</v>
      </c>
      <c r="FH84" s="47" t="n">
        <v>28525</v>
      </c>
      <c r="FI84" s="47" t="n">
        <v>28525</v>
      </c>
      <c r="FJ84" s="47" t="n">
        <v>27514</v>
      </c>
      <c r="FK84" s="47" t="n">
        <v>27514</v>
      </c>
      <c r="FL84" s="47" t="n">
        <v>27514</v>
      </c>
      <c r="FM84" s="47" t="n">
        <v>27514</v>
      </c>
      <c r="FN84" s="47" t="n">
        <v>27514</v>
      </c>
      <c r="FO84" s="47" t="n">
        <v>27514</v>
      </c>
      <c r="FP84" s="47" t="n">
        <v>27514</v>
      </c>
      <c r="FQ84" s="47" t="n">
        <v>27514</v>
      </c>
      <c r="FR84" s="47" t="n">
        <v>27747.3333333333</v>
      </c>
      <c r="FS84" s="47" t="n">
        <v>27747.3333333333</v>
      </c>
      <c r="FT84" s="47" t="n">
        <v>27747.3333333333</v>
      </c>
      <c r="FU84" s="47" t="n">
        <v>27747.3333333333</v>
      </c>
      <c r="FV84" s="47" t="n">
        <v>30755.5208333333</v>
      </c>
      <c r="FW84" s="47" t="n">
        <v>30755.5208333333</v>
      </c>
      <c r="FX84" s="47" t="n">
        <v>30755.5208333333</v>
      </c>
      <c r="FY84" s="47" t="n">
        <v>30755.5208333333</v>
      </c>
      <c r="FZ84" s="47" t="n">
        <v>30755.5208333333</v>
      </c>
      <c r="GA84" s="47" t="n">
        <v>30755.5208333333</v>
      </c>
      <c r="GB84" s="47" t="n">
        <v>30755.5208333333</v>
      </c>
      <c r="GC84" s="47" t="n">
        <v>30755.5208333333</v>
      </c>
      <c r="GD84" s="47" t="n">
        <v>30755.5208333333</v>
      </c>
      <c r="GE84" s="47" t="n">
        <v>30755.5208333333</v>
      </c>
      <c r="GF84" s="47" t="n">
        <v>30755.5208333333</v>
      </c>
      <c r="GG84" s="47" t="n">
        <v>30755.5208333333</v>
      </c>
      <c r="GH84" s="47" t="n">
        <v>37130.5208333333</v>
      </c>
      <c r="GI84" s="47" t="n">
        <v>37130.5208333333</v>
      </c>
      <c r="GJ84" s="47" t="n">
        <v>37130.5208333333</v>
      </c>
      <c r="GK84" s="47" t="n">
        <v>37130.5208333333</v>
      </c>
      <c r="GL84" s="47" t="n">
        <v>37130.5208333333</v>
      </c>
      <c r="GM84" s="47" t="n">
        <v>37130.5208333333</v>
      </c>
      <c r="GN84" s="47" t="n">
        <v>37130.5208333333</v>
      </c>
      <c r="GO84" s="47" t="n">
        <v>37130.5208333333</v>
      </c>
      <c r="GP84" s="47" t="n">
        <v>37130.7833333333</v>
      </c>
      <c r="GQ84" s="47" t="n">
        <v>37130.7833333333</v>
      </c>
      <c r="GR84" s="47" t="n">
        <v>37130.7833333333</v>
      </c>
      <c r="GS84" s="47" t="n">
        <v>37130.7833333333</v>
      </c>
      <c r="GT84" s="47" t="n">
        <v>37130.7833333333</v>
      </c>
      <c r="GU84" s="47" t="n">
        <v>37130.7833333333</v>
      </c>
      <c r="GV84" s="47" t="n">
        <v>37130.7833333333</v>
      </c>
      <c r="GW84" s="47" t="n">
        <v>37130.7833333333</v>
      </c>
      <c r="GX84" s="47" t="n">
        <v>37130.7833333333</v>
      </c>
      <c r="GY84" s="47" t="n">
        <v>37130.7833333333</v>
      </c>
      <c r="GZ84" s="47" t="n">
        <v>37130.7833333333</v>
      </c>
      <c r="HA84" s="47" t="n">
        <v>37130.7833333333</v>
      </c>
      <c r="HB84" s="47" t="n">
        <v>36897.1875</v>
      </c>
      <c r="HC84" s="47" t="n">
        <v>36897.1875</v>
      </c>
      <c r="HD84" s="47" t="n">
        <v>36897.1875</v>
      </c>
      <c r="HE84" s="47" t="n">
        <v>36897.1875</v>
      </c>
      <c r="HF84" s="47" t="n">
        <v>37188.72125</v>
      </c>
      <c r="HG84" s="47" t="n">
        <v>37188.72125</v>
      </c>
      <c r="HH84" s="47" t="n">
        <v>37188.72125</v>
      </c>
      <c r="HI84" s="48" t="n">
        <v>37188.72125</v>
      </c>
      <c r="HJ84" s="47" t="n">
        <v>37188.72125</v>
      </c>
      <c r="HK84" s="47" t="n">
        <v>37188.72125</v>
      </c>
      <c r="HL84" s="47" t="n">
        <v>37188.72125</v>
      </c>
      <c r="HM84" s="47" t="n">
        <v>37188.72125</v>
      </c>
      <c r="HN84" s="47" t="n">
        <v>37188.72125</v>
      </c>
      <c r="HO84" s="47" t="n">
        <v>37188.72125</v>
      </c>
      <c r="HP84" s="47" t="n">
        <v>37188.72125</v>
      </c>
      <c r="HQ84" s="47" t="n">
        <v>37188.72125</v>
      </c>
      <c r="HS84" s="47" t="n">
        <v>28746.0541666667</v>
      </c>
      <c r="HT84" s="47" t="n">
        <v>28746.0541666667</v>
      </c>
      <c r="HU84" s="47" t="n">
        <v>28746.0541666667</v>
      </c>
      <c r="HV84" s="47" t="n">
        <v>28746.0541666667</v>
      </c>
      <c r="HW84" s="47" t="n">
        <v>28746.0541666667</v>
      </c>
      <c r="HX84" s="47" t="n">
        <v>28746.0541666667</v>
      </c>
      <c r="HY84" s="47" t="n">
        <v>28746.0541666667</v>
      </c>
      <c r="HZ84" s="47" t="n">
        <v>28746.0541666667</v>
      </c>
      <c r="IA84" s="47" t="n">
        <v>28525</v>
      </c>
      <c r="IB84" s="47" t="n">
        <v>28525</v>
      </c>
      <c r="IC84" s="47" t="n">
        <v>28525</v>
      </c>
      <c r="ID84" s="47" t="n">
        <v>28525</v>
      </c>
      <c r="IE84" s="47" t="n">
        <v>27514</v>
      </c>
      <c r="IF84" s="47" t="n">
        <v>27514</v>
      </c>
      <c r="IG84" s="47" t="n">
        <v>27514</v>
      </c>
      <c r="IH84" s="47" t="n">
        <v>27514</v>
      </c>
      <c r="II84" s="47" t="n">
        <v>27514</v>
      </c>
      <c r="IJ84" s="47" t="n">
        <v>27514</v>
      </c>
      <c r="IK84" s="47" t="n">
        <v>27514</v>
      </c>
      <c r="IL84" s="47" t="n">
        <v>27514</v>
      </c>
      <c r="IM84" s="47" t="n">
        <v>27747.3333333333</v>
      </c>
      <c r="IN84" s="47" t="n">
        <v>27747.3333333333</v>
      </c>
      <c r="IO84" s="47" t="n">
        <v>27747.3333333333</v>
      </c>
      <c r="IP84" s="47" t="n">
        <v>27747.3333333333</v>
      </c>
      <c r="IQ84" s="47" t="n">
        <v>30755.5208333333</v>
      </c>
      <c r="IR84" s="47" t="n">
        <v>30755.5208333333</v>
      </c>
      <c r="IS84" s="47" t="n">
        <v>30755.5208333333</v>
      </c>
      <c r="IT84" s="47" t="n">
        <v>30755.5208333333</v>
      </c>
      <c r="IU84" s="47" t="n">
        <v>30755.5208333333</v>
      </c>
      <c r="IV84" s="47" t="n">
        <v>30755.5208333333</v>
      </c>
      <c r="IW84" s="47" t="n">
        <v>30755.5208333333</v>
      </c>
      <c r="IX84" s="47" t="n">
        <v>30755.5208333333</v>
      </c>
      <c r="IY84" s="47" t="n">
        <v>30755.5208333333</v>
      </c>
      <c r="IZ84" s="47" t="n">
        <v>30755.5208333333</v>
      </c>
      <c r="JA84" s="47" t="n">
        <v>30755.5208333333</v>
      </c>
      <c r="JB84" s="47" t="n">
        <v>30755.5208333333</v>
      </c>
      <c r="JC84" s="47" t="n">
        <v>37130.5208333333</v>
      </c>
      <c r="JD84" s="47" t="n">
        <v>37130.5208333333</v>
      </c>
      <c r="JE84" s="47" t="n">
        <v>37130.5208333333</v>
      </c>
      <c r="JF84" s="47" t="n">
        <v>37130.5208333333</v>
      </c>
      <c r="JG84" s="47" t="n">
        <v>37130.5208333333</v>
      </c>
      <c r="JH84" s="47" t="n">
        <v>37130.5208333333</v>
      </c>
      <c r="JI84" s="47" t="n">
        <v>37130.5208333333</v>
      </c>
      <c r="JJ84" s="47" t="n">
        <v>37130.5208333333</v>
      </c>
      <c r="JK84" s="47" t="n">
        <v>37130.7833333333</v>
      </c>
      <c r="JL84" s="47" t="n">
        <v>37130.7833333333</v>
      </c>
      <c r="JM84" s="47" t="n">
        <v>37130.7833333333</v>
      </c>
      <c r="JN84" s="47" t="n">
        <v>37130.7833333333</v>
      </c>
      <c r="JO84" s="47" t="n">
        <v>37130.7833333333</v>
      </c>
      <c r="JP84" s="47" t="n">
        <v>37130.7833333333</v>
      </c>
      <c r="JQ84" s="47" t="n">
        <v>37130.7833333333</v>
      </c>
      <c r="JR84" s="47" t="n">
        <v>37130.7833333333</v>
      </c>
      <c r="JS84" s="47" t="n">
        <v>37130.7833333333</v>
      </c>
      <c r="JT84" s="47" t="n">
        <v>37130.7833333333</v>
      </c>
      <c r="JU84" s="47" t="n">
        <v>37130.7833333333</v>
      </c>
      <c r="JV84" s="47" t="n">
        <v>37130.7833333333</v>
      </c>
      <c r="JW84" s="47" t="n">
        <v>36897.1875</v>
      </c>
      <c r="JX84" s="47" t="n">
        <v>36897.1875</v>
      </c>
      <c r="JY84" s="47" t="n">
        <v>36897.1875</v>
      </c>
      <c r="JZ84" s="47" t="n">
        <v>36897.1875</v>
      </c>
      <c r="KA84" s="47" t="n">
        <v>37188.72125</v>
      </c>
      <c r="KB84" s="47" t="n">
        <v>37188.72125</v>
      </c>
      <c r="KC84" s="47" t="n">
        <v>37188.72125</v>
      </c>
      <c r="KD84" s="48" t="n">
        <v>37188.72125</v>
      </c>
      <c r="KE84" s="47" t="n">
        <v>37188.72125</v>
      </c>
      <c r="KF84" s="47" t="n">
        <v>37188.72125</v>
      </c>
      <c r="KG84" s="47" t="n">
        <v>37188.72125</v>
      </c>
      <c r="KH84" s="47" t="n">
        <v>37188.72125</v>
      </c>
      <c r="KI84" s="47" t="n">
        <v>37188.72125</v>
      </c>
      <c r="KJ84" s="47" t="n">
        <v>37188.72125</v>
      </c>
      <c r="KK84" s="47" t="n">
        <v>37188.72125</v>
      </c>
      <c r="KL84" s="47" t="n">
        <v>37188.72125</v>
      </c>
    </row>
    <row r="85" customFormat="false" ht="15.75" hidden="false" customHeight="true" outlineLevel="0" collapsed="false">
      <c r="A85" s="35" t="s">
        <v>338</v>
      </c>
      <c r="B85" s="35" t="s">
        <v>339</v>
      </c>
      <c r="C85" s="35" t="s">
        <v>164</v>
      </c>
      <c r="D85" s="35" t="s">
        <v>165</v>
      </c>
      <c r="E85" s="35" t="s">
        <v>166</v>
      </c>
      <c r="G85" s="44" t="n">
        <v>13091.125</v>
      </c>
      <c r="H85" s="44" t="n">
        <v>13091.125</v>
      </c>
      <c r="I85" s="44" t="n">
        <v>13091.125</v>
      </c>
      <c r="J85" s="44" t="n">
        <v>13091.125</v>
      </c>
      <c r="K85" s="44" t="n">
        <v>13091.125</v>
      </c>
      <c r="L85" s="44" t="n">
        <v>13091.125</v>
      </c>
      <c r="M85" s="44" t="n">
        <v>12066.6666666667</v>
      </c>
      <c r="N85" s="44" t="n">
        <v>12066.6666666667</v>
      </c>
      <c r="O85" s="44" t="n">
        <v>12066.6666666667</v>
      </c>
      <c r="P85" s="44" t="n">
        <v>12066.6666666667</v>
      </c>
      <c r="Q85" s="44" t="n">
        <v>12066.6666666667</v>
      </c>
      <c r="R85" s="44" t="n">
        <v>12066.6666666667</v>
      </c>
      <c r="S85" s="44" t="n">
        <v>12066.6666666667</v>
      </c>
      <c r="T85" s="44" t="n">
        <v>12066.6666666667</v>
      </c>
      <c r="U85" s="44" t="n">
        <v>12066.6666666667</v>
      </c>
      <c r="V85" s="44" t="n">
        <v>12066.6666666667</v>
      </c>
      <c r="W85" s="44" t="n">
        <v>12066.6666666667</v>
      </c>
      <c r="X85" s="44" t="n">
        <v>12066.6666666667</v>
      </c>
      <c r="Y85" s="44" t="n">
        <v>13260.4166666667</v>
      </c>
      <c r="Z85" s="44" t="n">
        <v>13260.4166666667</v>
      </c>
      <c r="AA85" s="44" t="n">
        <v>13260.4166666667</v>
      </c>
      <c r="AB85" s="44" t="n">
        <v>13260.4166666667</v>
      </c>
      <c r="AC85" s="44" t="n">
        <v>13260.4166666667</v>
      </c>
      <c r="AD85" s="44" t="n">
        <v>13260.4166666667</v>
      </c>
      <c r="AE85" s="44" t="n">
        <v>13260.4166666667</v>
      </c>
      <c r="AF85" s="44" t="n">
        <v>13260.4166666667</v>
      </c>
      <c r="AG85" s="44" t="n">
        <v>13260.4166666667</v>
      </c>
      <c r="AH85" s="44" t="n">
        <v>13260.4166666667</v>
      </c>
      <c r="AI85" s="44" t="n">
        <v>13260.4166666667</v>
      </c>
      <c r="AJ85" s="44" t="n">
        <v>13260.4166666667</v>
      </c>
      <c r="AK85" s="44" t="n">
        <v>13222.9166666667</v>
      </c>
      <c r="AL85" s="44" t="n">
        <v>13222.9166666667</v>
      </c>
      <c r="AM85" s="44" t="n">
        <v>13222.9166666667</v>
      </c>
      <c r="AN85" s="44" t="n">
        <v>13222.9166666667</v>
      </c>
      <c r="AO85" s="44" t="n">
        <v>13222.9166666667</v>
      </c>
      <c r="AP85" s="44" t="n">
        <v>13222.9166666667</v>
      </c>
      <c r="AQ85" s="44" t="n">
        <v>13222.9166666667</v>
      </c>
      <c r="AR85" s="44" t="n">
        <v>13222.9166666667</v>
      </c>
      <c r="AS85" s="44" t="n">
        <v>13222.9166666667</v>
      </c>
      <c r="AT85" s="44" t="n">
        <v>13222.9166666667</v>
      </c>
      <c r="AU85" s="44" t="n">
        <v>13222.9166666667</v>
      </c>
      <c r="AV85" s="44" t="n">
        <v>13222.9166666667</v>
      </c>
      <c r="AW85" s="44" t="n">
        <v>13304.1666666667</v>
      </c>
      <c r="AX85" s="44" t="n">
        <v>13304.1666666667</v>
      </c>
      <c r="AY85" s="44" t="n">
        <v>13304.1666666667</v>
      </c>
      <c r="AZ85" s="44" t="n">
        <v>13304.1666666667</v>
      </c>
      <c r="BA85" s="44" t="n">
        <v>13304.1666666667</v>
      </c>
      <c r="BB85" s="44" t="n">
        <v>13304.1666666667</v>
      </c>
      <c r="BC85" s="44" t="n">
        <v>13304.1666666667</v>
      </c>
      <c r="BD85" s="44" t="n">
        <v>13304.1666666667</v>
      </c>
      <c r="BE85" s="44" t="n">
        <v>13304.1666666667</v>
      </c>
      <c r="BF85" s="44" t="n">
        <v>13304.1666666667</v>
      </c>
      <c r="BG85" s="44" t="n">
        <v>13304.1666666667</v>
      </c>
      <c r="BH85" s="44" t="n">
        <v>13304.1666666667</v>
      </c>
      <c r="BI85" s="44" t="n">
        <v>13304.1666666667</v>
      </c>
      <c r="BJ85" s="44" t="n">
        <v>13304.1666666667</v>
      </c>
      <c r="BK85" s="44" t="n">
        <v>13304.1666666667</v>
      </c>
      <c r="BL85" s="44" t="n">
        <v>13304.1666666667</v>
      </c>
      <c r="BM85" s="44" t="n">
        <v>13304.1666666667</v>
      </c>
      <c r="BN85" s="44" t="n">
        <v>13304.1666666667</v>
      </c>
      <c r="BO85" s="44" t="n">
        <v>13304.1666666667</v>
      </c>
      <c r="BP85" s="44" t="n">
        <v>13304.1666666667</v>
      </c>
      <c r="BQ85" s="44" t="n">
        <v>13304.1666666667</v>
      </c>
      <c r="BR85" s="45" t="n">
        <v>13304.1666666667</v>
      </c>
      <c r="BS85" s="46" t="n">
        <v>13304.1666666667</v>
      </c>
      <c r="BT85" s="46" t="n">
        <v>13304.1666666667</v>
      </c>
      <c r="BU85" s="46" t="n">
        <v>13304.1666666667</v>
      </c>
      <c r="BV85" s="46" t="n">
        <v>13304.1666666667</v>
      </c>
      <c r="BW85" s="46" t="n">
        <v>13304.1666666667</v>
      </c>
      <c r="BX85" s="46" t="n">
        <v>13304.1666666667</v>
      </c>
      <c r="BY85" s="46" t="n">
        <v>13304.1666666667</v>
      </c>
      <c r="BZ85" s="46" t="n">
        <v>13304.1666666667</v>
      </c>
      <c r="EX85" s="47" t="n">
        <v>13091.125</v>
      </c>
      <c r="EY85" s="47" t="n">
        <v>13091.125</v>
      </c>
      <c r="EZ85" s="47" t="n">
        <v>13091.125</v>
      </c>
      <c r="FA85" s="47" t="n">
        <v>13091.125</v>
      </c>
      <c r="FB85" s="47" t="n">
        <v>13091.125</v>
      </c>
      <c r="FC85" s="47" t="n">
        <v>13091.125</v>
      </c>
      <c r="FD85" s="47" t="n">
        <v>12066.6666666667</v>
      </c>
      <c r="FE85" s="47" t="n">
        <v>12066.6666666667</v>
      </c>
      <c r="FF85" s="47" t="n">
        <v>12066.6666666667</v>
      </c>
      <c r="FG85" s="47" t="n">
        <v>12066.6666666667</v>
      </c>
      <c r="FH85" s="47" t="n">
        <v>12066.6666666667</v>
      </c>
      <c r="FI85" s="47" t="n">
        <v>12066.6666666667</v>
      </c>
      <c r="FJ85" s="47" t="n">
        <v>12066.6666666667</v>
      </c>
      <c r="FK85" s="47" t="n">
        <v>12066.6666666667</v>
      </c>
      <c r="FL85" s="47" t="n">
        <v>12066.6666666667</v>
      </c>
      <c r="FM85" s="47" t="n">
        <v>12066.6666666667</v>
      </c>
      <c r="FN85" s="47" t="n">
        <v>12066.6666666667</v>
      </c>
      <c r="FO85" s="47" t="n">
        <v>12066.6666666667</v>
      </c>
      <c r="FP85" s="47" t="n">
        <v>13260.4166666667</v>
      </c>
      <c r="FQ85" s="47" t="n">
        <v>13260.4166666667</v>
      </c>
      <c r="FR85" s="47" t="n">
        <v>13260.4166666667</v>
      </c>
      <c r="FS85" s="47" t="n">
        <v>13260.4166666667</v>
      </c>
      <c r="FT85" s="47" t="n">
        <v>13260.4166666667</v>
      </c>
      <c r="FU85" s="47" t="n">
        <v>13260.4166666667</v>
      </c>
      <c r="FV85" s="47" t="n">
        <v>13260.4166666667</v>
      </c>
      <c r="FW85" s="47" t="n">
        <v>13260.4166666667</v>
      </c>
      <c r="FX85" s="47" t="n">
        <v>13260.4166666667</v>
      </c>
      <c r="FY85" s="47" t="n">
        <v>13260.4166666667</v>
      </c>
      <c r="FZ85" s="47" t="n">
        <v>13260.4166666667</v>
      </c>
      <c r="GA85" s="47" t="n">
        <v>13260.4166666667</v>
      </c>
      <c r="GB85" s="47" t="n">
        <v>13222.9166666667</v>
      </c>
      <c r="GC85" s="47" t="n">
        <v>13222.9166666667</v>
      </c>
      <c r="GD85" s="47" t="n">
        <v>13222.9166666667</v>
      </c>
      <c r="GE85" s="47" t="n">
        <v>13222.9166666667</v>
      </c>
      <c r="GF85" s="47" t="n">
        <v>13222.9166666667</v>
      </c>
      <c r="GG85" s="47" t="n">
        <v>13222.9166666667</v>
      </c>
      <c r="GH85" s="47" t="n">
        <v>13222.9166666667</v>
      </c>
      <c r="GI85" s="47" t="n">
        <v>13222.9166666667</v>
      </c>
      <c r="GJ85" s="47" t="n">
        <v>13222.9166666667</v>
      </c>
      <c r="GK85" s="47" t="n">
        <v>13222.9166666667</v>
      </c>
      <c r="GL85" s="47" t="n">
        <v>13222.9166666667</v>
      </c>
      <c r="GM85" s="47" t="n">
        <v>13222.9166666667</v>
      </c>
      <c r="GN85" s="47" t="n">
        <v>13304.1666666667</v>
      </c>
      <c r="GO85" s="47" t="n">
        <v>13304.1666666667</v>
      </c>
      <c r="GP85" s="47" t="n">
        <v>13304.1666666667</v>
      </c>
      <c r="GQ85" s="47" t="n">
        <v>13304.1666666667</v>
      </c>
      <c r="GR85" s="47" t="n">
        <v>13304.1666666667</v>
      </c>
      <c r="GS85" s="47" t="n">
        <v>13304.1666666667</v>
      </c>
      <c r="GT85" s="47" t="n">
        <v>13304.1666666667</v>
      </c>
      <c r="GU85" s="47" t="n">
        <v>13304.1666666667</v>
      </c>
      <c r="GV85" s="47" t="n">
        <v>13304.1666666667</v>
      </c>
      <c r="GW85" s="47" t="n">
        <v>13304.1666666667</v>
      </c>
      <c r="GX85" s="47" t="n">
        <v>13304.1666666667</v>
      </c>
      <c r="GY85" s="47" t="n">
        <v>13304.1666666667</v>
      </c>
      <c r="GZ85" s="47" t="n">
        <v>13304.1666666667</v>
      </c>
      <c r="HA85" s="47" t="n">
        <v>13304.1666666667</v>
      </c>
      <c r="HB85" s="47" t="n">
        <v>13304.1666666667</v>
      </c>
      <c r="HC85" s="47" t="n">
        <v>13304.1666666667</v>
      </c>
      <c r="HD85" s="47" t="n">
        <v>13304.1666666667</v>
      </c>
      <c r="HE85" s="47" t="n">
        <v>13304.1666666667</v>
      </c>
      <c r="HF85" s="47" t="n">
        <v>13304.1666666667</v>
      </c>
      <c r="HG85" s="47" t="n">
        <v>13304.1666666667</v>
      </c>
      <c r="HH85" s="47" t="n">
        <v>13304.1666666667</v>
      </c>
      <c r="HI85" s="48" t="n">
        <v>13304.1666666667</v>
      </c>
      <c r="HJ85" s="47" t="n">
        <v>13304.1666666667</v>
      </c>
      <c r="HK85" s="47" t="n">
        <v>13304.1666666667</v>
      </c>
      <c r="HL85" s="47" t="n">
        <v>13304.1666666667</v>
      </c>
      <c r="HM85" s="47" t="n">
        <v>13304.1666666667</v>
      </c>
      <c r="HN85" s="47" t="n">
        <v>13304.1666666667</v>
      </c>
      <c r="HO85" s="47" t="n">
        <v>13304.1666666667</v>
      </c>
      <c r="HP85" s="47" t="n">
        <v>13304.1666666667</v>
      </c>
      <c r="HQ85" s="47" t="n">
        <v>13304.1666666667</v>
      </c>
      <c r="HS85" s="47" t="n">
        <v>13091.125</v>
      </c>
      <c r="HT85" s="47" t="n">
        <v>13091.125</v>
      </c>
      <c r="HU85" s="47" t="n">
        <v>13091.125</v>
      </c>
      <c r="HV85" s="47" t="n">
        <v>13091.125</v>
      </c>
      <c r="HW85" s="47" t="n">
        <v>13091.125</v>
      </c>
      <c r="HX85" s="47" t="n">
        <v>13091.125</v>
      </c>
      <c r="HY85" s="47" t="n">
        <v>12066.6666666667</v>
      </c>
      <c r="HZ85" s="47" t="n">
        <v>12066.6666666667</v>
      </c>
      <c r="IA85" s="47" t="n">
        <v>12066.6666666667</v>
      </c>
      <c r="IB85" s="47" t="n">
        <v>12066.6666666667</v>
      </c>
      <c r="IC85" s="47" t="n">
        <v>12066.6666666667</v>
      </c>
      <c r="ID85" s="47" t="n">
        <v>12066.6666666667</v>
      </c>
      <c r="IE85" s="47" t="n">
        <v>12066.6666666667</v>
      </c>
      <c r="IF85" s="47" t="n">
        <v>12066.6666666667</v>
      </c>
      <c r="IG85" s="47" t="n">
        <v>12066.6666666667</v>
      </c>
      <c r="IH85" s="47" t="n">
        <v>12066.6666666667</v>
      </c>
      <c r="II85" s="47" t="n">
        <v>12066.6666666667</v>
      </c>
      <c r="IJ85" s="47" t="n">
        <v>12066.6666666667</v>
      </c>
      <c r="IK85" s="47" t="n">
        <v>13260.4166666667</v>
      </c>
      <c r="IL85" s="47" t="n">
        <v>13260.4166666667</v>
      </c>
      <c r="IM85" s="47" t="n">
        <v>13260.4166666667</v>
      </c>
      <c r="IN85" s="47" t="n">
        <v>13260.4166666667</v>
      </c>
      <c r="IO85" s="47" t="n">
        <v>13260.4166666667</v>
      </c>
      <c r="IP85" s="47" t="n">
        <v>13260.4166666667</v>
      </c>
      <c r="IQ85" s="47" t="n">
        <v>13260.4166666667</v>
      </c>
      <c r="IR85" s="47" t="n">
        <v>13260.4166666667</v>
      </c>
      <c r="IS85" s="47" t="n">
        <v>13260.4166666667</v>
      </c>
      <c r="IT85" s="47" t="n">
        <v>13260.4166666667</v>
      </c>
      <c r="IU85" s="47" t="n">
        <v>13260.4166666667</v>
      </c>
      <c r="IV85" s="47" t="n">
        <v>13260.4166666667</v>
      </c>
      <c r="IW85" s="47" t="n">
        <v>13222.9166666667</v>
      </c>
      <c r="IX85" s="47" t="n">
        <v>13222.9166666667</v>
      </c>
      <c r="IY85" s="47" t="n">
        <v>13222.9166666667</v>
      </c>
      <c r="IZ85" s="47" t="n">
        <v>13222.9166666667</v>
      </c>
      <c r="JA85" s="47" t="n">
        <v>13222.9166666667</v>
      </c>
      <c r="JB85" s="47" t="n">
        <v>13222.9166666667</v>
      </c>
      <c r="JC85" s="47" t="n">
        <v>13222.9166666667</v>
      </c>
      <c r="JD85" s="47" t="n">
        <v>13222.9166666667</v>
      </c>
      <c r="JE85" s="47" t="n">
        <v>13222.9166666667</v>
      </c>
      <c r="JF85" s="47" t="n">
        <v>13222.9166666667</v>
      </c>
      <c r="JG85" s="47" t="n">
        <v>13222.9166666667</v>
      </c>
      <c r="JH85" s="47" t="n">
        <v>13222.9166666667</v>
      </c>
      <c r="JI85" s="47" t="n">
        <v>13304.1666666667</v>
      </c>
      <c r="JJ85" s="47" t="n">
        <v>13304.1666666667</v>
      </c>
      <c r="JK85" s="47" t="n">
        <v>13304.1666666667</v>
      </c>
      <c r="JL85" s="47" t="n">
        <v>13304.1666666667</v>
      </c>
      <c r="JM85" s="47" t="n">
        <v>13304.1666666667</v>
      </c>
      <c r="JN85" s="47" t="n">
        <v>13304.1666666667</v>
      </c>
      <c r="JO85" s="47" t="n">
        <v>13304.1666666667</v>
      </c>
      <c r="JP85" s="47" t="n">
        <v>13304.1666666667</v>
      </c>
      <c r="JQ85" s="47" t="n">
        <v>13304.1666666667</v>
      </c>
      <c r="JR85" s="47" t="n">
        <v>13304.1666666667</v>
      </c>
      <c r="JS85" s="47" t="n">
        <v>13304.1666666667</v>
      </c>
      <c r="JT85" s="47" t="n">
        <v>13304.1666666667</v>
      </c>
      <c r="JU85" s="47" t="n">
        <v>13304.1666666667</v>
      </c>
      <c r="JV85" s="47" t="n">
        <v>13304.1666666667</v>
      </c>
      <c r="JW85" s="47" t="n">
        <v>13304.1666666667</v>
      </c>
      <c r="JX85" s="47" t="n">
        <v>13304.1666666667</v>
      </c>
      <c r="JY85" s="47" t="n">
        <v>13304.1666666667</v>
      </c>
      <c r="JZ85" s="47" t="n">
        <v>13304.1666666667</v>
      </c>
      <c r="KA85" s="47" t="n">
        <v>13304.1666666667</v>
      </c>
      <c r="KB85" s="47" t="n">
        <v>13304.1666666667</v>
      </c>
      <c r="KC85" s="47" t="n">
        <v>13304.1666666667</v>
      </c>
      <c r="KD85" s="48" t="n">
        <v>13304.1666666667</v>
      </c>
      <c r="KE85" s="47" t="n">
        <v>13304.1666666667</v>
      </c>
      <c r="KF85" s="47" t="n">
        <v>13304.1666666667</v>
      </c>
      <c r="KG85" s="47" t="n">
        <v>13304.1666666667</v>
      </c>
      <c r="KH85" s="47" t="n">
        <v>13304.1666666667</v>
      </c>
      <c r="KI85" s="47" t="n">
        <v>13304.1666666667</v>
      </c>
      <c r="KJ85" s="47" t="n">
        <v>13304.1666666667</v>
      </c>
      <c r="KK85" s="47" t="n">
        <v>13304.1666666667</v>
      </c>
      <c r="KL85" s="47" t="n">
        <v>13304.1666666667</v>
      </c>
    </row>
    <row r="86" customFormat="false" ht="15.75" hidden="false" customHeight="true" outlineLevel="0" collapsed="false">
      <c r="A86" s="35" t="s">
        <v>340</v>
      </c>
      <c r="B86" s="35" t="s">
        <v>341</v>
      </c>
      <c r="C86" s="35" t="s">
        <v>164</v>
      </c>
      <c r="D86" s="35" t="s">
        <v>165</v>
      </c>
      <c r="E86" s="35" t="s">
        <v>174</v>
      </c>
      <c r="G86" s="44" t="n">
        <v>838.75</v>
      </c>
      <c r="H86" s="44" t="n">
        <v>2723.15</v>
      </c>
      <c r="I86" s="44" t="n">
        <v>2723.15</v>
      </c>
      <c r="J86" s="44" t="n">
        <v>2723.15</v>
      </c>
      <c r="K86" s="44" t="n">
        <v>5421.05</v>
      </c>
      <c r="L86" s="44" t="n">
        <v>5421.05</v>
      </c>
      <c r="M86" s="44" t="n">
        <v>5421.05</v>
      </c>
      <c r="N86" s="44" t="n">
        <v>5421.05</v>
      </c>
      <c r="O86" s="44" t="n">
        <v>5421.05</v>
      </c>
      <c r="P86" s="44" t="n">
        <v>5421.05</v>
      </c>
      <c r="Q86" s="44" t="n">
        <v>5421.05</v>
      </c>
      <c r="R86" s="44" t="n">
        <v>7738.38545977011</v>
      </c>
      <c r="S86" s="44" t="n">
        <v>7738.38545977012</v>
      </c>
      <c r="T86" s="44" t="n">
        <v>7738.38545977012</v>
      </c>
      <c r="U86" s="44" t="n">
        <v>7738.38545977012</v>
      </c>
      <c r="V86" s="44" t="n">
        <v>8123.78545977012</v>
      </c>
      <c r="W86" s="44" t="n">
        <v>8123.78545977012</v>
      </c>
      <c r="X86" s="44" t="n">
        <v>8123.78545977012</v>
      </c>
      <c r="Y86" s="44" t="n">
        <v>8123.78545977012</v>
      </c>
      <c r="Z86" s="44" t="n">
        <v>8123.78545977012</v>
      </c>
      <c r="AA86" s="44" t="n">
        <v>8894.58545977011</v>
      </c>
      <c r="AB86" s="44" t="n">
        <v>8894.58545977011</v>
      </c>
      <c r="AC86" s="44" t="n">
        <v>8894.58545977011</v>
      </c>
      <c r="AD86" s="44" t="n">
        <v>8512.5</v>
      </c>
      <c r="AE86" s="44" t="n">
        <v>8512.5</v>
      </c>
      <c r="AF86" s="44" t="n">
        <v>8512.5</v>
      </c>
      <c r="AG86" s="44" t="n">
        <v>8512.5</v>
      </c>
      <c r="AH86" s="44" t="n">
        <v>8512.5</v>
      </c>
      <c r="AI86" s="44" t="n">
        <v>8512.5</v>
      </c>
      <c r="AJ86" s="44" t="n">
        <v>8512.5</v>
      </c>
      <c r="AK86" s="44" t="n">
        <v>8512.5</v>
      </c>
      <c r="AL86" s="44" t="n">
        <v>8512.5</v>
      </c>
      <c r="AM86" s="44" t="n">
        <v>8512.5</v>
      </c>
      <c r="AN86" s="44" t="n">
        <v>8512.5</v>
      </c>
      <c r="AO86" s="44" t="n">
        <v>8512.5</v>
      </c>
      <c r="AP86" s="44" t="n">
        <v>12447.5525</v>
      </c>
      <c r="AQ86" s="44" t="n">
        <v>12447.5525</v>
      </c>
      <c r="AR86" s="44" t="n">
        <v>12447.5525</v>
      </c>
      <c r="AS86" s="44" t="n">
        <v>12447.5525</v>
      </c>
      <c r="AT86" s="44" t="n">
        <v>12447.5525</v>
      </c>
      <c r="AU86" s="44" t="n">
        <v>12447.5525</v>
      </c>
      <c r="AV86" s="44" t="n">
        <v>12447.5525</v>
      </c>
      <c r="AW86" s="44" t="n">
        <v>12447.5525</v>
      </c>
      <c r="AX86" s="44" t="n">
        <v>12447.5525</v>
      </c>
      <c r="AY86" s="44" t="n">
        <v>12447.5525</v>
      </c>
      <c r="AZ86" s="44" t="n">
        <v>12447.5525</v>
      </c>
      <c r="BA86" s="44" t="n">
        <v>12447.5525</v>
      </c>
      <c r="BB86" s="44" t="n">
        <v>15449.6358333333</v>
      </c>
      <c r="BC86" s="44" t="n">
        <v>15449.6358333333</v>
      </c>
      <c r="BD86" s="44" t="n">
        <v>15449.6358333333</v>
      </c>
      <c r="BE86" s="44" t="n">
        <v>15449.6358333333</v>
      </c>
      <c r="BF86" s="44" t="n">
        <v>15449.6358333333</v>
      </c>
      <c r="BG86" s="44" t="n">
        <v>15449.6358333333</v>
      </c>
      <c r="BH86" s="44" t="n">
        <v>15449.6358333333</v>
      </c>
      <c r="BI86" s="44" t="n">
        <v>15449.6358333333</v>
      </c>
      <c r="BJ86" s="44" t="n">
        <v>15449.6358333333</v>
      </c>
      <c r="BK86" s="44" t="n">
        <v>15449.6358333333</v>
      </c>
      <c r="BL86" s="44" t="n">
        <v>15449.6358333333</v>
      </c>
      <c r="BM86" s="44" t="n">
        <v>15449.6358333333</v>
      </c>
      <c r="BN86" s="44" t="n">
        <v>15590.6108333333</v>
      </c>
      <c r="BO86" s="44" t="n">
        <v>15590.6108333333</v>
      </c>
      <c r="BP86" s="44" t="n">
        <v>15590.6108333333</v>
      </c>
      <c r="BQ86" s="44" t="n">
        <v>15590.6108333333</v>
      </c>
      <c r="BR86" s="45" t="n">
        <v>15590.6108333333</v>
      </c>
      <c r="BS86" s="46" t="n">
        <v>15590.6108333333</v>
      </c>
      <c r="BT86" s="46" t="n">
        <v>15590.6108333333</v>
      </c>
      <c r="BU86" s="46" t="n">
        <v>15590.6108333333</v>
      </c>
      <c r="BV86" s="46" t="n">
        <v>15590.6108333333</v>
      </c>
      <c r="BW86" s="46" t="n">
        <v>15590.6108333333</v>
      </c>
      <c r="BX86" s="46" t="n">
        <v>15590.6108333333</v>
      </c>
      <c r="BY86" s="46" t="n">
        <v>15590.6108333333</v>
      </c>
      <c r="BZ86" s="46" t="n">
        <v>15590.6108333333</v>
      </c>
      <c r="EX86" s="47" t="n">
        <v>838.75</v>
      </c>
      <c r="EY86" s="47" t="n">
        <v>2723.15</v>
      </c>
      <c r="EZ86" s="47" t="n">
        <v>2723.15</v>
      </c>
      <c r="FA86" s="47" t="n">
        <v>2723.15</v>
      </c>
      <c r="FB86" s="47" t="n">
        <v>5421.05</v>
      </c>
      <c r="FC86" s="47" t="n">
        <v>5421.05</v>
      </c>
      <c r="FD86" s="47" t="n">
        <v>5421.05</v>
      </c>
      <c r="FE86" s="47" t="n">
        <v>5421.05</v>
      </c>
      <c r="FF86" s="47" t="n">
        <v>5421.05</v>
      </c>
      <c r="FG86" s="47" t="n">
        <v>5421.05</v>
      </c>
      <c r="FH86" s="47" t="n">
        <v>5421.05</v>
      </c>
      <c r="FI86" s="47" t="n">
        <v>7738.38545977011</v>
      </c>
      <c r="FJ86" s="47" t="n">
        <v>7738.38545977012</v>
      </c>
      <c r="FK86" s="47" t="n">
        <v>7738.38545977012</v>
      </c>
      <c r="FL86" s="47" t="n">
        <v>7738.38545977012</v>
      </c>
      <c r="FM86" s="47" t="n">
        <v>8123.78545977012</v>
      </c>
      <c r="FN86" s="47" t="n">
        <v>8123.78545977012</v>
      </c>
      <c r="FO86" s="47" t="n">
        <v>8123.78545977012</v>
      </c>
      <c r="FP86" s="47" t="n">
        <v>8123.78545977012</v>
      </c>
      <c r="FQ86" s="47" t="n">
        <v>8123.78545977012</v>
      </c>
      <c r="FR86" s="47" t="n">
        <v>8894.58545977011</v>
      </c>
      <c r="FS86" s="47" t="n">
        <v>8894.58545977011</v>
      </c>
      <c r="FT86" s="47" t="n">
        <v>8894.58545977011</v>
      </c>
      <c r="FU86" s="47" t="n">
        <v>8512.5</v>
      </c>
      <c r="FV86" s="47" t="n">
        <v>8512.5</v>
      </c>
      <c r="FW86" s="47" t="n">
        <v>8512.5</v>
      </c>
      <c r="FX86" s="47" t="n">
        <v>8512.5</v>
      </c>
      <c r="FY86" s="47" t="n">
        <v>8512.5</v>
      </c>
      <c r="FZ86" s="47" t="n">
        <v>8512.5</v>
      </c>
      <c r="GA86" s="47" t="n">
        <v>8512.5</v>
      </c>
      <c r="GB86" s="47" t="n">
        <v>8512.5</v>
      </c>
      <c r="GC86" s="47" t="n">
        <v>8512.5</v>
      </c>
      <c r="GD86" s="47" t="n">
        <v>8512.5</v>
      </c>
      <c r="GE86" s="47" t="n">
        <v>8512.5</v>
      </c>
      <c r="GF86" s="47" t="n">
        <v>8512.5</v>
      </c>
      <c r="GG86" s="47" t="n">
        <v>12447.5525</v>
      </c>
      <c r="GH86" s="47" t="n">
        <v>12447.5525</v>
      </c>
      <c r="GI86" s="47" t="n">
        <v>12447.5525</v>
      </c>
      <c r="GJ86" s="47" t="n">
        <v>12447.5525</v>
      </c>
      <c r="GK86" s="47" t="n">
        <v>12447.5525</v>
      </c>
      <c r="GL86" s="47" t="n">
        <v>12447.5525</v>
      </c>
      <c r="GM86" s="47" t="n">
        <v>12447.5525</v>
      </c>
      <c r="GN86" s="47" t="n">
        <v>12447.5525</v>
      </c>
      <c r="GO86" s="47" t="n">
        <v>12447.5525</v>
      </c>
      <c r="GP86" s="47" t="n">
        <v>12447.5525</v>
      </c>
      <c r="GQ86" s="47" t="n">
        <v>12447.5525</v>
      </c>
      <c r="GR86" s="47" t="n">
        <v>12447.5525</v>
      </c>
      <c r="GS86" s="47" t="n">
        <v>15449.6358333333</v>
      </c>
      <c r="GT86" s="47" t="n">
        <v>15449.6358333333</v>
      </c>
      <c r="GU86" s="47" t="n">
        <v>15449.6358333333</v>
      </c>
      <c r="GV86" s="47" t="n">
        <v>15449.6358333333</v>
      </c>
      <c r="GW86" s="47" t="n">
        <v>15449.6358333333</v>
      </c>
      <c r="GX86" s="47" t="n">
        <v>15449.6358333333</v>
      </c>
      <c r="GY86" s="47" t="n">
        <v>15449.6358333333</v>
      </c>
      <c r="GZ86" s="47" t="n">
        <v>15449.6358333333</v>
      </c>
      <c r="HA86" s="47" t="n">
        <v>15449.6358333333</v>
      </c>
      <c r="HB86" s="47" t="n">
        <v>15449.6358333333</v>
      </c>
      <c r="HC86" s="47" t="n">
        <v>15449.6358333333</v>
      </c>
      <c r="HD86" s="47" t="n">
        <v>15449.6358333333</v>
      </c>
      <c r="HE86" s="47" t="n">
        <v>15590.6108333333</v>
      </c>
      <c r="HF86" s="47" t="n">
        <v>15590.6108333333</v>
      </c>
      <c r="HG86" s="47" t="n">
        <v>15590.6108333333</v>
      </c>
      <c r="HH86" s="47" t="n">
        <v>15590.6108333333</v>
      </c>
      <c r="HI86" s="48" t="n">
        <v>15590.6108333333</v>
      </c>
      <c r="HJ86" s="47" t="n">
        <v>15590.6108333333</v>
      </c>
      <c r="HK86" s="47" t="n">
        <v>15590.6108333333</v>
      </c>
      <c r="HL86" s="47" t="n">
        <v>15590.6108333333</v>
      </c>
      <c r="HM86" s="47" t="n">
        <v>15590.6108333333</v>
      </c>
      <c r="HN86" s="47" t="n">
        <v>15590.6108333333</v>
      </c>
      <c r="HO86" s="47" t="n">
        <v>15590.6108333333</v>
      </c>
      <c r="HP86" s="47" t="n">
        <v>15590.6108333333</v>
      </c>
      <c r="HQ86" s="47" t="n">
        <v>15590.6108333333</v>
      </c>
      <c r="HS86" s="47" t="n">
        <v>838.75</v>
      </c>
      <c r="HT86" s="47" t="n">
        <v>2723.15</v>
      </c>
      <c r="HU86" s="47" t="n">
        <v>2723.15</v>
      </c>
      <c r="HV86" s="47" t="n">
        <v>2723.15</v>
      </c>
      <c r="HW86" s="47" t="n">
        <v>5421.05</v>
      </c>
      <c r="HX86" s="47" t="n">
        <v>5421.05</v>
      </c>
      <c r="HY86" s="47" t="n">
        <v>5421.05</v>
      </c>
      <c r="HZ86" s="47" t="n">
        <v>5421.05</v>
      </c>
      <c r="IA86" s="47" t="n">
        <v>5421.05</v>
      </c>
      <c r="IB86" s="47" t="n">
        <v>5421.05</v>
      </c>
      <c r="IC86" s="47" t="n">
        <v>5421.05</v>
      </c>
      <c r="ID86" s="47" t="n">
        <v>7738.38545977011</v>
      </c>
      <c r="IE86" s="47" t="n">
        <v>7738.38545977012</v>
      </c>
      <c r="IF86" s="47" t="n">
        <v>7738.38545977012</v>
      </c>
      <c r="IG86" s="47" t="n">
        <v>7738.38545977012</v>
      </c>
      <c r="IH86" s="47" t="n">
        <v>8123.78545977012</v>
      </c>
      <c r="II86" s="47" t="n">
        <v>8123.78545977012</v>
      </c>
      <c r="IJ86" s="47" t="n">
        <v>8123.78545977012</v>
      </c>
      <c r="IK86" s="47" t="n">
        <v>8123.78545977012</v>
      </c>
      <c r="IL86" s="47" t="n">
        <v>8123.78545977012</v>
      </c>
      <c r="IM86" s="47" t="n">
        <v>8894.58545977011</v>
      </c>
      <c r="IN86" s="47" t="n">
        <v>8894.58545977011</v>
      </c>
      <c r="IO86" s="47" t="n">
        <v>8894.58545977011</v>
      </c>
      <c r="IP86" s="47" t="n">
        <v>8512.5</v>
      </c>
      <c r="IQ86" s="47" t="n">
        <v>8512.5</v>
      </c>
      <c r="IR86" s="47" t="n">
        <v>8512.5</v>
      </c>
      <c r="IS86" s="47" t="n">
        <v>8512.5</v>
      </c>
      <c r="IT86" s="47" t="n">
        <v>8512.5</v>
      </c>
      <c r="IU86" s="47" t="n">
        <v>8512.5</v>
      </c>
      <c r="IV86" s="47" t="n">
        <v>8512.5</v>
      </c>
      <c r="IW86" s="47" t="n">
        <v>8512.5</v>
      </c>
      <c r="IX86" s="47" t="n">
        <v>8512.5</v>
      </c>
      <c r="IY86" s="47" t="n">
        <v>8512.5</v>
      </c>
      <c r="IZ86" s="47" t="n">
        <v>8512.5</v>
      </c>
      <c r="JA86" s="47" t="n">
        <v>8512.5</v>
      </c>
      <c r="JB86" s="47" t="n">
        <v>12447.5525</v>
      </c>
      <c r="JC86" s="47" t="n">
        <v>12447.5525</v>
      </c>
      <c r="JD86" s="47" t="n">
        <v>12447.5525</v>
      </c>
      <c r="JE86" s="47" t="n">
        <v>12447.5525</v>
      </c>
      <c r="JF86" s="47" t="n">
        <v>12447.5525</v>
      </c>
      <c r="JG86" s="47" t="n">
        <v>12447.5525</v>
      </c>
      <c r="JH86" s="47" t="n">
        <v>12447.5525</v>
      </c>
      <c r="JI86" s="47" t="n">
        <v>12447.5525</v>
      </c>
      <c r="JJ86" s="47" t="n">
        <v>12447.5525</v>
      </c>
      <c r="JK86" s="47" t="n">
        <v>12447.5525</v>
      </c>
      <c r="JL86" s="47" t="n">
        <v>12447.5525</v>
      </c>
      <c r="JM86" s="47" t="n">
        <v>12447.5525</v>
      </c>
      <c r="JN86" s="47" t="n">
        <v>15449.6358333333</v>
      </c>
      <c r="JO86" s="47" t="n">
        <v>15449.6358333333</v>
      </c>
      <c r="JP86" s="47" t="n">
        <v>15449.6358333333</v>
      </c>
      <c r="JQ86" s="47" t="n">
        <v>15449.6358333333</v>
      </c>
      <c r="JR86" s="47" t="n">
        <v>15449.6358333333</v>
      </c>
      <c r="JS86" s="47" t="n">
        <v>15449.6358333333</v>
      </c>
      <c r="JT86" s="47" t="n">
        <v>15449.6358333333</v>
      </c>
      <c r="JU86" s="47" t="n">
        <v>15449.6358333333</v>
      </c>
      <c r="JV86" s="47" t="n">
        <v>15449.6358333333</v>
      </c>
      <c r="JW86" s="47" t="n">
        <v>15449.6358333333</v>
      </c>
      <c r="JX86" s="47" t="n">
        <v>15449.6358333333</v>
      </c>
      <c r="JY86" s="47" t="n">
        <v>15449.6358333333</v>
      </c>
      <c r="JZ86" s="47" t="n">
        <v>15590.6108333333</v>
      </c>
      <c r="KA86" s="47" t="n">
        <v>15590.6108333333</v>
      </c>
      <c r="KB86" s="47" t="n">
        <v>15590.6108333333</v>
      </c>
      <c r="KC86" s="47" t="n">
        <v>15590.6108333333</v>
      </c>
      <c r="KD86" s="48" t="n">
        <v>15590.6108333333</v>
      </c>
      <c r="KE86" s="47" t="n">
        <v>15590.6108333333</v>
      </c>
      <c r="KF86" s="47" t="n">
        <v>15590.6108333333</v>
      </c>
      <c r="KG86" s="47" t="n">
        <v>15590.6108333333</v>
      </c>
      <c r="KH86" s="47" t="n">
        <v>15590.6108333333</v>
      </c>
      <c r="KI86" s="47" t="n">
        <v>15590.6108333333</v>
      </c>
      <c r="KJ86" s="47" t="n">
        <v>15590.6108333333</v>
      </c>
      <c r="KK86" s="47" t="n">
        <v>15590.6108333333</v>
      </c>
      <c r="KL86" s="47" t="n">
        <v>15590.6108333333</v>
      </c>
    </row>
    <row r="87" customFormat="false" ht="15.75" hidden="false" customHeight="true" outlineLevel="0" collapsed="false">
      <c r="A87" s="35" t="s">
        <v>342</v>
      </c>
      <c r="B87" s="35" t="s">
        <v>343</v>
      </c>
      <c r="C87" s="35" t="s">
        <v>164</v>
      </c>
      <c r="D87" s="35" t="s">
        <v>173</v>
      </c>
      <c r="E87" s="35" t="s">
        <v>174</v>
      </c>
      <c r="G87" s="44" t="n">
        <v>0</v>
      </c>
      <c r="H87" s="44" t="n">
        <v>0</v>
      </c>
      <c r="I87" s="44" t="n">
        <v>0</v>
      </c>
      <c r="J87" s="44" t="n">
        <v>0</v>
      </c>
      <c r="K87" s="44" t="n">
        <v>0</v>
      </c>
      <c r="L87" s="44" t="n">
        <v>0</v>
      </c>
      <c r="M87" s="44" t="n">
        <v>0</v>
      </c>
      <c r="N87" s="44" t="n">
        <v>0</v>
      </c>
      <c r="O87" s="44" t="n">
        <v>0</v>
      </c>
      <c r="P87" s="44" t="n">
        <v>0</v>
      </c>
      <c r="Q87" s="44" t="n">
        <v>0</v>
      </c>
      <c r="R87" s="44" t="n">
        <v>0</v>
      </c>
      <c r="S87" s="44" t="n">
        <v>0</v>
      </c>
      <c r="T87" s="44" t="n">
        <v>0</v>
      </c>
      <c r="U87" s="44" t="n">
        <v>0</v>
      </c>
      <c r="V87" s="44" t="n">
        <v>0</v>
      </c>
      <c r="W87" s="44" t="n">
        <v>0</v>
      </c>
      <c r="X87" s="44" t="n">
        <v>0</v>
      </c>
      <c r="Y87" s="44" t="n">
        <v>0</v>
      </c>
      <c r="Z87" s="44" t="n">
        <v>0</v>
      </c>
      <c r="AA87" s="44" t="n">
        <v>0</v>
      </c>
      <c r="AB87" s="44" t="n">
        <v>0</v>
      </c>
      <c r="AC87" s="44" t="n">
        <v>0</v>
      </c>
      <c r="AD87" s="44" t="n">
        <v>0</v>
      </c>
      <c r="AE87" s="44" t="n">
        <v>0</v>
      </c>
      <c r="AF87" s="44" t="n">
        <v>0</v>
      </c>
      <c r="AG87" s="44" t="n">
        <v>0</v>
      </c>
      <c r="AH87" s="44" t="n">
        <v>0</v>
      </c>
      <c r="AI87" s="44" t="n">
        <v>0</v>
      </c>
      <c r="AJ87" s="44" t="n">
        <v>0</v>
      </c>
      <c r="AK87" s="44" t="n">
        <v>0</v>
      </c>
      <c r="AL87" s="44" t="n">
        <v>0</v>
      </c>
      <c r="AM87" s="44" t="n">
        <v>0</v>
      </c>
      <c r="AN87" s="44" t="n">
        <v>0</v>
      </c>
      <c r="AO87" s="44" t="n">
        <v>0</v>
      </c>
      <c r="AP87" s="44" t="n">
        <v>2000</v>
      </c>
      <c r="AQ87" s="44" t="n">
        <v>2000</v>
      </c>
      <c r="AR87" s="44" t="n">
        <v>2000</v>
      </c>
      <c r="AS87" s="44" t="n">
        <v>2000</v>
      </c>
      <c r="AT87" s="44" t="n">
        <v>2000</v>
      </c>
      <c r="AU87" s="44" t="n">
        <v>2000</v>
      </c>
      <c r="AV87" s="44" t="n">
        <v>4000</v>
      </c>
      <c r="AW87" s="44" t="n">
        <v>4000</v>
      </c>
      <c r="AX87" s="44" t="n">
        <v>4000</v>
      </c>
      <c r="AY87" s="44" t="n">
        <v>4000</v>
      </c>
      <c r="AZ87" s="44" t="n">
        <v>4000</v>
      </c>
      <c r="BA87" s="44" t="n">
        <v>4000</v>
      </c>
      <c r="BB87" s="44" t="n">
        <v>3250</v>
      </c>
      <c r="BC87" s="44" t="n">
        <v>3250</v>
      </c>
      <c r="BD87" s="44" t="n">
        <v>3250</v>
      </c>
      <c r="BE87" s="44" t="n">
        <v>3250</v>
      </c>
      <c r="BF87" s="44" t="n">
        <v>3250</v>
      </c>
      <c r="BG87" s="44" t="n">
        <v>3250</v>
      </c>
      <c r="BH87" s="44" t="n">
        <v>3250</v>
      </c>
      <c r="BI87" s="44" t="n">
        <v>3250</v>
      </c>
      <c r="BJ87" s="44" t="n">
        <v>3250</v>
      </c>
      <c r="BK87" s="44" t="n">
        <v>3250</v>
      </c>
      <c r="BL87" s="44" t="n">
        <v>3250</v>
      </c>
      <c r="BM87" s="44" t="n">
        <v>3250</v>
      </c>
      <c r="BN87" s="44" t="n">
        <v>3750</v>
      </c>
      <c r="BO87" s="44" t="n">
        <v>3750</v>
      </c>
      <c r="BP87" s="44" t="n">
        <v>3750</v>
      </c>
      <c r="BQ87" s="44" t="n">
        <v>3750</v>
      </c>
      <c r="BR87" s="45" t="n">
        <v>3750</v>
      </c>
      <c r="BS87" s="46" t="n">
        <v>3750</v>
      </c>
      <c r="BT87" s="46" t="n">
        <v>3750</v>
      </c>
      <c r="BU87" s="46" t="n">
        <v>3750</v>
      </c>
      <c r="BV87" s="46" t="n">
        <v>3750</v>
      </c>
      <c r="BW87" s="46" t="n">
        <v>3750</v>
      </c>
      <c r="BX87" s="46" t="n">
        <v>3750</v>
      </c>
      <c r="BY87" s="46" t="n">
        <v>3750</v>
      </c>
      <c r="BZ87" s="46" t="n">
        <v>3750</v>
      </c>
      <c r="EX87" s="47" t="n">
        <v>0</v>
      </c>
      <c r="EY87" s="47" t="n">
        <v>0</v>
      </c>
      <c r="EZ87" s="47" t="n">
        <v>0</v>
      </c>
      <c r="FA87" s="47" t="n">
        <v>0</v>
      </c>
      <c r="FB87" s="47" t="n">
        <v>0</v>
      </c>
      <c r="FC87" s="47" t="n">
        <v>0</v>
      </c>
      <c r="FD87" s="47" t="n">
        <v>0</v>
      </c>
      <c r="FE87" s="47" t="n">
        <v>0</v>
      </c>
      <c r="FF87" s="47" t="n">
        <v>0</v>
      </c>
      <c r="FG87" s="47" t="n">
        <v>0</v>
      </c>
      <c r="FH87" s="47" t="n">
        <v>0</v>
      </c>
      <c r="FI87" s="47" t="n">
        <v>0</v>
      </c>
      <c r="FJ87" s="47" t="n">
        <v>0</v>
      </c>
      <c r="FK87" s="47" t="n">
        <v>0</v>
      </c>
      <c r="FL87" s="47" t="n">
        <v>0</v>
      </c>
      <c r="FM87" s="47" t="n">
        <v>0</v>
      </c>
      <c r="FN87" s="47" t="n">
        <v>0</v>
      </c>
      <c r="FO87" s="47" t="n">
        <v>0</v>
      </c>
      <c r="FP87" s="47" t="n">
        <v>0</v>
      </c>
      <c r="FQ87" s="47" t="n">
        <v>0</v>
      </c>
      <c r="FR87" s="47" t="n">
        <v>0</v>
      </c>
      <c r="FS87" s="47" t="n">
        <v>0</v>
      </c>
      <c r="FT87" s="47" t="n">
        <v>0</v>
      </c>
      <c r="FU87" s="47" t="n">
        <v>0</v>
      </c>
      <c r="FV87" s="47" t="n">
        <v>0</v>
      </c>
      <c r="FW87" s="47" t="n">
        <v>0</v>
      </c>
      <c r="FX87" s="47" t="n">
        <v>0</v>
      </c>
      <c r="FY87" s="47" t="n">
        <v>0</v>
      </c>
      <c r="FZ87" s="47" t="n">
        <v>0</v>
      </c>
      <c r="GA87" s="47" t="n">
        <v>0</v>
      </c>
      <c r="GB87" s="47" t="n">
        <v>0</v>
      </c>
      <c r="GC87" s="47" t="n">
        <v>0</v>
      </c>
      <c r="GD87" s="47" t="n">
        <v>0</v>
      </c>
      <c r="GE87" s="47" t="n">
        <v>0</v>
      </c>
      <c r="GF87" s="47" t="n">
        <v>0</v>
      </c>
      <c r="GG87" s="47" t="n">
        <v>2000</v>
      </c>
      <c r="GH87" s="47" t="n">
        <v>2000</v>
      </c>
      <c r="GI87" s="47" t="n">
        <v>2000</v>
      </c>
      <c r="GJ87" s="47" t="n">
        <v>2000</v>
      </c>
      <c r="GK87" s="47" t="n">
        <v>2000</v>
      </c>
      <c r="GL87" s="47" t="n">
        <v>2000</v>
      </c>
      <c r="GM87" s="47" t="n">
        <v>4000</v>
      </c>
      <c r="GN87" s="47" t="n">
        <v>4000</v>
      </c>
      <c r="GO87" s="47" t="n">
        <v>4000</v>
      </c>
      <c r="GP87" s="47" t="n">
        <v>4000</v>
      </c>
      <c r="GQ87" s="47" t="n">
        <v>4000</v>
      </c>
      <c r="GR87" s="47" t="n">
        <v>4000</v>
      </c>
      <c r="GS87" s="47" t="n">
        <v>3250</v>
      </c>
      <c r="GT87" s="47" t="n">
        <v>3250</v>
      </c>
      <c r="GU87" s="47" t="n">
        <v>3250</v>
      </c>
      <c r="GV87" s="47" t="n">
        <v>3250</v>
      </c>
      <c r="GW87" s="47" t="n">
        <v>3250</v>
      </c>
      <c r="GX87" s="47" t="n">
        <v>3250</v>
      </c>
      <c r="GY87" s="47" t="n">
        <v>3250</v>
      </c>
      <c r="GZ87" s="47" t="n">
        <v>3250</v>
      </c>
      <c r="HA87" s="47" t="n">
        <v>3250</v>
      </c>
      <c r="HB87" s="47" t="n">
        <v>3250</v>
      </c>
      <c r="HC87" s="47" t="n">
        <v>3250</v>
      </c>
      <c r="HD87" s="47" t="n">
        <v>3250</v>
      </c>
      <c r="HE87" s="47" t="n">
        <v>3750</v>
      </c>
      <c r="HF87" s="47" t="n">
        <v>3750</v>
      </c>
      <c r="HG87" s="47" t="n">
        <v>3750</v>
      </c>
      <c r="HH87" s="47" t="n">
        <v>3750</v>
      </c>
      <c r="HI87" s="48" t="n">
        <v>3750</v>
      </c>
      <c r="HJ87" s="47" t="n">
        <v>3750</v>
      </c>
      <c r="HK87" s="47" t="n">
        <v>3750</v>
      </c>
      <c r="HL87" s="47" t="n">
        <v>3750</v>
      </c>
      <c r="HM87" s="47" t="n">
        <v>3750</v>
      </c>
      <c r="HN87" s="47" t="n">
        <v>3750</v>
      </c>
      <c r="HO87" s="47" t="n">
        <v>3750</v>
      </c>
      <c r="HP87" s="47" t="n">
        <v>3750</v>
      </c>
      <c r="HQ87" s="47" t="n">
        <v>3750</v>
      </c>
      <c r="HS87" s="47" t="n">
        <v>0</v>
      </c>
      <c r="HT87" s="47" t="n">
        <v>0</v>
      </c>
      <c r="HU87" s="47" t="n">
        <v>0</v>
      </c>
      <c r="HV87" s="47" t="n">
        <v>0</v>
      </c>
      <c r="HW87" s="47" t="n">
        <v>0</v>
      </c>
      <c r="HX87" s="47" t="n">
        <v>0</v>
      </c>
      <c r="HY87" s="47" t="n">
        <v>0</v>
      </c>
      <c r="HZ87" s="47" t="n">
        <v>0</v>
      </c>
      <c r="IA87" s="47" t="n">
        <v>0</v>
      </c>
      <c r="IB87" s="47" t="n">
        <v>0</v>
      </c>
      <c r="IC87" s="47" t="n">
        <v>0</v>
      </c>
      <c r="ID87" s="47" t="n">
        <v>0</v>
      </c>
      <c r="IE87" s="47" t="n">
        <v>0</v>
      </c>
      <c r="IF87" s="47" t="n">
        <v>0</v>
      </c>
      <c r="IG87" s="47" t="n">
        <v>0</v>
      </c>
      <c r="IH87" s="47" t="n">
        <v>0</v>
      </c>
      <c r="II87" s="47" t="n">
        <v>0</v>
      </c>
      <c r="IJ87" s="47" t="n">
        <v>0</v>
      </c>
      <c r="IK87" s="47" t="n">
        <v>0</v>
      </c>
      <c r="IL87" s="47" t="n">
        <v>0</v>
      </c>
      <c r="IM87" s="47" t="n">
        <v>0</v>
      </c>
      <c r="IN87" s="47" t="n">
        <v>0</v>
      </c>
      <c r="IO87" s="47" t="n">
        <v>0</v>
      </c>
      <c r="IP87" s="47" t="n">
        <v>0</v>
      </c>
      <c r="IQ87" s="47" t="n">
        <v>0</v>
      </c>
      <c r="IR87" s="47" t="n">
        <v>0</v>
      </c>
      <c r="IS87" s="47" t="n">
        <v>0</v>
      </c>
      <c r="IT87" s="47" t="n">
        <v>0</v>
      </c>
      <c r="IU87" s="47" t="n">
        <v>0</v>
      </c>
      <c r="IV87" s="47" t="n">
        <v>0</v>
      </c>
      <c r="IW87" s="47" t="n">
        <v>0</v>
      </c>
      <c r="IX87" s="47" t="n">
        <v>0</v>
      </c>
      <c r="IY87" s="47" t="n">
        <v>0</v>
      </c>
      <c r="IZ87" s="47" t="n">
        <v>0</v>
      </c>
      <c r="JA87" s="47" t="n">
        <v>0</v>
      </c>
      <c r="JB87" s="47" t="n">
        <v>2000</v>
      </c>
      <c r="JC87" s="47" t="n">
        <v>2000</v>
      </c>
      <c r="JD87" s="47" t="n">
        <v>2000</v>
      </c>
      <c r="JE87" s="47" t="n">
        <v>2000</v>
      </c>
      <c r="JF87" s="47" t="n">
        <v>2000</v>
      </c>
      <c r="JG87" s="47" t="n">
        <v>2000</v>
      </c>
      <c r="JH87" s="47" t="n">
        <v>4000</v>
      </c>
      <c r="JI87" s="47" t="n">
        <v>4000</v>
      </c>
      <c r="JJ87" s="47" t="n">
        <v>4000</v>
      </c>
      <c r="JK87" s="47" t="n">
        <v>4000</v>
      </c>
      <c r="JL87" s="47" t="n">
        <v>4000</v>
      </c>
      <c r="JM87" s="47" t="n">
        <v>4000</v>
      </c>
      <c r="JN87" s="47" t="n">
        <v>3250</v>
      </c>
      <c r="JO87" s="47" t="n">
        <v>3250</v>
      </c>
      <c r="JP87" s="47" t="n">
        <v>3250</v>
      </c>
      <c r="JQ87" s="47" t="n">
        <v>3250</v>
      </c>
      <c r="JR87" s="47" t="n">
        <v>3250</v>
      </c>
      <c r="JS87" s="47" t="n">
        <v>3250</v>
      </c>
      <c r="JT87" s="47" t="n">
        <v>3250</v>
      </c>
      <c r="JU87" s="47" t="n">
        <v>3250</v>
      </c>
      <c r="JV87" s="47" t="n">
        <v>3250</v>
      </c>
      <c r="JW87" s="47" t="n">
        <v>3250</v>
      </c>
      <c r="JX87" s="47" t="n">
        <v>3250</v>
      </c>
      <c r="JY87" s="47" t="n">
        <v>3250</v>
      </c>
      <c r="JZ87" s="47" t="n">
        <v>3750</v>
      </c>
      <c r="KA87" s="47" t="n">
        <v>3750</v>
      </c>
      <c r="KB87" s="47" t="n">
        <v>3750</v>
      </c>
      <c r="KC87" s="47" t="n">
        <v>3750</v>
      </c>
      <c r="KD87" s="48" t="n">
        <v>3750</v>
      </c>
      <c r="KE87" s="47" t="n">
        <v>3750</v>
      </c>
      <c r="KF87" s="47" t="n">
        <v>3750</v>
      </c>
      <c r="KG87" s="47" t="n">
        <v>3750</v>
      </c>
      <c r="KH87" s="47" t="n">
        <v>3750</v>
      </c>
      <c r="KI87" s="47" t="n">
        <v>3750</v>
      </c>
      <c r="KJ87" s="47" t="n">
        <v>3750</v>
      </c>
      <c r="KK87" s="47" t="n">
        <v>3750</v>
      </c>
      <c r="KL87" s="47" t="n">
        <v>3750</v>
      </c>
    </row>
    <row r="88" customFormat="false" ht="15.75" hidden="false" customHeight="true" outlineLevel="0" collapsed="false">
      <c r="A88" s="35" t="s">
        <v>344</v>
      </c>
      <c r="B88" s="35" t="s">
        <v>345</v>
      </c>
      <c r="C88" s="35" t="s">
        <v>164</v>
      </c>
      <c r="D88" s="35" t="s">
        <v>165</v>
      </c>
      <c r="E88" s="35" t="s">
        <v>177</v>
      </c>
      <c r="G88" s="44" t="n">
        <v>0</v>
      </c>
      <c r="H88" s="44" t="n">
        <v>0</v>
      </c>
      <c r="I88" s="44" t="n">
        <v>0</v>
      </c>
      <c r="J88" s="44" t="n">
        <v>0</v>
      </c>
      <c r="K88" s="44" t="n">
        <v>0</v>
      </c>
      <c r="L88" s="44" t="n">
        <v>0</v>
      </c>
      <c r="M88" s="44" t="n">
        <v>0</v>
      </c>
      <c r="N88" s="44" t="n">
        <v>0</v>
      </c>
      <c r="O88" s="44" t="n">
        <v>0</v>
      </c>
      <c r="P88" s="44" t="n">
        <v>0</v>
      </c>
      <c r="Q88" s="44" t="n">
        <v>0</v>
      </c>
      <c r="R88" s="44" t="n">
        <v>0</v>
      </c>
      <c r="S88" s="44" t="n">
        <v>0</v>
      </c>
      <c r="T88" s="44" t="n">
        <v>0</v>
      </c>
      <c r="U88" s="44" t="n">
        <v>0</v>
      </c>
      <c r="V88" s="44" t="n">
        <v>0</v>
      </c>
      <c r="W88" s="44" t="n">
        <v>0</v>
      </c>
      <c r="X88" s="44" t="n">
        <v>0</v>
      </c>
      <c r="Y88" s="44" t="n">
        <v>0</v>
      </c>
      <c r="Z88" s="44" t="n">
        <v>0</v>
      </c>
      <c r="AA88" s="44" t="n">
        <v>0</v>
      </c>
      <c r="AB88" s="44" t="n">
        <v>0</v>
      </c>
      <c r="AC88" s="44" t="n">
        <v>0</v>
      </c>
      <c r="AD88" s="44" t="n">
        <v>0</v>
      </c>
      <c r="AE88" s="44" t="n">
        <v>0</v>
      </c>
      <c r="AF88" s="44" t="n">
        <v>0</v>
      </c>
      <c r="AG88" s="44" t="n">
        <v>0</v>
      </c>
      <c r="AH88" s="44" t="n">
        <v>0</v>
      </c>
      <c r="AI88" s="44" t="n">
        <v>0</v>
      </c>
      <c r="AJ88" s="44" t="n">
        <v>0</v>
      </c>
      <c r="AK88" s="44" t="n">
        <v>0</v>
      </c>
      <c r="AL88" s="44" t="n">
        <v>0</v>
      </c>
      <c r="AM88" s="44" t="n">
        <v>0</v>
      </c>
      <c r="AN88" s="44" t="n">
        <v>0</v>
      </c>
      <c r="AO88" s="44" t="n">
        <v>0</v>
      </c>
      <c r="AP88" s="44" t="n">
        <v>0</v>
      </c>
      <c r="AQ88" s="44" t="n">
        <v>166.666666666667</v>
      </c>
      <c r="AR88" s="44" t="n">
        <v>166.666666666667</v>
      </c>
      <c r="AS88" s="44" t="n">
        <v>166.666666666667</v>
      </c>
      <c r="AT88" s="44" t="n">
        <v>166.666666666667</v>
      </c>
      <c r="AU88" s="44" t="n">
        <v>166.666666666667</v>
      </c>
      <c r="AV88" s="44" t="n">
        <v>166.666666666667</v>
      </c>
      <c r="AW88" s="44" t="n">
        <v>166.666666666667</v>
      </c>
      <c r="AX88" s="44" t="n">
        <v>166.666666666667</v>
      </c>
      <c r="AY88" s="44" t="n">
        <v>166.666666666667</v>
      </c>
      <c r="AZ88" s="44" t="n">
        <v>500</v>
      </c>
      <c r="BA88" s="44" t="n">
        <v>500</v>
      </c>
      <c r="BB88" s="44" t="n">
        <v>500</v>
      </c>
      <c r="BC88" s="44" t="n">
        <v>520.8325</v>
      </c>
      <c r="BD88" s="44" t="n">
        <v>520.8325</v>
      </c>
      <c r="BE88" s="44" t="n">
        <v>520.8325</v>
      </c>
      <c r="BF88" s="44" t="n">
        <v>520.8325</v>
      </c>
      <c r="BG88" s="44" t="n">
        <v>604.16625</v>
      </c>
      <c r="BH88" s="44" t="n">
        <v>604.16625</v>
      </c>
      <c r="BI88" s="44" t="n">
        <v>604.16625</v>
      </c>
      <c r="BJ88" s="44" t="n">
        <v>604.16625</v>
      </c>
      <c r="BK88" s="44" t="n">
        <v>604.16625</v>
      </c>
      <c r="BL88" s="44" t="n">
        <v>604.16625</v>
      </c>
      <c r="BM88" s="44" t="n">
        <v>604.16625</v>
      </c>
      <c r="BN88" s="44" t="n">
        <v>604.16625</v>
      </c>
      <c r="BO88" s="44" t="n">
        <v>652.775</v>
      </c>
      <c r="BP88" s="44" t="n">
        <v>652.775</v>
      </c>
      <c r="BQ88" s="44" t="n">
        <v>652.775</v>
      </c>
      <c r="BR88" s="45" t="n">
        <v>652.775</v>
      </c>
      <c r="BS88" s="46" t="n">
        <v>652.775</v>
      </c>
      <c r="BT88" s="46" t="n">
        <v>652.775</v>
      </c>
      <c r="BU88" s="46" t="n">
        <v>652.775</v>
      </c>
      <c r="BV88" s="46" t="n">
        <v>652.775</v>
      </c>
      <c r="BW88" s="46" t="n">
        <v>652.775</v>
      </c>
      <c r="BX88" s="46" t="n">
        <v>652.775</v>
      </c>
      <c r="BY88" s="46" t="n">
        <v>652.775</v>
      </c>
      <c r="BZ88" s="46" t="n">
        <v>652.775</v>
      </c>
      <c r="EX88" s="47" t="n">
        <v>0</v>
      </c>
      <c r="EY88" s="47" t="n">
        <v>0</v>
      </c>
      <c r="EZ88" s="47" t="n">
        <v>0</v>
      </c>
      <c r="FA88" s="47" t="n">
        <v>0</v>
      </c>
      <c r="FB88" s="47" t="n">
        <v>0</v>
      </c>
      <c r="FC88" s="47" t="n">
        <v>0</v>
      </c>
      <c r="FD88" s="47" t="n">
        <v>0</v>
      </c>
      <c r="FE88" s="47" t="n">
        <v>0</v>
      </c>
      <c r="FF88" s="47" t="n">
        <v>0</v>
      </c>
      <c r="FG88" s="47" t="n">
        <v>0</v>
      </c>
      <c r="FH88" s="47" t="n">
        <v>0</v>
      </c>
      <c r="FI88" s="47" t="n">
        <v>0</v>
      </c>
      <c r="FJ88" s="47" t="n">
        <v>0</v>
      </c>
      <c r="FK88" s="47" t="n">
        <v>0</v>
      </c>
      <c r="FL88" s="47" t="n">
        <v>0</v>
      </c>
      <c r="FM88" s="47" t="n">
        <v>0</v>
      </c>
      <c r="FN88" s="47" t="n">
        <v>0</v>
      </c>
      <c r="FO88" s="47" t="n">
        <v>0</v>
      </c>
      <c r="FP88" s="47" t="n">
        <v>0</v>
      </c>
      <c r="FQ88" s="47" t="n">
        <v>0</v>
      </c>
      <c r="FR88" s="47" t="n">
        <v>0</v>
      </c>
      <c r="FS88" s="47" t="n">
        <v>0</v>
      </c>
      <c r="FT88" s="47" t="n">
        <v>0</v>
      </c>
      <c r="FU88" s="47" t="n">
        <v>0</v>
      </c>
      <c r="FV88" s="47" t="n">
        <v>0</v>
      </c>
      <c r="FW88" s="47" t="n">
        <v>0</v>
      </c>
      <c r="FX88" s="47" t="n">
        <v>0</v>
      </c>
      <c r="FY88" s="47" t="n">
        <v>0</v>
      </c>
      <c r="FZ88" s="47" t="n">
        <v>0</v>
      </c>
      <c r="GA88" s="47" t="n">
        <v>0</v>
      </c>
      <c r="GB88" s="47" t="n">
        <v>0</v>
      </c>
      <c r="GC88" s="47" t="n">
        <v>0</v>
      </c>
      <c r="GD88" s="47" t="n">
        <v>0</v>
      </c>
      <c r="GE88" s="47" t="n">
        <v>0</v>
      </c>
      <c r="GF88" s="47" t="n">
        <v>0</v>
      </c>
      <c r="GG88" s="47" t="n">
        <v>0</v>
      </c>
      <c r="GH88" s="47" t="n">
        <v>166.666666666667</v>
      </c>
      <c r="GI88" s="47" t="n">
        <v>166.666666666667</v>
      </c>
      <c r="GJ88" s="47" t="n">
        <v>166.666666666667</v>
      </c>
      <c r="GK88" s="47" t="n">
        <v>166.666666666667</v>
      </c>
      <c r="GL88" s="47" t="n">
        <v>166.666666666667</v>
      </c>
      <c r="GM88" s="47" t="n">
        <v>166.666666666667</v>
      </c>
      <c r="GN88" s="47" t="n">
        <v>166.666666666667</v>
      </c>
      <c r="GO88" s="47" t="n">
        <v>166.666666666667</v>
      </c>
      <c r="GP88" s="47" t="n">
        <v>166.666666666667</v>
      </c>
      <c r="GQ88" s="47" t="n">
        <v>500</v>
      </c>
      <c r="GR88" s="47" t="n">
        <v>500</v>
      </c>
      <c r="GS88" s="47" t="n">
        <v>500</v>
      </c>
      <c r="GT88" s="47" t="n">
        <v>520.8325</v>
      </c>
      <c r="GU88" s="47" t="n">
        <v>520.8325</v>
      </c>
      <c r="GV88" s="47" t="n">
        <v>520.8325</v>
      </c>
      <c r="GW88" s="47" t="n">
        <v>520.8325</v>
      </c>
      <c r="GX88" s="47" t="n">
        <v>604.16625</v>
      </c>
      <c r="GY88" s="47" t="n">
        <v>604.16625</v>
      </c>
      <c r="GZ88" s="47" t="n">
        <v>604.16625</v>
      </c>
      <c r="HA88" s="47" t="n">
        <v>604.16625</v>
      </c>
      <c r="HB88" s="47" t="n">
        <v>604.16625</v>
      </c>
      <c r="HC88" s="47" t="n">
        <v>604.16625</v>
      </c>
      <c r="HD88" s="47" t="n">
        <v>604.16625</v>
      </c>
      <c r="HE88" s="47" t="n">
        <v>604.16625</v>
      </c>
      <c r="HF88" s="47" t="n">
        <v>652.775</v>
      </c>
      <c r="HG88" s="47" t="n">
        <v>652.775</v>
      </c>
      <c r="HH88" s="47" t="n">
        <v>652.775</v>
      </c>
      <c r="HI88" s="48" t="n">
        <v>652.775</v>
      </c>
      <c r="HJ88" s="47" t="n">
        <v>652.775</v>
      </c>
      <c r="HK88" s="47" t="n">
        <v>652.775</v>
      </c>
      <c r="HL88" s="47" t="n">
        <v>652.775</v>
      </c>
      <c r="HM88" s="47" t="n">
        <v>652.775</v>
      </c>
      <c r="HN88" s="47" t="n">
        <v>652.775</v>
      </c>
      <c r="HO88" s="47" t="n">
        <v>652.775</v>
      </c>
      <c r="HP88" s="47" t="n">
        <v>652.775</v>
      </c>
      <c r="HQ88" s="47" t="n">
        <v>652.775</v>
      </c>
      <c r="HS88" s="47" t="n">
        <v>0</v>
      </c>
      <c r="HT88" s="47" t="n">
        <v>0</v>
      </c>
      <c r="HU88" s="47" t="n">
        <v>0</v>
      </c>
      <c r="HV88" s="47" t="n">
        <v>0</v>
      </c>
      <c r="HW88" s="47" t="n">
        <v>0</v>
      </c>
      <c r="HX88" s="47" t="n">
        <v>0</v>
      </c>
      <c r="HY88" s="47" t="n">
        <v>0</v>
      </c>
      <c r="HZ88" s="47" t="n">
        <v>0</v>
      </c>
      <c r="IA88" s="47" t="n">
        <v>0</v>
      </c>
      <c r="IB88" s="47" t="n">
        <v>0</v>
      </c>
      <c r="IC88" s="47" t="n">
        <v>0</v>
      </c>
      <c r="ID88" s="47" t="n">
        <v>0</v>
      </c>
      <c r="IE88" s="47" t="n">
        <v>0</v>
      </c>
      <c r="IF88" s="47" t="n">
        <v>0</v>
      </c>
      <c r="IG88" s="47" t="n">
        <v>0</v>
      </c>
      <c r="IH88" s="47" t="n">
        <v>0</v>
      </c>
      <c r="II88" s="47" t="n">
        <v>0</v>
      </c>
      <c r="IJ88" s="47" t="n">
        <v>0</v>
      </c>
      <c r="IK88" s="47" t="n">
        <v>0</v>
      </c>
      <c r="IL88" s="47" t="n">
        <v>0</v>
      </c>
      <c r="IM88" s="47" t="n">
        <v>0</v>
      </c>
      <c r="IN88" s="47" t="n">
        <v>0</v>
      </c>
      <c r="IO88" s="47" t="n">
        <v>0</v>
      </c>
      <c r="IP88" s="47" t="n">
        <v>0</v>
      </c>
      <c r="IQ88" s="47" t="n">
        <v>0</v>
      </c>
      <c r="IR88" s="47" t="n">
        <v>0</v>
      </c>
      <c r="IS88" s="47" t="n">
        <v>0</v>
      </c>
      <c r="IT88" s="47" t="n">
        <v>0</v>
      </c>
      <c r="IU88" s="47" t="n">
        <v>0</v>
      </c>
      <c r="IV88" s="47" t="n">
        <v>0</v>
      </c>
      <c r="IW88" s="47" t="n">
        <v>0</v>
      </c>
      <c r="IX88" s="47" t="n">
        <v>0</v>
      </c>
      <c r="IY88" s="47" t="n">
        <v>0</v>
      </c>
      <c r="IZ88" s="47" t="n">
        <v>0</v>
      </c>
      <c r="JA88" s="47" t="n">
        <v>0</v>
      </c>
      <c r="JB88" s="47" t="n">
        <v>0</v>
      </c>
      <c r="JC88" s="47" t="n">
        <v>166.666666666667</v>
      </c>
      <c r="JD88" s="47" t="n">
        <v>166.666666666667</v>
      </c>
      <c r="JE88" s="47" t="n">
        <v>166.666666666667</v>
      </c>
      <c r="JF88" s="47" t="n">
        <v>166.666666666667</v>
      </c>
      <c r="JG88" s="47" t="n">
        <v>166.666666666667</v>
      </c>
      <c r="JH88" s="47" t="n">
        <v>166.666666666667</v>
      </c>
      <c r="JI88" s="47" t="n">
        <v>166.666666666667</v>
      </c>
      <c r="JJ88" s="47" t="n">
        <v>166.666666666667</v>
      </c>
      <c r="JK88" s="47" t="n">
        <v>166.666666666667</v>
      </c>
      <c r="JL88" s="47" t="n">
        <v>500</v>
      </c>
      <c r="JM88" s="47" t="n">
        <v>500</v>
      </c>
      <c r="JN88" s="47" t="n">
        <v>500</v>
      </c>
      <c r="JO88" s="47" t="n">
        <v>520.8325</v>
      </c>
      <c r="JP88" s="47" t="n">
        <v>520.8325</v>
      </c>
      <c r="JQ88" s="47" t="n">
        <v>520.8325</v>
      </c>
      <c r="JR88" s="47" t="n">
        <v>520.8325</v>
      </c>
      <c r="JS88" s="47" t="n">
        <v>604.16625</v>
      </c>
      <c r="JT88" s="47" t="n">
        <v>604.16625</v>
      </c>
      <c r="JU88" s="47" t="n">
        <v>604.16625</v>
      </c>
      <c r="JV88" s="47" t="n">
        <v>604.16625</v>
      </c>
      <c r="JW88" s="47" t="n">
        <v>604.16625</v>
      </c>
      <c r="JX88" s="47" t="n">
        <v>604.16625</v>
      </c>
      <c r="JY88" s="47" t="n">
        <v>604.16625</v>
      </c>
      <c r="JZ88" s="47" t="n">
        <v>604.16625</v>
      </c>
      <c r="KA88" s="47" t="n">
        <v>652.775</v>
      </c>
      <c r="KB88" s="47" t="n">
        <v>652.775</v>
      </c>
      <c r="KC88" s="47" t="n">
        <v>652.775</v>
      </c>
      <c r="KD88" s="48" t="n">
        <v>652.775</v>
      </c>
      <c r="KE88" s="47" t="n">
        <v>652.775</v>
      </c>
      <c r="KF88" s="47" t="n">
        <v>652.775</v>
      </c>
      <c r="KG88" s="47" t="n">
        <v>652.775</v>
      </c>
      <c r="KH88" s="47" t="n">
        <v>652.775</v>
      </c>
      <c r="KI88" s="47" t="n">
        <v>652.775</v>
      </c>
      <c r="KJ88" s="47" t="n">
        <v>652.775</v>
      </c>
      <c r="KK88" s="47" t="n">
        <v>652.775</v>
      </c>
      <c r="KL88" s="47" t="n">
        <v>652.775</v>
      </c>
    </row>
    <row r="89" customFormat="false" ht="15.75" hidden="false" customHeight="true" outlineLevel="0" collapsed="false">
      <c r="A89" s="35" t="s">
        <v>346</v>
      </c>
      <c r="B89" s="35" t="s">
        <v>347</v>
      </c>
      <c r="C89" s="35" t="s">
        <v>164</v>
      </c>
      <c r="D89" s="35" t="s">
        <v>215</v>
      </c>
      <c r="E89" s="35" t="s">
        <v>174</v>
      </c>
      <c r="G89" s="44" t="n">
        <v>0</v>
      </c>
      <c r="H89" s="44" t="n">
        <v>0</v>
      </c>
      <c r="I89" s="44" t="n">
        <v>0</v>
      </c>
      <c r="J89" s="44" t="n">
        <v>0</v>
      </c>
      <c r="K89" s="44" t="n">
        <v>0</v>
      </c>
      <c r="L89" s="44" t="n">
        <v>0</v>
      </c>
      <c r="M89" s="44" t="n">
        <v>0</v>
      </c>
      <c r="N89" s="44" t="n">
        <v>0</v>
      </c>
      <c r="O89" s="44" t="n">
        <v>0</v>
      </c>
      <c r="P89" s="44" t="n">
        <v>0</v>
      </c>
      <c r="Q89" s="44" t="n">
        <v>0</v>
      </c>
      <c r="R89" s="44" t="n">
        <v>0</v>
      </c>
      <c r="S89" s="44" t="n">
        <v>0</v>
      </c>
      <c r="T89" s="44" t="n">
        <v>0</v>
      </c>
      <c r="U89" s="44" t="n">
        <v>0</v>
      </c>
      <c r="V89" s="44" t="n">
        <v>0</v>
      </c>
      <c r="W89" s="44" t="n">
        <v>0</v>
      </c>
      <c r="X89" s="44" t="n">
        <v>0</v>
      </c>
      <c r="Y89" s="44" t="n">
        <v>0</v>
      </c>
      <c r="Z89" s="44" t="n">
        <v>0</v>
      </c>
      <c r="AA89" s="44" t="n">
        <v>0</v>
      </c>
      <c r="AB89" s="44" t="n">
        <v>0</v>
      </c>
      <c r="AC89" s="44" t="n">
        <v>0</v>
      </c>
      <c r="AD89" s="44" t="n">
        <v>0</v>
      </c>
      <c r="AE89" s="44" t="n">
        <v>0</v>
      </c>
      <c r="AF89" s="44" t="n">
        <v>0</v>
      </c>
      <c r="AG89" s="44" t="n">
        <v>0</v>
      </c>
      <c r="AH89" s="44" t="n">
        <v>0</v>
      </c>
      <c r="AI89" s="44" t="n">
        <v>0</v>
      </c>
      <c r="AJ89" s="44" t="n">
        <v>0</v>
      </c>
      <c r="AK89" s="44" t="n">
        <v>0</v>
      </c>
      <c r="AL89" s="44" t="n">
        <v>0</v>
      </c>
      <c r="AM89" s="44" t="n">
        <v>0</v>
      </c>
      <c r="AN89" s="44" t="n">
        <v>0</v>
      </c>
      <c r="AO89" s="44" t="n">
        <v>0</v>
      </c>
      <c r="AP89" s="44" t="n">
        <v>0</v>
      </c>
      <c r="AQ89" s="44" t="n">
        <v>0</v>
      </c>
      <c r="AR89" s="44" t="n">
        <v>1375</v>
      </c>
      <c r="AS89" s="44" t="n">
        <v>1375</v>
      </c>
      <c r="AT89" s="44" t="n">
        <v>1375</v>
      </c>
      <c r="AU89" s="44" t="n">
        <v>1375</v>
      </c>
      <c r="AV89" s="44" t="n">
        <v>1375</v>
      </c>
      <c r="AW89" s="44" t="n">
        <v>1375</v>
      </c>
      <c r="AX89" s="44" t="n">
        <v>1375</v>
      </c>
      <c r="AY89" s="44" t="n">
        <v>1375</v>
      </c>
      <c r="AZ89" s="44" t="n">
        <v>1787.5</v>
      </c>
      <c r="BA89" s="44" t="n">
        <v>1787.5</v>
      </c>
      <c r="BB89" s="44" t="n">
        <v>1787.5</v>
      </c>
      <c r="BC89" s="44" t="n">
        <v>1787.5</v>
      </c>
      <c r="BD89" s="44" t="n">
        <v>1787.5</v>
      </c>
      <c r="BE89" s="44" t="n">
        <v>1787.5</v>
      </c>
      <c r="BF89" s="44" t="n">
        <v>1787.5</v>
      </c>
      <c r="BG89" s="44" t="n">
        <v>1787.5</v>
      </c>
      <c r="BH89" s="44" t="n">
        <v>1787.5</v>
      </c>
      <c r="BI89" s="44" t="n">
        <v>1787.5</v>
      </c>
      <c r="BJ89" s="44" t="n">
        <v>1787.5</v>
      </c>
      <c r="BK89" s="44" t="n">
        <v>1787.5</v>
      </c>
      <c r="BL89" s="44" t="n">
        <v>1787.5</v>
      </c>
      <c r="BM89" s="44" t="n">
        <v>1787.5</v>
      </c>
      <c r="BN89" s="44" t="n">
        <v>1787.5</v>
      </c>
      <c r="BO89" s="44" t="n">
        <v>1787.5</v>
      </c>
      <c r="BP89" s="44" t="n">
        <v>137.5</v>
      </c>
      <c r="BQ89" s="44" t="n">
        <v>137.5</v>
      </c>
      <c r="BR89" s="45" t="n">
        <v>137.5</v>
      </c>
      <c r="BS89" s="46" t="n">
        <v>137.5</v>
      </c>
      <c r="BT89" s="46" t="n">
        <v>137.5</v>
      </c>
      <c r="BU89" s="46" t="n">
        <v>137.5</v>
      </c>
      <c r="BV89" s="46" t="n">
        <v>137.5</v>
      </c>
      <c r="BW89" s="46" t="n">
        <v>137.5</v>
      </c>
      <c r="BX89" s="46" t="n">
        <v>137.5</v>
      </c>
      <c r="BY89" s="46" t="n">
        <v>137.5</v>
      </c>
      <c r="BZ89" s="46" t="n">
        <v>137.5</v>
      </c>
      <c r="EX89" s="47" t="n">
        <v>0</v>
      </c>
      <c r="EY89" s="47" t="n">
        <v>0</v>
      </c>
      <c r="EZ89" s="47" t="n">
        <v>0</v>
      </c>
      <c r="FA89" s="47" t="n">
        <v>0</v>
      </c>
      <c r="FB89" s="47" t="n">
        <v>0</v>
      </c>
      <c r="FC89" s="47" t="n">
        <v>0</v>
      </c>
      <c r="FD89" s="47" t="n">
        <v>0</v>
      </c>
      <c r="FE89" s="47" t="n">
        <v>0</v>
      </c>
      <c r="FF89" s="47" t="n">
        <v>0</v>
      </c>
      <c r="FG89" s="47" t="n">
        <v>0</v>
      </c>
      <c r="FH89" s="47" t="n">
        <v>0</v>
      </c>
      <c r="FI89" s="47" t="n">
        <v>0</v>
      </c>
      <c r="FJ89" s="47" t="n">
        <v>0</v>
      </c>
      <c r="FK89" s="47" t="n">
        <v>0</v>
      </c>
      <c r="FL89" s="47" t="n">
        <v>0</v>
      </c>
      <c r="FM89" s="47" t="n">
        <v>0</v>
      </c>
      <c r="FN89" s="47" t="n">
        <v>0</v>
      </c>
      <c r="FO89" s="47" t="n">
        <v>0</v>
      </c>
      <c r="FP89" s="47" t="n">
        <v>0</v>
      </c>
      <c r="FQ89" s="47" t="n">
        <v>0</v>
      </c>
      <c r="FR89" s="47" t="n">
        <v>0</v>
      </c>
      <c r="FS89" s="47" t="n">
        <v>0</v>
      </c>
      <c r="FT89" s="47" t="n">
        <v>0</v>
      </c>
      <c r="FU89" s="47" t="n">
        <v>0</v>
      </c>
      <c r="FV89" s="47" t="n">
        <v>0</v>
      </c>
      <c r="FW89" s="47" t="n">
        <v>0</v>
      </c>
      <c r="FX89" s="47" t="n">
        <v>0</v>
      </c>
      <c r="FY89" s="47" t="n">
        <v>0</v>
      </c>
      <c r="FZ89" s="47" t="n">
        <v>0</v>
      </c>
      <c r="GA89" s="47" t="n">
        <v>0</v>
      </c>
      <c r="GB89" s="47" t="n">
        <v>0</v>
      </c>
      <c r="GC89" s="47" t="n">
        <v>0</v>
      </c>
      <c r="GD89" s="47" t="n">
        <v>0</v>
      </c>
      <c r="GE89" s="47" t="n">
        <v>0</v>
      </c>
      <c r="GF89" s="47" t="n">
        <v>0</v>
      </c>
      <c r="GG89" s="47" t="n">
        <v>0</v>
      </c>
      <c r="GH89" s="47" t="n">
        <v>0</v>
      </c>
      <c r="GI89" s="47" t="n">
        <v>1375</v>
      </c>
      <c r="GJ89" s="47" t="n">
        <v>1375</v>
      </c>
      <c r="GK89" s="47" t="n">
        <v>1375</v>
      </c>
      <c r="GL89" s="47" t="n">
        <v>1375</v>
      </c>
      <c r="GM89" s="47" t="n">
        <v>1375</v>
      </c>
      <c r="GN89" s="47" t="n">
        <v>1375</v>
      </c>
      <c r="GO89" s="47" t="n">
        <v>1375</v>
      </c>
      <c r="GP89" s="47" t="n">
        <v>1375</v>
      </c>
      <c r="GQ89" s="47" t="n">
        <v>1787.5</v>
      </c>
      <c r="GR89" s="47" t="n">
        <v>1787.5</v>
      </c>
      <c r="GS89" s="47" t="n">
        <v>1787.5</v>
      </c>
      <c r="GT89" s="47" t="n">
        <v>1787.5</v>
      </c>
      <c r="GU89" s="47" t="n">
        <v>1787.5</v>
      </c>
      <c r="GV89" s="47" t="n">
        <v>1787.5</v>
      </c>
      <c r="GW89" s="47" t="n">
        <v>1787.5</v>
      </c>
      <c r="GX89" s="47" t="n">
        <v>1787.5</v>
      </c>
      <c r="GY89" s="47" t="n">
        <v>1787.5</v>
      </c>
      <c r="GZ89" s="47" t="n">
        <v>1787.5</v>
      </c>
      <c r="HA89" s="47" t="n">
        <v>1787.5</v>
      </c>
      <c r="HB89" s="47" t="n">
        <v>1787.5</v>
      </c>
      <c r="HC89" s="47" t="n">
        <v>1787.5</v>
      </c>
      <c r="HD89" s="47" t="n">
        <v>1787.5</v>
      </c>
      <c r="HE89" s="47" t="n">
        <v>1787.5</v>
      </c>
      <c r="HF89" s="47" t="n">
        <v>1787.5</v>
      </c>
      <c r="HG89" s="47" t="n">
        <v>137.5</v>
      </c>
      <c r="HH89" s="47" t="n">
        <v>137.5</v>
      </c>
      <c r="HI89" s="48" t="n">
        <v>137.5</v>
      </c>
      <c r="HJ89" s="47" t="n">
        <v>137.5</v>
      </c>
      <c r="HK89" s="47" t="n">
        <v>137.5</v>
      </c>
      <c r="HL89" s="47" t="n">
        <v>137.5</v>
      </c>
      <c r="HM89" s="47" t="n">
        <v>137.5</v>
      </c>
      <c r="HN89" s="47" t="n">
        <v>137.5</v>
      </c>
      <c r="HO89" s="47" t="n">
        <v>137.5</v>
      </c>
      <c r="HP89" s="47" t="n">
        <v>137.5</v>
      </c>
      <c r="HQ89" s="47" t="n">
        <v>137.5</v>
      </c>
      <c r="HS89" s="47" t="n">
        <v>0</v>
      </c>
      <c r="HT89" s="47" t="n">
        <v>0</v>
      </c>
      <c r="HU89" s="47" t="n">
        <v>0</v>
      </c>
      <c r="HV89" s="47" t="n">
        <v>0</v>
      </c>
      <c r="HW89" s="47" t="n">
        <v>0</v>
      </c>
      <c r="HX89" s="47" t="n">
        <v>0</v>
      </c>
      <c r="HY89" s="47" t="n">
        <v>0</v>
      </c>
      <c r="HZ89" s="47" t="n">
        <v>0</v>
      </c>
      <c r="IA89" s="47" t="n">
        <v>0</v>
      </c>
      <c r="IB89" s="47" t="n">
        <v>0</v>
      </c>
      <c r="IC89" s="47" t="n">
        <v>0</v>
      </c>
      <c r="ID89" s="47" t="n">
        <v>0</v>
      </c>
      <c r="IE89" s="47" t="n">
        <v>0</v>
      </c>
      <c r="IF89" s="47" t="n">
        <v>0</v>
      </c>
      <c r="IG89" s="47" t="n">
        <v>0</v>
      </c>
      <c r="IH89" s="47" t="n">
        <v>0</v>
      </c>
      <c r="II89" s="47" t="n">
        <v>0</v>
      </c>
      <c r="IJ89" s="47" t="n">
        <v>0</v>
      </c>
      <c r="IK89" s="47" t="n">
        <v>0</v>
      </c>
      <c r="IL89" s="47" t="n">
        <v>0</v>
      </c>
      <c r="IM89" s="47" t="n">
        <v>0</v>
      </c>
      <c r="IN89" s="47" t="n">
        <v>0</v>
      </c>
      <c r="IO89" s="47" t="n">
        <v>0</v>
      </c>
      <c r="IP89" s="47" t="n">
        <v>0</v>
      </c>
      <c r="IQ89" s="47" t="n">
        <v>0</v>
      </c>
      <c r="IR89" s="47" t="n">
        <v>0</v>
      </c>
      <c r="IS89" s="47" t="n">
        <v>0</v>
      </c>
      <c r="IT89" s="47" t="n">
        <v>0</v>
      </c>
      <c r="IU89" s="47" t="n">
        <v>0</v>
      </c>
      <c r="IV89" s="47" t="n">
        <v>0</v>
      </c>
      <c r="IW89" s="47" t="n">
        <v>0</v>
      </c>
      <c r="IX89" s="47" t="n">
        <v>0</v>
      </c>
      <c r="IY89" s="47" t="n">
        <v>0</v>
      </c>
      <c r="IZ89" s="47" t="n">
        <v>0</v>
      </c>
      <c r="JA89" s="47" t="n">
        <v>0</v>
      </c>
      <c r="JB89" s="47" t="n">
        <v>0</v>
      </c>
      <c r="JC89" s="47" t="n">
        <v>0</v>
      </c>
      <c r="JD89" s="47" t="n">
        <v>1375</v>
      </c>
      <c r="JE89" s="47" t="n">
        <v>1375</v>
      </c>
      <c r="JF89" s="47" t="n">
        <v>1375</v>
      </c>
      <c r="JG89" s="47" t="n">
        <v>1375</v>
      </c>
      <c r="JH89" s="47" t="n">
        <v>1375</v>
      </c>
      <c r="JI89" s="47" t="n">
        <v>1375</v>
      </c>
      <c r="JJ89" s="47" t="n">
        <v>1375</v>
      </c>
      <c r="JK89" s="47" t="n">
        <v>1375</v>
      </c>
      <c r="JL89" s="47" t="n">
        <v>1787.5</v>
      </c>
      <c r="JM89" s="47" t="n">
        <v>1787.5</v>
      </c>
      <c r="JN89" s="47" t="n">
        <v>1787.5</v>
      </c>
      <c r="JO89" s="47" t="n">
        <v>1787.5</v>
      </c>
      <c r="JP89" s="47" t="n">
        <v>1787.5</v>
      </c>
      <c r="JQ89" s="47" t="n">
        <v>1787.5</v>
      </c>
      <c r="JR89" s="47" t="n">
        <v>1787.5</v>
      </c>
      <c r="JS89" s="47" t="n">
        <v>1787.5</v>
      </c>
      <c r="JT89" s="47" t="n">
        <v>1787.5</v>
      </c>
      <c r="JU89" s="47" t="n">
        <v>1787.5</v>
      </c>
      <c r="JV89" s="47" t="n">
        <v>1787.5</v>
      </c>
      <c r="JW89" s="47" t="n">
        <v>1787.5</v>
      </c>
      <c r="JX89" s="47" t="n">
        <v>1787.5</v>
      </c>
      <c r="JY89" s="47" t="n">
        <v>1787.5</v>
      </c>
      <c r="JZ89" s="47" t="n">
        <v>1787.5</v>
      </c>
      <c r="KA89" s="47" t="n">
        <v>1787.5</v>
      </c>
      <c r="KB89" s="47" t="n">
        <v>137.5</v>
      </c>
      <c r="KC89" s="47" t="n">
        <v>137.5</v>
      </c>
      <c r="KD89" s="48" t="n">
        <v>137.5</v>
      </c>
      <c r="KE89" s="47" t="n">
        <v>137.5</v>
      </c>
      <c r="KF89" s="47" t="n">
        <v>137.5</v>
      </c>
      <c r="KG89" s="47" t="n">
        <v>137.5</v>
      </c>
      <c r="KH89" s="47" t="n">
        <v>137.5</v>
      </c>
      <c r="KI89" s="47" t="n">
        <v>137.5</v>
      </c>
      <c r="KJ89" s="47" t="n">
        <v>137.5</v>
      </c>
      <c r="KK89" s="47" t="n">
        <v>137.5</v>
      </c>
      <c r="KL89" s="47" t="n">
        <v>137.5</v>
      </c>
    </row>
    <row r="90" customFormat="false" ht="15.75" hidden="false" customHeight="true" outlineLevel="0" collapsed="false">
      <c r="A90" s="35" t="s">
        <v>348</v>
      </c>
      <c r="B90" s="35" t="s">
        <v>349</v>
      </c>
      <c r="C90" s="35" t="s">
        <v>164</v>
      </c>
      <c r="D90" s="35" t="s">
        <v>191</v>
      </c>
      <c r="E90" s="35" t="s">
        <v>166</v>
      </c>
      <c r="G90" s="44" t="n">
        <v>583.333333333333</v>
      </c>
      <c r="H90" s="44" t="n">
        <v>583.333333333333</v>
      </c>
      <c r="I90" s="44" t="n">
        <v>291.666666666667</v>
      </c>
      <c r="J90" s="44" t="n">
        <v>291.666666666667</v>
      </c>
      <c r="K90" s="44" t="n">
        <v>291.666666666667</v>
      </c>
      <c r="L90" s="44" t="n">
        <v>291.666666666667</v>
      </c>
      <c r="M90" s="44" t="n">
        <v>291.666666666667</v>
      </c>
      <c r="N90" s="44" t="n">
        <v>291.666666666667</v>
      </c>
      <c r="O90" s="44" t="n">
        <v>291.666666666667</v>
      </c>
      <c r="P90" s="44" t="n">
        <v>291.666666666667</v>
      </c>
      <c r="Q90" s="44" t="n">
        <v>291.666666666667</v>
      </c>
      <c r="R90" s="44" t="n">
        <v>291.666666666667</v>
      </c>
      <c r="S90" s="44" t="n">
        <v>291.666666666667</v>
      </c>
      <c r="T90" s="44" t="n">
        <v>291.666666666667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  <c r="AL90" s="44" t="n">
        <v>0</v>
      </c>
      <c r="AM90" s="44" t="n">
        <v>0</v>
      </c>
      <c r="AN90" s="44" t="n">
        <v>0</v>
      </c>
      <c r="AO90" s="44" t="n">
        <v>0</v>
      </c>
      <c r="AP90" s="44" t="n">
        <v>0</v>
      </c>
      <c r="BS90" s="46" t="n">
        <v>0</v>
      </c>
      <c r="BT90" s="46" t="n">
        <v>0</v>
      </c>
      <c r="BU90" s="46" t="n">
        <v>0</v>
      </c>
      <c r="BV90" s="46" t="n">
        <v>0</v>
      </c>
      <c r="BW90" s="46" t="n">
        <v>0</v>
      </c>
      <c r="BX90" s="46" t="n">
        <v>0</v>
      </c>
      <c r="BY90" s="46" t="n">
        <v>0</v>
      </c>
      <c r="BZ90" s="46" t="n">
        <v>0</v>
      </c>
      <c r="EX90" s="47" t="n">
        <v>583.333333333333</v>
      </c>
      <c r="EY90" s="47" t="n">
        <v>583.333333333333</v>
      </c>
      <c r="EZ90" s="47" t="n">
        <v>291.666666666667</v>
      </c>
      <c r="FA90" s="47" t="n">
        <v>291.666666666667</v>
      </c>
      <c r="FB90" s="47" t="n">
        <v>291.666666666667</v>
      </c>
      <c r="FC90" s="47" t="n">
        <v>291.666666666667</v>
      </c>
      <c r="FD90" s="47" t="n">
        <v>291.666666666667</v>
      </c>
      <c r="FE90" s="47" t="n">
        <v>291.666666666667</v>
      </c>
      <c r="FF90" s="47" t="n">
        <v>291.666666666667</v>
      </c>
      <c r="FG90" s="47" t="n">
        <v>291.666666666667</v>
      </c>
      <c r="FH90" s="47" t="n">
        <v>291.666666666667</v>
      </c>
      <c r="FI90" s="47" t="n">
        <v>291.666666666667</v>
      </c>
      <c r="FJ90" s="47" t="n">
        <v>291.666666666667</v>
      </c>
      <c r="FK90" s="47" t="n">
        <v>291.666666666667</v>
      </c>
      <c r="FL90" s="47" t="n">
        <v>0</v>
      </c>
      <c r="FM90" s="47" t="n">
        <v>0</v>
      </c>
      <c r="FN90" s="47" t="n">
        <v>0</v>
      </c>
      <c r="FO90" s="47" t="n">
        <v>0</v>
      </c>
      <c r="FP90" s="47" t="n">
        <v>0</v>
      </c>
      <c r="FQ90" s="47" t="n">
        <v>0</v>
      </c>
      <c r="FR90" s="47" t="n">
        <v>0</v>
      </c>
      <c r="FS90" s="47" t="n">
        <v>0</v>
      </c>
      <c r="FT90" s="47" t="n">
        <v>0</v>
      </c>
      <c r="FU90" s="47" t="n">
        <v>0</v>
      </c>
      <c r="FV90" s="47" t="n">
        <v>0</v>
      </c>
      <c r="FW90" s="47" t="n">
        <v>0</v>
      </c>
      <c r="FX90" s="47" t="n">
        <v>0</v>
      </c>
      <c r="FY90" s="47" t="n">
        <v>0</v>
      </c>
      <c r="FZ90" s="47" t="n">
        <v>0</v>
      </c>
      <c r="GA90" s="47" t="n">
        <v>0</v>
      </c>
      <c r="GB90" s="47" t="n">
        <v>0</v>
      </c>
      <c r="GC90" s="47" t="n">
        <v>0</v>
      </c>
      <c r="GD90" s="47" t="n">
        <v>0</v>
      </c>
      <c r="GE90" s="47" t="n">
        <v>0</v>
      </c>
      <c r="GF90" s="47" t="n">
        <v>0</v>
      </c>
      <c r="GG90" s="47" t="n">
        <v>0</v>
      </c>
      <c r="GH90" s="47" t="n">
        <v>0</v>
      </c>
      <c r="GI90" s="47" t="n">
        <v>0</v>
      </c>
      <c r="GJ90" s="47" t="n">
        <v>0</v>
      </c>
      <c r="GK90" s="47" t="n">
        <v>0</v>
      </c>
      <c r="GL90" s="47" t="n">
        <v>0</v>
      </c>
      <c r="GM90" s="47" t="n">
        <v>0</v>
      </c>
      <c r="GN90" s="47" t="n">
        <v>0</v>
      </c>
      <c r="GO90" s="47" t="n">
        <v>0</v>
      </c>
      <c r="GP90" s="47" t="n">
        <v>0</v>
      </c>
      <c r="GQ90" s="47" t="n">
        <v>0</v>
      </c>
      <c r="GR90" s="47" t="n">
        <v>0</v>
      </c>
      <c r="GS90" s="47" t="n">
        <v>0</v>
      </c>
      <c r="GT90" s="47" t="n">
        <v>0</v>
      </c>
      <c r="GU90" s="47" t="n">
        <v>0</v>
      </c>
      <c r="GV90" s="47" t="n">
        <v>0</v>
      </c>
      <c r="GW90" s="47" t="n">
        <v>0</v>
      </c>
      <c r="GX90" s="47" t="n">
        <v>0</v>
      </c>
      <c r="GY90" s="47" t="n">
        <v>0</v>
      </c>
      <c r="GZ90" s="47" t="n">
        <v>0</v>
      </c>
      <c r="HA90" s="47" t="n">
        <v>0</v>
      </c>
      <c r="HB90" s="47" t="n">
        <v>0</v>
      </c>
      <c r="HC90" s="47" t="n">
        <v>0</v>
      </c>
      <c r="HD90" s="47" t="n">
        <v>0</v>
      </c>
      <c r="HE90" s="47" t="n">
        <v>0</v>
      </c>
      <c r="HF90" s="47" t="n">
        <v>0</v>
      </c>
      <c r="HG90" s="47" t="n">
        <v>0</v>
      </c>
      <c r="HH90" s="47" t="n">
        <v>0</v>
      </c>
      <c r="HI90" s="48" t="n">
        <v>0</v>
      </c>
      <c r="HJ90" s="47" t="n">
        <v>0</v>
      </c>
      <c r="HK90" s="47" t="n">
        <v>0</v>
      </c>
      <c r="HL90" s="47" t="n">
        <v>0</v>
      </c>
      <c r="HM90" s="47" t="n">
        <v>0</v>
      </c>
      <c r="HN90" s="47" t="n">
        <v>0</v>
      </c>
      <c r="HO90" s="47" t="n">
        <v>0</v>
      </c>
      <c r="HP90" s="47" t="n">
        <v>0</v>
      </c>
      <c r="HQ90" s="47" t="n">
        <v>0</v>
      </c>
      <c r="HS90" s="47" t="n">
        <v>583.333333333333</v>
      </c>
      <c r="HT90" s="47" t="n">
        <v>583.333333333333</v>
      </c>
      <c r="HU90" s="47" t="n">
        <v>291.666666666667</v>
      </c>
      <c r="HV90" s="47" t="n">
        <v>291.666666666667</v>
      </c>
      <c r="HW90" s="47" t="n">
        <v>291.666666666667</v>
      </c>
      <c r="HX90" s="47" t="n">
        <v>291.666666666667</v>
      </c>
      <c r="HY90" s="47" t="n">
        <v>291.666666666667</v>
      </c>
      <c r="HZ90" s="47" t="n">
        <v>291.666666666667</v>
      </c>
      <c r="IA90" s="47" t="n">
        <v>291.666666666667</v>
      </c>
      <c r="IB90" s="47" t="n">
        <v>291.666666666667</v>
      </c>
      <c r="IC90" s="47" t="n">
        <v>291.666666666667</v>
      </c>
      <c r="ID90" s="47" t="n">
        <v>291.666666666667</v>
      </c>
      <c r="IE90" s="47" t="n">
        <v>291.666666666667</v>
      </c>
      <c r="IF90" s="47" t="n">
        <v>291.666666666667</v>
      </c>
      <c r="IG90" s="47" t="n">
        <v>0</v>
      </c>
      <c r="IH90" s="47" t="n">
        <v>0</v>
      </c>
      <c r="II90" s="47" t="n">
        <v>0</v>
      </c>
      <c r="IJ90" s="47" t="n">
        <v>0</v>
      </c>
      <c r="IK90" s="47" t="n">
        <v>0</v>
      </c>
      <c r="IL90" s="47" t="n">
        <v>0</v>
      </c>
      <c r="IM90" s="47" t="n">
        <v>0</v>
      </c>
      <c r="IN90" s="47" t="n">
        <v>0</v>
      </c>
      <c r="IO90" s="47" t="n">
        <v>0</v>
      </c>
      <c r="IP90" s="47" t="n">
        <v>0</v>
      </c>
      <c r="IQ90" s="47" t="n">
        <v>0</v>
      </c>
      <c r="IR90" s="47" t="n">
        <v>0</v>
      </c>
      <c r="IS90" s="47" t="n">
        <v>0</v>
      </c>
      <c r="IT90" s="47" t="n">
        <v>0</v>
      </c>
      <c r="IU90" s="47" t="n">
        <v>0</v>
      </c>
      <c r="IV90" s="47" t="n">
        <v>0</v>
      </c>
      <c r="IW90" s="47" t="n">
        <v>0</v>
      </c>
      <c r="IX90" s="47" t="n">
        <v>0</v>
      </c>
      <c r="IY90" s="47" t="n">
        <v>0</v>
      </c>
      <c r="IZ90" s="47" t="n">
        <v>0</v>
      </c>
      <c r="JA90" s="47" t="n">
        <v>0</v>
      </c>
      <c r="JB90" s="47" t="n">
        <v>0</v>
      </c>
      <c r="JC90" s="47" t="n">
        <v>0</v>
      </c>
      <c r="JD90" s="47" t="n">
        <v>0</v>
      </c>
      <c r="JE90" s="47" t="n">
        <v>0</v>
      </c>
      <c r="JF90" s="47" t="n">
        <v>0</v>
      </c>
      <c r="JG90" s="47" t="n">
        <v>0</v>
      </c>
      <c r="JH90" s="47" t="n">
        <v>0</v>
      </c>
      <c r="JI90" s="47" t="n">
        <v>0</v>
      </c>
      <c r="JJ90" s="47" t="n">
        <v>0</v>
      </c>
      <c r="JK90" s="47" t="n">
        <v>0</v>
      </c>
      <c r="JL90" s="47" t="n">
        <v>0</v>
      </c>
      <c r="JM90" s="47" t="n">
        <v>0</v>
      </c>
      <c r="JN90" s="47" t="n">
        <v>0</v>
      </c>
      <c r="JO90" s="47" t="n">
        <v>0</v>
      </c>
      <c r="JP90" s="47" t="n">
        <v>0</v>
      </c>
      <c r="JQ90" s="47" t="n">
        <v>0</v>
      </c>
      <c r="JR90" s="47" t="n">
        <v>0</v>
      </c>
      <c r="JS90" s="47" t="n">
        <v>0</v>
      </c>
      <c r="JT90" s="47" t="n">
        <v>0</v>
      </c>
      <c r="JU90" s="47" t="n">
        <v>0</v>
      </c>
      <c r="JV90" s="47" t="n">
        <v>0</v>
      </c>
      <c r="JW90" s="47" t="n">
        <v>0</v>
      </c>
      <c r="JX90" s="47" t="n">
        <v>0</v>
      </c>
      <c r="JY90" s="47" t="n">
        <v>0</v>
      </c>
      <c r="JZ90" s="47" t="n">
        <v>0</v>
      </c>
      <c r="KA90" s="47" t="n">
        <v>0</v>
      </c>
      <c r="KB90" s="47" t="n">
        <v>0</v>
      </c>
      <c r="KC90" s="47" t="n">
        <v>0</v>
      </c>
      <c r="KD90" s="48" t="n">
        <v>0</v>
      </c>
      <c r="KE90" s="47" t="n">
        <v>0</v>
      </c>
      <c r="KF90" s="47" t="n">
        <v>0</v>
      </c>
      <c r="KG90" s="47" t="n">
        <v>0</v>
      </c>
      <c r="KH90" s="47" t="n">
        <v>0</v>
      </c>
      <c r="KI90" s="47" t="n">
        <v>0</v>
      </c>
      <c r="KJ90" s="47" t="n">
        <v>0</v>
      </c>
      <c r="KK90" s="47" t="n">
        <v>0</v>
      </c>
      <c r="KL90" s="47" t="n">
        <v>0</v>
      </c>
    </row>
    <row r="91" customFormat="false" ht="15.75" hidden="false" customHeight="true" outlineLevel="0" collapsed="false">
      <c r="A91" s="35" t="s">
        <v>350</v>
      </c>
      <c r="B91" s="35" t="s">
        <v>351</v>
      </c>
      <c r="C91" s="35" t="s">
        <v>164</v>
      </c>
      <c r="D91" s="35" t="s">
        <v>215</v>
      </c>
      <c r="E91" s="35" t="s">
        <v>174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  <c r="AL91" s="44" t="n">
        <v>0</v>
      </c>
      <c r="AM91" s="44" t="n">
        <v>0</v>
      </c>
      <c r="AN91" s="44" t="n">
        <v>0</v>
      </c>
      <c r="AO91" s="44" t="n">
        <v>0</v>
      </c>
      <c r="AP91" s="44" t="n">
        <v>0</v>
      </c>
      <c r="AQ91" s="44" t="n">
        <v>0</v>
      </c>
      <c r="AR91" s="44" t="n">
        <v>0</v>
      </c>
      <c r="AS91" s="44" t="n">
        <v>0</v>
      </c>
      <c r="AT91" s="44" t="n">
        <v>0</v>
      </c>
      <c r="AU91" s="44" t="n">
        <v>0</v>
      </c>
      <c r="AV91" s="44" t="n">
        <v>0</v>
      </c>
      <c r="AW91" s="44" t="n">
        <v>0</v>
      </c>
      <c r="AX91" s="44" t="n">
        <v>0</v>
      </c>
      <c r="AY91" s="44" t="n">
        <v>0</v>
      </c>
      <c r="AZ91" s="44" t="n">
        <v>0</v>
      </c>
      <c r="BA91" s="44" t="n">
        <v>0</v>
      </c>
      <c r="BB91" s="44" t="n">
        <v>0</v>
      </c>
      <c r="BC91" s="44" t="n">
        <v>0</v>
      </c>
      <c r="BD91" s="44" t="n">
        <v>825</v>
      </c>
      <c r="BE91" s="44" t="n">
        <v>825</v>
      </c>
      <c r="BF91" s="44" t="n">
        <v>825</v>
      </c>
      <c r="BG91" s="44" t="n">
        <v>825</v>
      </c>
      <c r="BH91" s="44" t="n">
        <v>825</v>
      </c>
      <c r="BI91" s="44" t="n">
        <v>825</v>
      </c>
      <c r="BJ91" s="44" t="n">
        <v>825</v>
      </c>
      <c r="BK91" s="44" t="n">
        <v>825</v>
      </c>
      <c r="BL91" s="44" t="n">
        <v>825</v>
      </c>
      <c r="BM91" s="44" t="n">
        <v>825</v>
      </c>
      <c r="BN91" s="44" t="n">
        <v>825</v>
      </c>
      <c r="BO91" s="44" t="n">
        <v>825</v>
      </c>
      <c r="BP91" s="44" t="n">
        <v>825</v>
      </c>
      <c r="BQ91" s="44" t="n">
        <v>825</v>
      </c>
      <c r="BR91" s="45" t="n">
        <v>825</v>
      </c>
      <c r="BS91" s="46" t="n">
        <v>825</v>
      </c>
      <c r="BT91" s="46" t="n">
        <v>825</v>
      </c>
      <c r="BU91" s="46" t="n">
        <v>825</v>
      </c>
      <c r="BV91" s="46" t="n">
        <v>825</v>
      </c>
      <c r="BW91" s="46" t="n">
        <v>825</v>
      </c>
      <c r="BX91" s="46" t="n">
        <v>825</v>
      </c>
      <c r="BY91" s="46" t="n">
        <v>825</v>
      </c>
      <c r="BZ91" s="46" t="n">
        <v>825</v>
      </c>
      <c r="EX91" s="47" t="n">
        <v>0</v>
      </c>
      <c r="EY91" s="47" t="n">
        <v>0</v>
      </c>
      <c r="EZ91" s="47" t="n">
        <v>0</v>
      </c>
      <c r="FA91" s="47" t="n">
        <v>0</v>
      </c>
      <c r="FB91" s="47" t="n">
        <v>0</v>
      </c>
      <c r="FC91" s="47" t="n">
        <v>0</v>
      </c>
      <c r="FD91" s="47" t="n">
        <v>0</v>
      </c>
      <c r="FE91" s="47" t="n">
        <v>0</v>
      </c>
      <c r="FF91" s="47" t="n">
        <v>0</v>
      </c>
      <c r="FG91" s="47" t="n">
        <v>0</v>
      </c>
      <c r="FH91" s="47" t="n">
        <v>0</v>
      </c>
      <c r="FI91" s="47" t="n">
        <v>0</v>
      </c>
      <c r="FJ91" s="47" t="n">
        <v>0</v>
      </c>
      <c r="FK91" s="47" t="n">
        <v>0</v>
      </c>
      <c r="FL91" s="47" t="n">
        <v>0</v>
      </c>
      <c r="FM91" s="47" t="n">
        <v>0</v>
      </c>
      <c r="FN91" s="47" t="n">
        <v>0</v>
      </c>
      <c r="FO91" s="47" t="n">
        <v>0</v>
      </c>
      <c r="FP91" s="47" t="n">
        <v>0</v>
      </c>
      <c r="FQ91" s="47" t="n">
        <v>0</v>
      </c>
      <c r="FR91" s="47" t="n">
        <v>0</v>
      </c>
      <c r="FS91" s="47" t="n">
        <v>0</v>
      </c>
      <c r="FT91" s="47" t="n">
        <v>0</v>
      </c>
      <c r="FU91" s="47" t="n">
        <v>0</v>
      </c>
      <c r="FV91" s="47" t="n">
        <v>0</v>
      </c>
      <c r="FW91" s="47" t="n">
        <v>0</v>
      </c>
      <c r="FX91" s="47" t="n">
        <v>0</v>
      </c>
      <c r="FY91" s="47" t="n">
        <v>0</v>
      </c>
      <c r="FZ91" s="47" t="n">
        <v>0</v>
      </c>
      <c r="GA91" s="47" t="n">
        <v>0</v>
      </c>
      <c r="GB91" s="47" t="n">
        <v>0</v>
      </c>
      <c r="GC91" s="47" t="n">
        <v>0</v>
      </c>
      <c r="GD91" s="47" t="n">
        <v>0</v>
      </c>
      <c r="GE91" s="47" t="n">
        <v>0</v>
      </c>
      <c r="GF91" s="47" t="n">
        <v>0</v>
      </c>
      <c r="GG91" s="47" t="n">
        <v>0</v>
      </c>
      <c r="GH91" s="47" t="n">
        <v>0</v>
      </c>
      <c r="GI91" s="47" t="n">
        <v>0</v>
      </c>
      <c r="GJ91" s="47" t="n">
        <v>0</v>
      </c>
      <c r="GK91" s="47" t="n">
        <v>0</v>
      </c>
      <c r="GL91" s="47" t="n">
        <v>0</v>
      </c>
      <c r="GM91" s="47" t="n">
        <v>0</v>
      </c>
      <c r="GN91" s="47" t="n">
        <v>0</v>
      </c>
      <c r="GO91" s="47" t="n">
        <v>0</v>
      </c>
      <c r="GP91" s="47" t="n">
        <v>0</v>
      </c>
      <c r="GQ91" s="47" t="n">
        <v>0</v>
      </c>
      <c r="GR91" s="47" t="n">
        <v>0</v>
      </c>
      <c r="GS91" s="47" t="n">
        <v>0</v>
      </c>
      <c r="GT91" s="47" t="n">
        <v>0</v>
      </c>
      <c r="GU91" s="47" t="n">
        <v>825</v>
      </c>
      <c r="GV91" s="47" t="n">
        <v>825</v>
      </c>
      <c r="GW91" s="47" t="n">
        <v>825</v>
      </c>
      <c r="GX91" s="47" t="n">
        <v>825</v>
      </c>
      <c r="GY91" s="47" t="n">
        <v>825</v>
      </c>
      <c r="GZ91" s="47" t="n">
        <v>825</v>
      </c>
      <c r="HA91" s="47" t="n">
        <v>825</v>
      </c>
      <c r="HB91" s="47" t="n">
        <v>825</v>
      </c>
      <c r="HC91" s="47" t="n">
        <v>825</v>
      </c>
      <c r="HD91" s="47" t="n">
        <v>825</v>
      </c>
      <c r="HE91" s="47" t="n">
        <v>825</v>
      </c>
      <c r="HF91" s="47" t="n">
        <v>825</v>
      </c>
      <c r="HG91" s="47" t="n">
        <v>825</v>
      </c>
      <c r="HH91" s="47" t="n">
        <v>825</v>
      </c>
      <c r="HI91" s="48" t="n">
        <v>825</v>
      </c>
      <c r="HJ91" s="47" t="n">
        <v>825</v>
      </c>
      <c r="HK91" s="47" t="n">
        <v>825</v>
      </c>
      <c r="HL91" s="47" t="n">
        <v>825</v>
      </c>
      <c r="HM91" s="47" t="n">
        <v>825</v>
      </c>
      <c r="HN91" s="47" t="n">
        <v>825</v>
      </c>
      <c r="HO91" s="47" t="n">
        <v>825</v>
      </c>
      <c r="HP91" s="47" t="n">
        <v>825</v>
      </c>
      <c r="HQ91" s="47" t="n">
        <v>825</v>
      </c>
      <c r="HS91" s="47" t="n">
        <v>0</v>
      </c>
      <c r="HT91" s="47" t="n">
        <v>0</v>
      </c>
      <c r="HU91" s="47" t="n">
        <v>0</v>
      </c>
      <c r="HV91" s="47" t="n">
        <v>0</v>
      </c>
      <c r="HW91" s="47" t="n">
        <v>0</v>
      </c>
      <c r="HX91" s="47" t="n">
        <v>0</v>
      </c>
      <c r="HY91" s="47" t="n">
        <v>0</v>
      </c>
      <c r="HZ91" s="47" t="n">
        <v>0</v>
      </c>
      <c r="IA91" s="47" t="n">
        <v>0</v>
      </c>
      <c r="IB91" s="47" t="n">
        <v>0</v>
      </c>
      <c r="IC91" s="47" t="n">
        <v>0</v>
      </c>
      <c r="ID91" s="47" t="n">
        <v>0</v>
      </c>
      <c r="IE91" s="47" t="n">
        <v>0</v>
      </c>
      <c r="IF91" s="47" t="n">
        <v>0</v>
      </c>
      <c r="IG91" s="47" t="n">
        <v>0</v>
      </c>
      <c r="IH91" s="47" t="n">
        <v>0</v>
      </c>
      <c r="II91" s="47" t="n">
        <v>0</v>
      </c>
      <c r="IJ91" s="47" t="n">
        <v>0</v>
      </c>
      <c r="IK91" s="47" t="n">
        <v>0</v>
      </c>
      <c r="IL91" s="47" t="n">
        <v>0</v>
      </c>
      <c r="IM91" s="47" t="n">
        <v>0</v>
      </c>
      <c r="IN91" s="47" t="n">
        <v>0</v>
      </c>
      <c r="IO91" s="47" t="n">
        <v>0</v>
      </c>
      <c r="IP91" s="47" t="n">
        <v>0</v>
      </c>
      <c r="IQ91" s="47" t="n">
        <v>0</v>
      </c>
      <c r="IR91" s="47" t="n">
        <v>0</v>
      </c>
      <c r="IS91" s="47" t="n">
        <v>0</v>
      </c>
      <c r="IT91" s="47" t="n">
        <v>0</v>
      </c>
      <c r="IU91" s="47" t="n">
        <v>0</v>
      </c>
      <c r="IV91" s="47" t="n">
        <v>0</v>
      </c>
      <c r="IW91" s="47" t="n">
        <v>0</v>
      </c>
      <c r="IX91" s="47" t="n">
        <v>0</v>
      </c>
      <c r="IY91" s="47" t="n">
        <v>0</v>
      </c>
      <c r="IZ91" s="47" t="n">
        <v>0</v>
      </c>
      <c r="JA91" s="47" t="n">
        <v>0</v>
      </c>
      <c r="JB91" s="47" t="n">
        <v>0</v>
      </c>
      <c r="JC91" s="47" t="n">
        <v>0</v>
      </c>
      <c r="JD91" s="47" t="n">
        <v>0</v>
      </c>
      <c r="JE91" s="47" t="n">
        <v>0</v>
      </c>
      <c r="JF91" s="47" t="n">
        <v>0</v>
      </c>
      <c r="JG91" s="47" t="n">
        <v>0</v>
      </c>
      <c r="JH91" s="47" t="n">
        <v>0</v>
      </c>
      <c r="JI91" s="47" t="n">
        <v>0</v>
      </c>
      <c r="JJ91" s="47" t="n">
        <v>0</v>
      </c>
      <c r="JK91" s="47" t="n">
        <v>0</v>
      </c>
      <c r="JL91" s="47" t="n">
        <v>0</v>
      </c>
      <c r="JM91" s="47" t="n">
        <v>0</v>
      </c>
      <c r="JN91" s="47" t="n">
        <v>0</v>
      </c>
      <c r="JO91" s="47" t="n">
        <v>0</v>
      </c>
      <c r="JP91" s="47" t="n">
        <v>825</v>
      </c>
      <c r="JQ91" s="47" t="n">
        <v>825</v>
      </c>
      <c r="JR91" s="47" t="n">
        <v>825</v>
      </c>
      <c r="JS91" s="47" t="n">
        <v>825</v>
      </c>
      <c r="JT91" s="47" t="n">
        <v>825</v>
      </c>
      <c r="JU91" s="47" t="n">
        <v>825</v>
      </c>
      <c r="JV91" s="47" t="n">
        <v>825</v>
      </c>
      <c r="JW91" s="47" t="n">
        <v>825</v>
      </c>
      <c r="JX91" s="47" t="n">
        <v>825</v>
      </c>
      <c r="JY91" s="47" t="n">
        <v>825</v>
      </c>
      <c r="JZ91" s="47" t="n">
        <v>825</v>
      </c>
      <c r="KA91" s="47" t="n">
        <v>825</v>
      </c>
      <c r="KB91" s="47" t="n">
        <v>825</v>
      </c>
      <c r="KC91" s="47" t="n">
        <v>825</v>
      </c>
      <c r="KD91" s="48" t="n">
        <v>825</v>
      </c>
      <c r="KE91" s="47" t="n">
        <v>825</v>
      </c>
      <c r="KF91" s="47" t="n">
        <v>825</v>
      </c>
      <c r="KG91" s="47" t="n">
        <v>825</v>
      </c>
      <c r="KH91" s="47" t="n">
        <v>825</v>
      </c>
      <c r="KI91" s="47" t="n">
        <v>825</v>
      </c>
      <c r="KJ91" s="47" t="n">
        <v>825</v>
      </c>
      <c r="KK91" s="47" t="n">
        <v>825</v>
      </c>
      <c r="KL91" s="47" t="n">
        <v>825</v>
      </c>
    </row>
    <row r="92" customFormat="false" ht="15.75" hidden="false" customHeight="true" outlineLevel="0" collapsed="false">
      <c r="A92" s="35" t="s">
        <v>352</v>
      </c>
      <c r="B92" s="35" t="s">
        <v>353</v>
      </c>
      <c r="C92" s="35" t="s">
        <v>164</v>
      </c>
      <c r="D92" s="35" t="s">
        <v>173</v>
      </c>
      <c r="E92" s="35" t="s">
        <v>174</v>
      </c>
      <c r="G92" s="44" t="n">
        <v>0</v>
      </c>
      <c r="H92" s="44" t="n">
        <v>0</v>
      </c>
      <c r="I92" s="44" t="n">
        <v>0</v>
      </c>
      <c r="J92" s="44" t="n">
        <v>0</v>
      </c>
      <c r="K92" s="44" t="n">
        <v>0</v>
      </c>
      <c r="L92" s="44" t="n">
        <v>0</v>
      </c>
      <c r="M92" s="44" t="n">
        <v>0</v>
      </c>
      <c r="N92" s="44" t="n">
        <v>0</v>
      </c>
      <c r="O92" s="44" t="n">
        <v>0</v>
      </c>
      <c r="P92" s="44" t="n">
        <v>0</v>
      </c>
      <c r="Q92" s="44" t="n">
        <v>0</v>
      </c>
      <c r="R92" s="44" t="n">
        <v>0</v>
      </c>
      <c r="S92" s="44" t="n">
        <v>0</v>
      </c>
      <c r="T92" s="44" t="n">
        <v>0</v>
      </c>
      <c r="U92" s="44" t="n">
        <v>0</v>
      </c>
      <c r="V92" s="44" t="n">
        <v>0</v>
      </c>
      <c r="W92" s="44" t="n">
        <v>0</v>
      </c>
      <c r="X92" s="44" t="n">
        <v>2356.25</v>
      </c>
      <c r="Y92" s="44" t="n">
        <v>2356.25</v>
      </c>
      <c r="Z92" s="44" t="n">
        <v>2356.25</v>
      </c>
      <c r="AA92" s="44" t="n">
        <v>8897.45</v>
      </c>
      <c r="AB92" s="44" t="n">
        <v>8897.45</v>
      </c>
      <c r="AC92" s="44" t="n">
        <v>8897.45</v>
      </c>
      <c r="AD92" s="44" t="n">
        <v>8897.45</v>
      </c>
      <c r="AE92" s="44" t="n">
        <v>15618.7552486188</v>
      </c>
      <c r="AF92" s="44" t="n">
        <v>15618.7552486188</v>
      </c>
      <c r="AG92" s="44" t="n">
        <v>15618.7552486188</v>
      </c>
      <c r="AH92" s="44" t="n">
        <v>15618.7552486188</v>
      </c>
      <c r="AI92" s="44" t="n">
        <v>15618.7552486188</v>
      </c>
      <c r="AJ92" s="44" t="n">
        <v>8896.875</v>
      </c>
      <c r="AK92" s="44" t="n">
        <v>9750.075</v>
      </c>
      <c r="AL92" s="44" t="n">
        <v>9750.075</v>
      </c>
      <c r="AM92" s="44" t="n">
        <v>9750.075</v>
      </c>
      <c r="AN92" s="44" t="n">
        <v>9750.075</v>
      </c>
      <c r="AO92" s="44" t="n">
        <v>9750.075</v>
      </c>
      <c r="AP92" s="44" t="n">
        <v>10091.355</v>
      </c>
      <c r="AQ92" s="44" t="n">
        <v>10660.155</v>
      </c>
      <c r="AR92" s="44" t="n">
        <v>10660.155</v>
      </c>
      <c r="AS92" s="44" t="n">
        <v>10660.155</v>
      </c>
      <c r="AT92" s="44" t="n">
        <v>10660.155</v>
      </c>
      <c r="AU92" s="44" t="n">
        <v>10660.155</v>
      </c>
      <c r="AV92" s="44" t="n">
        <v>14830</v>
      </c>
      <c r="AW92" s="44" t="n">
        <v>14830</v>
      </c>
      <c r="AX92" s="44" t="n">
        <v>14830</v>
      </c>
      <c r="AY92" s="44" t="n">
        <v>14830</v>
      </c>
      <c r="AZ92" s="44" t="n">
        <v>14830</v>
      </c>
      <c r="BA92" s="44" t="n">
        <v>14830</v>
      </c>
      <c r="BB92" s="44" t="n">
        <v>14830</v>
      </c>
      <c r="BC92" s="44" t="n">
        <v>14830</v>
      </c>
      <c r="BD92" s="44" t="n">
        <v>14830</v>
      </c>
      <c r="BE92" s="44" t="n">
        <v>14830</v>
      </c>
      <c r="BF92" s="44" t="n">
        <v>14830</v>
      </c>
      <c r="BG92" s="44" t="n">
        <v>14830</v>
      </c>
      <c r="BH92" s="44" t="n">
        <v>14764.6666666667</v>
      </c>
      <c r="BI92" s="44" t="n">
        <v>14764.6666666667</v>
      </c>
      <c r="BJ92" s="44" t="n">
        <v>14764.6666666667</v>
      </c>
      <c r="BK92" s="44" t="n">
        <v>14764.6666666667</v>
      </c>
      <c r="BL92" s="44" t="n">
        <v>14764.6666666667</v>
      </c>
      <c r="BM92" s="44" t="n">
        <v>14764.6666666667</v>
      </c>
      <c r="BN92" s="44" t="n">
        <v>14764.6666666667</v>
      </c>
      <c r="BO92" s="44" t="n">
        <v>14764.6666666667</v>
      </c>
      <c r="BP92" s="44" t="n">
        <v>14764.6666666667</v>
      </c>
      <c r="BQ92" s="44" t="n">
        <v>14764.6666666667</v>
      </c>
      <c r="BR92" s="45" t="n">
        <v>14764.6666666667</v>
      </c>
      <c r="BS92" s="46" t="n">
        <v>14764.6666666667</v>
      </c>
      <c r="BT92" s="46" t="n">
        <v>14764.6666666667</v>
      </c>
      <c r="BU92" s="46" t="n">
        <v>14764.6666666667</v>
      </c>
      <c r="BV92" s="46" t="n">
        <v>14764.6666666667</v>
      </c>
      <c r="BW92" s="46" t="n">
        <v>14764.6666666667</v>
      </c>
      <c r="BX92" s="46" t="n">
        <v>14764.6666666667</v>
      </c>
      <c r="BY92" s="46" t="n">
        <v>14764.6666666667</v>
      </c>
      <c r="BZ92" s="46" t="n">
        <v>14764.6666666667</v>
      </c>
      <c r="EX92" s="47" t="n">
        <v>0</v>
      </c>
      <c r="EY92" s="47" t="n">
        <v>0</v>
      </c>
      <c r="EZ92" s="47" t="n">
        <v>0</v>
      </c>
      <c r="FA92" s="47" t="n">
        <v>0</v>
      </c>
      <c r="FB92" s="47" t="n">
        <v>0</v>
      </c>
      <c r="FC92" s="47" t="n">
        <v>0</v>
      </c>
      <c r="FD92" s="47" t="n">
        <v>0</v>
      </c>
      <c r="FE92" s="47" t="n">
        <v>0</v>
      </c>
      <c r="FF92" s="47" t="n">
        <v>0</v>
      </c>
      <c r="FG92" s="47" t="n">
        <v>0</v>
      </c>
      <c r="FH92" s="47" t="n">
        <v>0</v>
      </c>
      <c r="FI92" s="47" t="n">
        <v>0</v>
      </c>
      <c r="FJ92" s="47" t="n">
        <v>0</v>
      </c>
      <c r="FK92" s="47" t="n">
        <v>0</v>
      </c>
      <c r="FL92" s="47" t="n">
        <v>0</v>
      </c>
      <c r="FM92" s="47" t="n">
        <v>0</v>
      </c>
      <c r="FN92" s="47" t="n">
        <v>0</v>
      </c>
      <c r="FO92" s="47" t="n">
        <v>2356.25</v>
      </c>
      <c r="FP92" s="47" t="n">
        <v>2356.25</v>
      </c>
      <c r="FQ92" s="47" t="n">
        <v>2356.25</v>
      </c>
      <c r="FR92" s="47" t="n">
        <v>8897.45</v>
      </c>
      <c r="FS92" s="47" t="n">
        <v>8897.45</v>
      </c>
      <c r="FT92" s="47" t="n">
        <v>8897.45</v>
      </c>
      <c r="FU92" s="47" t="n">
        <v>8897.45</v>
      </c>
      <c r="FV92" s="47" t="n">
        <v>15618.7552486188</v>
      </c>
      <c r="FW92" s="47" t="n">
        <v>15618.7552486188</v>
      </c>
      <c r="FX92" s="47" t="n">
        <v>15618.7552486188</v>
      </c>
      <c r="FY92" s="47" t="n">
        <v>15618.7552486188</v>
      </c>
      <c r="FZ92" s="47" t="n">
        <v>15618.7552486188</v>
      </c>
      <c r="GA92" s="47" t="n">
        <v>8896.875</v>
      </c>
      <c r="GB92" s="47" t="n">
        <v>9750.075</v>
      </c>
      <c r="GC92" s="47" t="n">
        <v>9750.075</v>
      </c>
      <c r="GD92" s="47" t="n">
        <v>9750.075</v>
      </c>
      <c r="GE92" s="47" t="n">
        <v>9750.075</v>
      </c>
      <c r="GF92" s="47" t="n">
        <v>9750.075</v>
      </c>
      <c r="GG92" s="47" t="n">
        <v>10091.355</v>
      </c>
      <c r="GH92" s="47" t="n">
        <v>10660.155</v>
      </c>
      <c r="GI92" s="47" t="n">
        <v>10660.155</v>
      </c>
      <c r="GJ92" s="47" t="n">
        <v>10660.155</v>
      </c>
      <c r="GK92" s="47" t="n">
        <v>10660.155</v>
      </c>
      <c r="GL92" s="47" t="n">
        <v>10660.155</v>
      </c>
      <c r="GM92" s="47" t="n">
        <v>14830</v>
      </c>
      <c r="GN92" s="47" t="n">
        <v>14830</v>
      </c>
      <c r="GO92" s="47" t="n">
        <v>14830</v>
      </c>
      <c r="GP92" s="47" t="n">
        <v>14830</v>
      </c>
      <c r="GQ92" s="47" t="n">
        <v>14830</v>
      </c>
      <c r="GR92" s="47" t="n">
        <v>14830</v>
      </c>
      <c r="GS92" s="47" t="n">
        <v>14830</v>
      </c>
      <c r="GT92" s="47" t="n">
        <v>14830</v>
      </c>
      <c r="GU92" s="47" t="n">
        <v>14830</v>
      </c>
      <c r="GV92" s="47" t="n">
        <v>14830</v>
      </c>
      <c r="GW92" s="47" t="n">
        <v>14830</v>
      </c>
      <c r="GX92" s="47" t="n">
        <v>14830</v>
      </c>
      <c r="GY92" s="47" t="n">
        <v>14764.6666666667</v>
      </c>
      <c r="GZ92" s="47" t="n">
        <v>14764.6666666667</v>
      </c>
      <c r="HA92" s="47" t="n">
        <v>14764.6666666667</v>
      </c>
      <c r="HB92" s="47" t="n">
        <v>14764.6666666667</v>
      </c>
      <c r="HC92" s="47" t="n">
        <v>14764.6666666667</v>
      </c>
      <c r="HD92" s="47" t="n">
        <v>14764.6666666667</v>
      </c>
      <c r="HE92" s="47" t="n">
        <v>14764.6666666667</v>
      </c>
      <c r="HF92" s="47" t="n">
        <v>14764.6666666667</v>
      </c>
      <c r="HG92" s="47" t="n">
        <v>14764.6666666667</v>
      </c>
      <c r="HH92" s="47" t="n">
        <v>14764.6666666667</v>
      </c>
      <c r="HI92" s="48" t="n">
        <v>14764.6666666667</v>
      </c>
      <c r="HJ92" s="47" t="n">
        <v>14764.6666666667</v>
      </c>
      <c r="HK92" s="47" t="n">
        <v>14764.6666666667</v>
      </c>
      <c r="HL92" s="47" t="n">
        <v>14764.6666666667</v>
      </c>
      <c r="HM92" s="47" t="n">
        <v>14764.6666666667</v>
      </c>
      <c r="HN92" s="47" t="n">
        <v>14764.6666666667</v>
      </c>
      <c r="HO92" s="47" t="n">
        <v>14764.6666666667</v>
      </c>
      <c r="HP92" s="47" t="n">
        <v>14764.6666666667</v>
      </c>
      <c r="HQ92" s="47" t="n">
        <v>14764.6666666667</v>
      </c>
      <c r="HS92" s="47" t="n">
        <v>0</v>
      </c>
      <c r="HT92" s="47" t="n">
        <v>0</v>
      </c>
      <c r="HU92" s="47" t="n">
        <v>0</v>
      </c>
      <c r="HV92" s="47" t="n">
        <v>0</v>
      </c>
      <c r="HW92" s="47" t="n">
        <v>0</v>
      </c>
      <c r="HX92" s="47" t="n">
        <v>0</v>
      </c>
      <c r="HY92" s="47" t="n">
        <v>0</v>
      </c>
      <c r="HZ92" s="47" t="n">
        <v>0</v>
      </c>
      <c r="IA92" s="47" t="n">
        <v>0</v>
      </c>
      <c r="IB92" s="47" t="n">
        <v>0</v>
      </c>
      <c r="IC92" s="47" t="n">
        <v>0</v>
      </c>
      <c r="ID92" s="47" t="n">
        <v>0</v>
      </c>
      <c r="IE92" s="47" t="n">
        <v>0</v>
      </c>
      <c r="IF92" s="47" t="n">
        <v>0</v>
      </c>
      <c r="IG92" s="47" t="n">
        <v>0</v>
      </c>
      <c r="IH92" s="47" t="n">
        <v>0</v>
      </c>
      <c r="II92" s="47" t="n">
        <v>0</v>
      </c>
      <c r="IJ92" s="47" t="n">
        <v>2356.25</v>
      </c>
      <c r="IK92" s="47" t="n">
        <v>2356.25</v>
      </c>
      <c r="IL92" s="47" t="n">
        <v>2356.25</v>
      </c>
      <c r="IM92" s="47" t="n">
        <v>8897.45</v>
      </c>
      <c r="IN92" s="47" t="n">
        <v>8897.45</v>
      </c>
      <c r="IO92" s="47" t="n">
        <v>8897.45</v>
      </c>
      <c r="IP92" s="47" t="n">
        <v>8897.45</v>
      </c>
      <c r="IQ92" s="47" t="n">
        <v>15618.7552486188</v>
      </c>
      <c r="IR92" s="47" t="n">
        <v>15618.7552486188</v>
      </c>
      <c r="IS92" s="47" t="n">
        <v>15618.7552486188</v>
      </c>
      <c r="IT92" s="47" t="n">
        <v>15618.7552486188</v>
      </c>
      <c r="IU92" s="47" t="n">
        <v>15618.7552486188</v>
      </c>
      <c r="IV92" s="47" t="n">
        <v>8896.875</v>
      </c>
      <c r="IW92" s="47" t="n">
        <v>9750.075</v>
      </c>
      <c r="IX92" s="47" t="n">
        <v>9750.075</v>
      </c>
      <c r="IY92" s="47" t="n">
        <v>9750.075</v>
      </c>
      <c r="IZ92" s="47" t="n">
        <v>9750.075</v>
      </c>
      <c r="JA92" s="47" t="n">
        <v>9750.075</v>
      </c>
      <c r="JB92" s="47" t="n">
        <v>10091.355</v>
      </c>
      <c r="JC92" s="47" t="n">
        <v>10660.155</v>
      </c>
      <c r="JD92" s="47" t="n">
        <v>10660.155</v>
      </c>
      <c r="JE92" s="47" t="n">
        <v>10660.155</v>
      </c>
      <c r="JF92" s="47" t="n">
        <v>10660.155</v>
      </c>
      <c r="JG92" s="47" t="n">
        <v>10660.155</v>
      </c>
      <c r="JH92" s="47" t="n">
        <v>14830</v>
      </c>
      <c r="JI92" s="47" t="n">
        <v>14830</v>
      </c>
      <c r="JJ92" s="47" t="n">
        <v>14830</v>
      </c>
      <c r="JK92" s="47" t="n">
        <v>14830</v>
      </c>
      <c r="JL92" s="47" t="n">
        <v>14830</v>
      </c>
      <c r="JM92" s="47" t="n">
        <v>14830</v>
      </c>
      <c r="JN92" s="47" t="n">
        <v>14830</v>
      </c>
      <c r="JO92" s="47" t="n">
        <v>14830</v>
      </c>
      <c r="JP92" s="47" t="n">
        <v>14830</v>
      </c>
      <c r="JQ92" s="47" t="n">
        <v>14830</v>
      </c>
      <c r="JR92" s="47" t="n">
        <v>14830</v>
      </c>
      <c r="JS92" s="47" t="n">
        <v>14830</v>
      </c>
      <c r="JT92" s="47" t="n">
        <v>14764.6666666667</v>
      </c>
      <c r="JU92" s="47" t="n">
        <v>14764.6666666667</v>
      </c>
      <c r="JV92" s="47" t="n">
        <v>14764.6666666667</v>
      </c>
      <c r="JW92" s="47" t="n">
        <v>14764.6666666667</v>
      </c>
      <c r="JX92" s="47" t="n">
        <v>14764.6666666667</v>
      </c>
      <c r="JY92" s="47" t="n">
        <v>14764.6666666667</v>
      </c>
      <c r="JZ92" s="47" t="n">
        <v>14764.6666666667</v>
      </c>
      <c r="KA92" s="47" t="n">
        <v>14764.6666666667</v>
      </c>
      <c r="KB92" s="47" t="n">
        <v>14764.6666666667</v>
      </c>
      <c r="KC92" s="47" t="n">
        <v>14764.6666666667</v>
      </c>
      <c r="KD92" s="48" t="n">
        <v>14764.6666666667</v>
      </c>
      <c r="KE92" s="47" t="n">
        <v>14764.6666666667</v>
      </c>
      <c r="KF92" s="47" t="n">
        <v>14764.6666666667</v>
      </c>
      <c r="KG92" s="47" t="n">
        <v>14764.6666666667</v>
      </c>
      <c r="KH92" s="47" t="n">
        <v>14764.6666666667</v>
      </c>
      <c r="KI92" s="47" t="n">
        <v>14764.6666666667</v>
      </c>
      <c r="KJ92" s="47" t="n">
        <v>14764.6666666667</v>
      </c>
      <c r="KK92" s="47" t="n">
        <v>14764.6666666667</v>
      </c>
      <c r="KL92" s="47" t="n">
        <v>14764.6666666667</v>
      </c>
    </row>
    <row r="93" customFormat="false" ht="15.75" hidden="false" customHeight="true" outlineLevel="0" collapsed="false">
      <c r="A93" s="35" t="s">
        <v>354</v>
      </c>
      <c r="B93" s="35" t="s">
        <v>355</v>
      </c>
      <c r="C93" s="35" t="s">
        <v>164</v>
      </c>
      <c r="D93" s="35" t="s">
        <v>241</v>
      </c>
      <c r="E93" s="35" t="s">
        <v>174</v>
      </c>
      <c r="G93" s="44" t="n">
        <v>0</v>
      </c>
      <c r="H93" s="44" t="n">
        <v>0</v>
      </c>
      <c r="I93" s="44" t="n">
        <v>0</v>
      </c>
      <c r="J93" s="44" t="n">
        <v>0</v>
      </c>
      <c r="K93" s="44" t="n">
        <v>0</v>
      </c>
      <c r="L93" s="44" t="n">
        <v>0</v>
      </c>
      <c r="M93" s="44" t="n">
        <v>0</v>
      </c>
      <c r="N93" s="44" t="n">
        <v>0</v>
      </c>
      <c r="O93" s="44" t="n">
        <v>0</v>
      </c>
      <c r="P93" s="44" t="n">
        <v>0</v>
      </c>
      <c r="Q93" s="44" t="n">
        <v>0</v>
      </c>
      <c r="R93" s="44" t="n">
        <v>0</v>
      </c>
      <c r="S93" s="44" t="n">
        <v>0</v>
      </c>
      <c r="T93" s="44" t="n">
        <v>0</v>
      </c>
      <c r="U93" s="44" t="n">
        <v>0</v>
      </c>
      <c r="V93" s="44" t="n">
        <v>0</v>
      </c>
      <c r="W93" s="44" t="n">
        <v>0</v>
      </c>
      <c r="X93" s="44" t="n">
        <v>0</v>
      </c>
      <c r="Y93" s="44" t="n">
        <v>0</v>
      </c>
      <c r="Z93" s="44" t="n">
        <v>0</v>
      </c>
      <c r="AA93" s="44" t="n">
        <v>0</v>
      </c>
      <c r="AB93" s="44" t="n">
        <v>1300</v>
      </c>
      <c r="AC93" s="44" t="n">
        <v>1300</v>
      </c>
      <c r="AD93" s="44" t="n">
        <v>1300</v>
      </c>
      <c r="AE93" s="44" t="n">
        <v>1300</v>
      </c>
      <c r="AF93" s="44" t="n">
        <v>1300</v>
      </c>
      <c r="AG93" s="44" t="n">
        <v>1300</v>
      </c>
      <c r="AH93" s="44" t="n">
        <v>1300</v>
      </c>
      <c r="AI93" s="44" t="n">
        <v>1300</v>
      </c>
      <c r="AJ93" s="44" t="n">
        <v>1300</v>
      </c>
      <c r="AK93" s="44" t="n">
        <v>1300</v>
      </c>
      <c r="AL93" s="44" t="n">
        <v>1300</v>
      </c>
      <c r="AM93" s="44" t="n">
        <v>1300</v>
      </c>
      <c r="AN93" s="44" t="n">
        <v>1300</v>
      </c>
      <c r="AO93" s="44" t="n">
        <v>1300</v>
      </c>
      <c r="AP93" s="44" t="n">
        <v>1300</v>
      </c>
      <c r="AQ93" s="44" t="n">
        <v>1300</v>
      </c>
      <c r="AR93" s="44" t="n">
        <v>1300</v>
      </c>
      <c r="AS93" s="44" t="n">
        <v>1300</v>
      </c>
      <c r="AT93" s="44" t="n">
        <v>1300</v>
      </c>
      <c r="AU93" s="44" t="n">
        <v>1300</v>
      </c>
      <c r="AV93" s="44" t="n">
        <v>1300</v>
      </c>
      <c r="AW93" s="44" t="n">
        <v>1300</v>
      </c>
      <c r="AX93" s="44" t="n">
        <v>1300</v>
      </c>
      <c r="AY93" s="44" t="n">
        <v>1300</v>
      </c>
      <c r="AZ93" s="44" t="n">
        <v>1300</v>
      </c>
      <c r="BA93" s="44" t="n">
        <v>1300</v>
      </c>
      <c r="BB93" s="44" t="n">
        <v>1300</v>
      </c>
      <c r="BC93" s="44" t="n">
        <v>1300</v>
      </c>
      <c r="BD93" s="44" t="n">
        <v>1300</v>
      </c>
      <c r="BE93" s="44" t="n">
        <v>1300</v>
      </c>
      <c r="BF93" s="44" t="n">
        <v>1300</v>
      </c>
      <c r="BG93" s="44" t="n">
        <v>1300</v>
      </c>
      <c r="BH93" s="44" t="n">
        <v>1300</v>
      </c>
      <c r="BI93" s="44" t="n">
        <v>1300</v>
      </c>
      <c r="BJ93" s="44" t="n">
        <v>1300</v>
      </c>
      <c r="BK93" s="44" t="n">
        <v>1300</v>
      </c>
      <c r="BL93" s="44" t="n">
        <v>75</v>
      </c>
      <c r="BM93" s="44" t="n">
        <v>75</v>
      </c>
      <c r="BN93" s="44" t="n">
        <v>75</v>
      </c>
      <c r="BO93" s="44" t="n">
        <v>75</v>
      </c>
      <c r="BP93" s="44" t="n">
        <v>75</v>
      </c>
      <c r="BQ93" s="44" t="n">
        <v>75</v>
      </c>
      <c r="BR93" s="45" t="n">
        <v>75</v>
      </c>
      <c r="BS93" s="46" t="n">
        <v>75</v>
      </c>
      <c r="BT93" s="46" t="n">
        <v>75</v>
      </c>
      <c r="BU93" s="46" t="n">
        <v>75</v>
      </c>
      <c r="BV93" s="46" t="n">
        <v>75</v>
      </c>
      <c r="BW93" s="46" t="n">
        <v>75</v>
      </c>
      <c r="BX93" s="46" t="n">
        <v>75</v>
      </c>
      <c r="BY93" s="46" t="n">
        <v>75</v>
      </c>
      <c r="BZ93" s="46" t="n">
        <v>75</v>
      </c>
      <c r="CB93" s="52" t="s">
        <v>356</v>
      </c>
      <c r="CC93" s="50" t="n">
        <v>0</v>
      </c>
      <c r="CD93" s="50" t="n">
        <v>0</v>
      </c>
      <c r="CE93" s="50" t="n">
        <v>0</v>
      </c>
      <c r="CF93" s="50" t="n">
        <v>0</v>
      </c>
      <c r="CG93" s="50" t="n">
        <v>0</v>
      </c>
      <c r="CH93" s="50" t="n">
        <v>0</v>
      </c>
      <c r="CI93" s="50" t="n">
        <v>0</v>
      </c>
      <c r="CJ93" s="50" t="n">
        <v>0</v>
      </c>
      <c r="CK93" s="50" t="n">
        <v>0</v>
      </c>
      <c r="CL93" s="50" t="n">
        <v>0</v>
      </c>
      <c r="CM93" s="50" t="n">
        <v>0</v>
      </c>
      <c r="CN93" s="50" t="n">
        <v>0</v>
      </c>
      <c r="CO93" s="50" t="n">
        <v>0</v>
      </c>
      <c r="CP93" s="50" t="n">
        <v>0</v>
      </c>
      <c r="CQ93" s="50" t="n">
        <v>0</v>
      </c>
      <c r="CR93" s="50" t="n">
        <v>0</v>
      </c>
      <c r="CS93" s="50" t="n">
        <v>0</v>
      </c>
      <c r="CT93" s="50" t="n">
        <v>0</v>
      </c>
      <c r="CU93" s="50" t="n">
        <v>0</v>
      </c>
      <c r="CV93" s="50" t="n">
        <v>0</v>
      </c>
      <c r="CW93" s="50" t="n">
        <v>0</v>
      </c>
      <c r="CX93" s="50" t="n">
        <v>-1225</v>
      </c>
      <c r="CY93" s="50" t="n">
        <v>-1225</v>
      </c>
      <c r="CZ93" s="50" t="n">
        <v>-1225</v>
      </c>
      <c r="DA93" s="50" t="n">
        <v>-1225</v>
      </c>
      <c r="DB93" s="50" t="n">
        <v>-1225</v>
      </c>
      <c r="DC93" s="50" t="n">
        <v>-1225</v>
      </c>
      <c r="DD93" s="50" t="n">
        <v>-1225</v>
      </c>
      <c r="DE93" s="50" t="n">
        <v>-1225</v>
      </c>
      <c r="DF93" s="50" t="n">
        <v>-1225</v>
      </c>
      <c r="DG93" s="50" t="n">
        <v>-1225</v>
      </c>
      <c r="DH93" s="50" t="n">
        <v>-1225</v>
      </c>
      <c r="DI93" s="50" t="n">
        <v>-1225</v>
      </c>
      <c r="DJ93" s="50" t="n">
        <v>-1225</v>
      </c>
      <c r="DK93" s="50" t="n">
        <v>-1225</v>
      </c>
      <c r="DL93" s="50" t="n">
        <v>-1225</v>
      </c>
      <c r="DM93" s="50" t="n">
        <v>-1225</v>
      </c>
      <c r="DN93" s="50" t="n">
        <v>-1225</v>
      </c>
      <c r="DO93" s="50" t="n">
        <v>-1225</v>
      </c>
      <c r="DP93" s="50" t="n">
        <v>-1225</v>
      </c>
      <c r="DQ93" s="50" t="n">
        <v>-1225</v>
      </c>
      <c r="DR93" s="50" t="n">
        <v>-1225</v>
      </c>
      <c r="DS93" s="50" t="n">
        <v>-1225</v>
      </c>
      <c r="DT93" s="50" t="n">
        <v>-1225</v>
      </c>
      <c r="DU93" s="50" t="n">
        <v>-1225</v>
      </c>
      <c r="DV93" s="50" t="n">
        <v>-1225</v>
      </c>
      <c r="DW93" s="50" t="n">
        <v>-1225</v>
      </c>
      <c r="DX93" s="50" t="n">
        <v>-1225</v>
      </c>
      <c r="DY93" s="50" t="n">
        <v>-1225</v>
      </c>
      <c r="DZ93" s="50" t="n">
        <v>-1225</v>
      </c>
      <c r="EA93" s="50" t="n">
        <v>-1225</v>
      </c>
      <c r="EB93" s="50" t="n">
        <v>-1225</v>
      </c>
      <c r="EC93" s="50" t="n">
        <v>-1225</v>
      </c>
      <c r="ED93" s="50" t="n">
        <v>-1225</v>
      </c>
      <c r="EE93" s="50" t="n">
        <v>-1225</v>
      </c>
      <c r="EF93" s="50" t="n">
        <v>-1225</v>
      </c>
      <c r="EG93" s="50" t="n">
        <v>-1225</v>
      </c>
      <c r="EH93" s="50" t="n">
        <v>0</v>
      </c>
      <c r="EI93" s="50" t="n">
        <v>0</v>
      </c>
      <c r="EJ93" s="50" t="n">
        <v>0</v>
      </c>
      <c r="EK93" s="50" t="n">
        <v>0</v>
      </c>
      <c r="EL93" s="50" t="n">
        <v>0</v>
      </c>
      <c r="EM93" s="50" t="n">
        <v>0</v>
      </c>
      <c r="EN93" s="51" t="n">
        <v>0</v>
      </c>
      <c r="EO93" s="50" t="n">
        <v>0</v>
      </c>
      <c r="EP93" s="50" t="n">
        <v>0</v>
      </c>
      <c r="EQ93" s="50" t="n">
        <v>0</v>
      </c>
      <c r="ER93" s="50" t="n">
        <v>0</v>
      </c>
      <c r="ES93" s="50" t="n">
        <v>0</v>
      </c>
      <c r="ET93" s="50" t="n">
        <v>0</v>
      </c>
      <c r="EU93" s="50" t="n">
        <v>0</v>
      </c>
      <c r="EV93" s="50" t="n">
        <v>0</v>
      </c>
      <c r="EX93" s="47" t="n">
        <v>0</v>
      </c>
      <c r="EY93" s="47" t="n">
        <v>0</v>
      </c>
      <c r="EZ93" s="47" t="n">
        <v>0</v>
      </c>
      <c r="FA93" s="47" t="n">
        <v>0</v>
      </c>
      <c r="FB93" s="47" t="n">
        <v>0</v>
      </c>
      <c r="FC93" s="47" t="n">
        <v>0</v>
      </c>
      <c r="FD93" s="47" t="n">
        <v>0</v>
      </c>
      <c r="FE93" s="47" t="n">
        <v>0</v>
      </c>
      <c r="FF93" s="47" t="n">
        <v>0</v>
      </c>
      <c r="FG93" s="47" t="n">
        <v>0</v>
      </c>
      <c r="FH93" s="47" t="n">
        <v>0</v>
      </c>
      <c r="FI93" s="47" t="n">
        <v>0</v>
      </c>
      <c r="FJ93" s="47" t="n">
        <v>0</v>
      </c>
      <c r="FK93" s="47" t="n">
        <v>0</v>
      </c>
      <c r="FL93" s="47" t="n">
        <v>0</v>
      </c>
      <c r="FM93" s="47" t="n">
        <v>0</v>
      </c>
      <c r="FN93" s="47" t="n">
        <v>0</v>
      </c>
      <c r="FO93" s="47" t="n">
        <v>0</v>
      </c>
      <c r="FP93" s="47" t="n">
        <v>0</v>
      </c>
      <c r="FQ93" s="47" t="n">
        <v>0</v>
      </c>
      <c r="FR93" s="47" t="n">
        <v>0</v>
      </c>
      <c r="FS93" s="47" t="n">
        <v>1300</v>
      </c>
      <c r="FT93" s="47" t="n">
        <v>1300</v>
      </c>
      <c r="FU93" s="47" t="n">
        <v>1300</v>
      </c>
      <c r="FV93" s="47" t="n">
        <v>1300</v>
      </c>
      <c r="FW93" s="47" t="n">
        <v>1300</v>
      </c>
      <c r="FX93" s="47" t="n">
        <v>1300</v>
      </c>
      <c r="FY93" s="47" t="n">
        <v>1300</v>
      </c>
      <c r="FZ93" s="47" t="n">
        <v>1300</v>
      </c>
      <c r="GA93" s="47" t="n">
        <v>1300</v>
      </c>
      <c r="GB93" s="47" t="n">
        <v>1300</v>
      </c>
      <c r="GC93" s="47" t="n">
        <v>1300</v>
      </c>
      <c r="GD93" s="47" t="n">
        <v>1300</v>
      </c>
      <c r="GE93" s="47" t="n">
        <v>1300</v>
      </c>
      <c r="GF93" s="47" t="n">
        <v>1300</v>
      </c>
      <c r="GG93" s="47" t="n">
        <v>1300</v>
      </c>
      <c r="GH93" s="47" t="n">
        <v>1300</v>
      </c>
      <c r="GI93" s="47" t="n">
        <v>1300</v>
      </c>
      <c r="GJ93" s="47" t="n">
        <v>1300</v>
      </c>
      <c r="GK93" s="47" t="n">
        <v>1300</v>
      </c>
      <c r="GL93" s="47" t="n">
        <v>1300</v>
      </c>
      <c r="GM93" s="47" t="n">
        <v>1300</v>
      </c>
      <c r="GN93" s="47" t="n">
        <v>1300</v>
      </c>
      <c r="GO93" s="47" t="n">
        <v>1300</v>
      </c>
      <c r="GP93" s="47" t="n">
        <v>1300</v>
      </c>
      <c r="GQ93" s="47" t="n">
        <v>1300</v>
      </c>
      <c r="GR93" s="47" t="n">
        <v>1300</v>
      </c>
      <c r="GS93" s="47" t="n">
        <v>1300</v>
      </c>
      <c r="GT93" s="47" t="n">
        <v>1300</v>
      </c>
      <c r="GU93" s="47" t="n">
        <v>1300</v>
      </c>
      <c r="GV93" s="47" t="n">
        <v>1300</v>
      </c>
      <c r="GW93" s="47" t="n">
        <v>1300</v>
      </c>
      <c r="GX93" s="47" t="n">
        <v>1300</v>
      </c>
      <c r="GY93" s="47" t="n">
        <v>1300</v>
      </c>
      <c r="GZ93" s="47" t="n">
        <v>1300</v>
      </c>
      <c r="HA93" s="47" t="n">
        <v>1300</v>
      </c>
      <c r="HB93" s="47" t="n">
        <v>1300</v>
      </c>
      <c r="HC93" s="47" t="n">
        <v>75</v>
      </c>
      <c r="HD93" s="47" t="n">
        <v>75</v>
      </c>
      <c r="HE93" s="47" t="n">
        <v>75</v>
      </c>
      <c r="HF93" s="47" t="n">
        <v>75</v>
      </c>
      <c r="HG93" s="47" t="n">
        <v>75</v>
      </c>
      <c r="HH93" s="47" t="n">
        <v>75</v>
      </c>
      <c r="HI93" s="48" t="n">
        <v>75</v>
      </c>
      <c r="HJ93" s="47" t="n">
        <v>75</v>
      </c>
      <c r="HK93" s="47" t="n">
        <v>75</v>
      </c>
      <c r="HL93" s="47" t="n">
        <v>75</v>
      </c>
      <c r="HM93" s="47" t="n">
        <v>75</v>
      </c>
      <c r="HN93" s="47" t="n">
        <v>75</v>
      </c>
      <c r="HO93" s="47" t="n">
        <v>75</v>
      </c>
      <c r="HP93" s="47" t="n">
        <v>75</v>
      </c>
      <c r="HQ93" s="47" t="n">
        <v>75</v>
      </c>
      <c r="HS93" s="47" t="n">
        <v>0</v>
      </c>
      <c r="HT93" s="47" t="n">
        <v>0</v>
      </c>
      <c r="HU93" s="47" t="n">
        <v>0</v>
      </c>
      <c r="HV93" s="47" t="n">
        <v>0</v>
      </c>
      <c r="HW93" s="47" t="n">
        <v>0</v>
      </c>
      <c r="HX93" s="47" t="n">
        <v>0</v>
      </c>
      <c r="HY93" s="47" t="n">
        <v>0</v>
      </c>
      <c r="HZ93" s="47" t="n">
        <v>0</v>
      </c>
      <c r="IA93" s="47" t="n">
        <v>0</v>
      </c>
      <c r="IB93" s="47" t="n">
        <v>0</v>
      </c>
      <c r="IC93" s="47" t="n">
        <v>0</v>
      </c>
      <c r="ID93" s="47" t="n">
        <v>0</v>
      </c>
      <c r="IE93" s="47" t="n">
        <v>0</v>
      </c>
      <c r="IF93" s="47" t="n">
        <v>0</v>
      </c>
      <c r="IG93" s="47" t="n">
        <v>0</v>
      </c>
      <c r="IH93" s="47" t="n">
        <v>0</v>
      </c>
      <c r="II93" s="47" t="n">
        <v>0</v>
      </c>
      <c r="IJ93" s="47" t="n">
        <v>0</v>
      </c>
      <c r="IK93" s="47" t="n">
        <v>0</v>
      </c>
      <c r="IL93" s="47" t="n">
        <v>0</v>
      </c>
      <c r="IM93" s="47" t="n">
        <v>0</v>
      </c>
      <c r="IN93" s="47" t="n">
        <v>75</v>
      </c>
      <c r="IO93" s="47" t="n">
        <v>75</v>
      </c>
      <c r="IP93" s="47" t="n">
        <v>75</v>
      </c>
      <c r="IQ93" s="47" t="n">
        <v>75</v>
      </c>
      <c r="IR93" s="47" t="n">
        <v>75</v>
      </c>
      <c r="IS93" s="47" t="n">
        <v>75</v>
      </c>
      <c r="IT93" s="47" t="n">
        <v>75</v>
      </c>
      <c r="IU93" s="47" t="n">
        <v>75</v>
      </c>
      <c r="IV93" s="47" t="n">
        <v>75</v>
      </c>
      <c r="IW93" s="47" t="n">
        <v>75</v>
      </c>
      <c r="IX93" s="47" t="n">
        <v>75</v>
      </c>
      <c r="IY93" s="47" t="n">
        <v>75</v>
      </c>
      <c r="IZ93" s="47" t="n">
        <v>75</v>
      </c>
      <c r="JA93" s="47" t="n">
        <v>75</v>
      </c>
      <c r="JB93" s="47" t="n">
        <v>75</v>
      </c>
      <c r="JC93" s="47" t="n">
        <v>75</v>
      </c>
      <c r="JD93" s="47" t="n">
        <v>75</v>
      </c>
      <c r="JE93" s="47" t="n">
        <v>75</v>
      </c>
      <c r="JF93" s="47" t="n">
        <v>75</v>
      </c>
      <c r="JG93" s="47" t="n">
        <v>75</v>
      </c>
      <c r="JH93" s="47" t="n">
        <v>75</v>
      </c>
      <c r="JI93" s="47" t="n">
        <v>75</v>
      </c>
      <c r="JJ93" s="47" t="n">
        <v>75</v>
      </c>
      <c r="JK93" s="47" t="n">
        <v>75</v>
      </c>
      <c r="JL93" s="47" t="n">
        <v>75</v>
      </c>
      <c r="JM93" s="47" t="n">
        <v>75</v>
      </c>
      <c r="JN93" s="47" t="n">
        <v>75</v>
      </c>
      <c r="JO93" s="47" t="n">
        <v>75</v>
      </c>
      <c r="JP93" s="47" t="n">
        <v>75</v>
      </c>
      <c r="JQ93" s="47" t="n">
        <v>75</v>
      </c>
      <c r="JR93" s="47" t="n">
        <v>75</v>
      </c>
      <c r="JS93" s="47" t="n">
        <v>75</v>
      </c>
      <c r="JT93" s="47" t="n">
        <v>75</v>
      </c>
      <c r="JU93" s="47" t="n">
        <v>75</v>
      </c>
      <c r="JV93" s="47" t="n">
        <v>75</v>
      </c>
      <c r="JW93" s="47" t="n">
        <v>75</v>
      </c>
      <c r="JX93" s="47" t="n">
        <v>75</v>
      </c>
      <c r="JY93" s="47" t="n">
        <v>75</v>
      </c>
      <c r="JZ93" s="47" t="n">
        <v>75</v>
      </c>
      <c r="KA93" s="47" t="n">
        <v>75</v>
      </c>
      <c r="KB93" s="47" t="n">
        <v>75</v>
      </c>
      <c r="KC93" s="47" t="n">
        <v>75</v>
      </c>
      <c r="KD93" s="48" t="n">
        <v>75</v>
      </c>
      <c r="KE93" s="47" t="n">
        <v>75</v>
      </c>
      <c r="KF93" s="47" t="n">
        <v>75</v>
      </c>
      <c r="KG93" s="47" t="n">
        <v>75</v>
      </c>
      <c r="KH93" s="47" t="n">
        <v>75</v>
      </c>
      <c r="KI93" s="47" t="n">
        <v>75</v>
      </c>
      <c r="KJ93" s="47" t="n">
        <v>75</v>
      </c>
      <c r="KK93" s="47" t="n">
        <v>75</v>
      </c>
      <c r="KL93" s="47" t="n">
        <v>75</v>
      </c>
    </row>
    <row r="94" customFormat="false" ht="15.75" hidden="false" customHeight="true" outlineLevel="0" collapsed="false">
      <c r="A94" s="35" t="s">
        <v>357</v>
      </c>
      <c r="B94" s="35" t="s">
        <v>358</v>
      </c>
      <c r="C94" s="35" t="s">
        <v>164</v>
      </c>
      <c r="D94" s="35" t="s">
        <v>180</v>
      </c>
      <c r="E94" s="35" t="s">
        <v>177</v>
      </c>
      <c r="G94" s="44" t="n">
        <v>3170.83333333333</v>
      </c>
      <c r="H94" s="44" t="n">
        <v>3170.83333333333</v>
      </c>
      <c r="I94" s="44" t="n">
        <v>3170.83333333333</v>
      </c>
      <c r="J94" s="44" t="n">
        <v>3170.83333333333</v>
      </c>
      <c r="K94" s="44" t="n">
        <v>3170.83333333333</v>
      </c>
      <c r="L94" s="44" t="n">
        <v>3170.83333333333</v>
      </c>
      <c r="M94" s="44" t="n">
        <v>3560.41666666667</v>
      </c>
      <c r="N94" s="44" t="n">
        <v>3560.41666666667</v>
      </c>
      <c r="O94" s="44" t="n">
        <v>3560.41666666667</v>
      </c>
      <c r="P94" s="44" t="n">
        <v>3560.41666666667</v>
      </c>
      <c r="Q94" s="44" t="n">
        <v>3560.41666666667</v>
      </c>
      <c r="R94" s="44" t="n">
        <v>3560.41666666667</v>
      </c>
      <c r="S94" s="44" t="n">
        <v>3560.41666666667</v>
      </c>
      <c r="T94" s="44" t="n">
        <v>3560.41666666667</v>
      </c>
      <c r="U94" s="44" t="n">
        <v>3560.41666666667</v>
      </c>
      <c r="V94" s="44" t="n">
        <v>3985.39666666667</v>
      </c>
      <c r="W94" s="44" t="n">
        <v>3985.39666666667</v>
      </c>
      <c r="X94" s="44" t="n">
        <v>3985.39666666667</v>
      </c>
      <c r="Y94" s="44" t="n">
        <v>3525</v>
      </c>
      <c r="Z94" s="44" t="n">
        <v>3525</v>
      </c>
      <c r="AA94" s="44" t="n">
        <v>3525</v>
      </c>
      <c r="AB94" s="44" t="n">
        <v>3525</v>
      </c>
      <c r="AC94" s="44" t="n">
        <v>3525</v>
      </c>
      <c r="AD94" s="44" t="n">
        <v>3525</v>
      </c>
      <c r="AE94" s="44" t="n">
        <v>3525</v>
      </c>
      <c r="AF94" s="44" t="n">
        <v>3525</v>
      </c>
      <c r="AG94" s="44" t="n">
        <v>3525</v>
      </c>
      <c r="AH94" s="44" t="n">
        <v>3525</v>
      </c>
      <c r="AI94" s="44" t="n">
        <v>3525</v>
      </c>
      <c r="AJ94" s="44" t="n">
        <v>3525</v>
      </c>
      <c r="AK94" s="44" t="n">
        <v>3525</v>
      </c>
      <c r="AL94" s="44" t="n">
        <v>3525</v>
      </c>
      <c r="AM94" s="44" t="n">
        <v>3525</v>
      </c>
      <c r="AN94" s="44" t="n">
        <v>3525</v>
      </c>
      <c r="AO94" s="44" t="n">
        <v>3525</v>
      </c>
      <c r="AP94" s="44" t="n">
        <v>3525</v>
      </c>
      <c r="AQ94" s="44" t="n">
        <v>3525</v>
      </c>
      <c r="AR94" s="44" t="n">
        <v>3525</v>
      </c>
      <c r="AS94" s="44" t="n">
        <v>3525</v>
      </c>
      <c r="AT94" s="44" t="n">
        <v>3525</v>
      </c>
      <c r="AU94" s="44" t="n">
        <v>3525</v>
      </c>
      <c r="AV94" s="44" t="n">
        <v>3525</v>
      </c>
      <c r="AW94" s="44" t="n">
        <v>3525</v>
      </c>
      <c r="AX94" s="44" t="n">
        <v>3525</v>
      </c>
      <c r="AY94" s="44" t="n">
        <v>3525</v>
      </c>
      <c r="AZ94" s="44" t="n">
        <v>3525</v>
      </c>
      <c r="BA94" s="44" t="n">
        <v>3525</v>
      </c>
      <c r="BB94" s="44" t="n">
        <v>3525</v>
      </c>
      <c r="BC94" s="44" t="n">
        <v>3525</v>
      </c>
      <c r="BD94" s="44" t="n">
        <v>3525</v>
      </c>
      <c r="BE94" s="44" t="n">
        <v>3525</v>
      </c>
      <c r="BF94" s="44" t="n">
        <v>3525</v>
      </c>
      <c r="BG94" s="44" t="n">
        <v>3525</v>
      </c>
      <c r="BH94" s="44" t="n">
        <v>3525</v>
      </c>
      <c r="BI94" s="44" t="n">
        <v>3895.83333333333</v>
      </c>
      <c r="BJ94" s="44" t="n">
        <v>3895.83333333333</v>
      </c>
      <c r="BK94" s="44" t="n">
        <v>3895.83333333333</v>
      </c>
      <c r="BL94" s="44" t="n">
        <v>3895.83333333333</v>
      </c>
      <c r="BM94" s="44" t="n">
        <v>3895.83333333333</v>
      </c>
      <c r="BN94" s="44" t="n">
        <v>3895.83333333333</v>
      </c>
      <c r="BO94" s="44" t="n">
        <v>3895.83333333333</v>
      </c>
      <c r="BP94" s="44" t="n">
        <v>3895.83333333333</v>
      </c>
      <c r="BQ94" s="44" t="n">
        <v>3895.83333333333</v>
      </c>
      <c r="BR94" s="45" t="n">
        <v>3895.83333333333</v>
      </c>
      <c r="BS94" s="46" t="n">
        <v>3895.83333333333</v>
      </c>
      <c r="BT94" s="46" t="n">
        <v>3895.83333333333</v>
      </c>
      <c r="BU94" s="46" t="n">
        <v>3895.83333333333</v>
      </c>
      <c r="BV94" s="46" t="n">
        <v>3895.83333333333</v>
      </c>
      <c r="BW94" s="46" t="n">
        <v>3895.83333333333</v>
      </c>
      <c r="BX94" s="46" t="n">
        <v>3895.83333333333</v>
      </c>
      <c r="BY94" s="46" t="n">
        <v>3895.83333333333</v>
      </c>
      <c r="BZ94" s="46" t="n">
        <v>3895.83333333333</v>
      </c>
      <c r="EX94" s="47" t="n">
        <v>3170.83333333333</v>
      </c>
      <c r="EY94" s="47" t="n">
        <v>3170.83333333333</v>
      </c>
      <c r="EZ94" s="47" t="n">
        <v>3170.83333333333</v>
      </c>
      <c r="FA94" s="47" t="n">
        <v>3170.83333333333</v>
      </c>
      <c r="FB94" s="47" t="n">
        <v>3170.83333333333</v>
      </c>
      <c r="FC94" s="47" t="n">
        <v>3170.83333333333</v>
      </c>
      <c r="FD94" s="47" t="n">
        <v>3560.41666666667</v>
      </c>
      <c r="FE94" s="47" t="n">
        <v>3560.41666666667</v>
      </c>
      <c r="FF94" s="47" t="n">
        <v>3560.41666666667</v>
      </c>
      <c r="FG94" s="47" t="n">
        <v>3560.41666666667</v>
      </c>
      <c r="FH94" s="47" t="n">
        <v>3560.41666666667</v>
      </c>
      <c r="FI94" s="47" t="n">
        <v>3560.41666666667</v>
      </c>
      <c r="FJ94" s="47" t="n">
        <v>3560.41666666667</v>
      </c>
      <c r="FK94" s="47" t="n">
        <v>3560.41666666667</v>
      </c>
      <c r="FL94" s="47" t="n">
        <v>3560.41666666667</v>
      </c>
      <c r="FM94" s="47" t="n">
        <v>3985.39666666667</v>
      </c>
      <c r="FN94" s="47" t="n">
        <v>3985.39666666667</v>
      </c>
      <c r="FO94" s="47" t="n">
        <v>3985.39666666667</v>
      </c>
      <c r="FP94" s="47" t="n">
        <v>3525</v>
      </c>
      <c r="FQ94" s="47" t="n">
        <v>3525</v>
      </c>
      <c r="FR94" s="47" t="n">
        <v>3525</v>
      </c>
      <c r="FS94" s="47" t="n">
        <v>3525</v>
      </c>
      <c r="FT94" s="47" t="n">
        <v>3525</v>
      </c>
      <c r="FU94" s="47" t="n">
        <v>3525</v>
      </c>
      <c r="FV94" s="47" t="n">
        <v>3525</v>
      </c>
      <c r="FW94" s="47" t="n">
        <v>3525</v>
      </c>
      <c r="FX94" s="47" t="n">
        <v>3525</v>
      </c>
      <c r="FY94" s="47" t="n">
        <v>3525</v>
      </c>
      <c r="FZ94" s="47" t="n">
        <v>3525</v>
      </c>
      <c r="GA94" s="47" t="n">
        <v>3525</v>
      </c>
      <c r="GB94" s="47" t="n">
        <v>3525</v>
      </c>
      <c r="GC94" s="47" t="n">
        <v>3525</v>
      </c>
      <c r="GD94" s="47" t="n">
        <v>3525</v>
      </c>
      <c r="GE94" s="47" t="n">
        <v>3525</v>
      </c>
      <c r="GF94" s="47" t="n">
        <v>3525</v>
      </c>
      <c r="GG94" s="47" t="n">
        <v>3525</v>
      </c>
      <c r="GH94" s="47" t="n">
        <v>3525</v>
      </c>
      <c r="GI94" s="47" t="n">
        <v>3525</v>
      </c>
      <c r="GJ94" s="47" t="n">
        <v>3525</v>
      </c>
      <c r="GK94" s="47" t="n">
        <v>3525</v>
      </c>
      <c r="GL94" s="47" t="n">
        <v>3525</v>
      </c>
      <c r="GM94" s="47" t="n">
        <v>3525</v>
      </c>
      <c r="GN94" s="47" t="n">
        <v>3525</v>
      </c>
      <c r="GO94" s="47" t="n">
        <v>3525</v>
      </c>
      <c r="GP94" s="47" t="n">
        <v>3525</v>
      </c>
      <c r="GQ94" s="47" t="n">
        <v>3525</v>
      </c>
      <c r="GR94" s="47" t="n">
        <v>3525</v>
      </c>
      <c r="GS94" s="47" t="n">
        <v>3525</v>
      </c>
      <c r="GT94" s="47" t="n">
        <v>3525</v>
      </c>
      <c r="GU94" s="47" t="n">
        <v>3525</v>
      </c>
      <c r="GV94" s="47" t="n">
        <v>3525</v>
      </c>
      <c r="GW94" s="47" t="n">
        <v>3525</v>
      </c>
      <c r="GX94" s="47" t="n">
        <v>3525</v>
      </c>
      <c r="GY94" s="47" t="n">
        <v>3525</v>
      </c>
      <c r="GZ94" s="47" t="n">
        <v>3895.83333333333</v>
      </c>
      <c r="HA94" s="47" t="n">
        <v>3895.83333333333</v>
      </c>
      <c r="HB94" s="47" t="n">
        <v>3895.83333333333</v>
      </c>
      <c r="HC94" s="47" t="n">
        <v>3895.83333333333</v>
      </c>
      <c r="HD94" s="47" t="n">
        <v>3895.83333333333</v>
      </c>
      <c r="HE94" s="47" t="n">
        <v>3895.83333333333</v>
      </c>
      <c r="HF94" s="47" t="n">
        <v>3895.83333333333</v>
      </c>
      <c r="HG94" s="47" t="n">
        <v>3895.83333333333</v>
      </c>
      <c r="HH94" s="47" t="n">
        <v>3895.83333333333</v>
      </c>
      <c r="HI94" s="48" t="n">
        <v>3895.83333333333</v>
      </c>
      <c r="HJ94" s="47" t="n">
        <v>3895.83333333333</v>
      </c>
      <c r="HK94" s="47" t="n">
        <v>3895.83333333333</v>
      </c>
      <c r="HL94" s="47" t="n">
        <v>3895.83333333333</v>
      </c>
      <c r="HM94" s="47" t="n">
        <v>3895.83333333333</v>
      </c>
      <c r="HN94" s="47" t="n">
        <v>3895.83333333333</v>
      </c>
      <c r="HO94" s="47" t="n">
        <v>3895.83333333333</v>
      </c>
      <c r="HP94" s="47" t="n">
        <v>3895.83333333333</v>
      </c>
      <c r="HQ94" s="47" t="n">
        <v>3895.83333333333</v>
      </c>
      <c r="HS94" s="47" t="n">
        <v>3170.83333333333</v>
      </c>
      <c r="HT94" s="47" t="n">
        <v>3170.83333333333</v>
      </c>
      <c r="HU94" s="47" t="n">
        <v>3170.83333333333</v>
      </c>
      <c r="HV94" s="47" t="n">
        <v>3170.83333333333</v>
      </c>
      <c r="HW94" s="47" t="n">
        <v>3170.83333333333</v>
      </c>
      <c r="HX94" s="47" t="n">
        <v>3170.83333333333</v>
      </c>
      <c r="HY94" s="47" t="n">
        <v>3560.41666666667</v>
      </c>
      <c r="HZ94" s="47" t="n">
        <v>3560.41666666667</v>
      </c>
      <c r="IA94" s="47" t="n">
        <v>3560.41666666667</v>
      </c>
      <c r="IB94" s="47" t="n">
        <v>3560.41666666667</v>
      </c>
      <c r="IC94" s="47" t="n">
        <v>3560.41666666667</v>
      </c>
      <c r="ID94" s="47" t="n">
        <v>3560.41666666667</v>
      </c>
      <c r="IE94" s="47" t="n">
        <v>3560.41666666667</v>
      </c>
      <c r="IF94" s="47" t="n">
        <v>3560.41666666667</v>
      </c>
      <c r="IG94" s="47" t="n">
        <v>3560.41666666667</v>
      </c>
      <c r="IH94" s="47" t="n">
        <v>3985.39666666667</v>
      </c>
      <c r="II94" s="47" t="n">
        <v>3985.39666666667</v>
      </c>
      <c r="IJ94" s="47" t="n">
        <v>3985.39666666667</v>
      </c>
      <c r="IK94" s="47" t="n">
        <v>3525</v>
      </c>
      <c r="IL94" s="47" t="n">
        <v>3525</v>
      </c>
      <c r="IM94" s="47" t="n">
        <v>3525</v>
      </c>
      <c r="IN94" s="47" t="n">
        <v>3525</v>
      </c>
      <c r="IO94" s="47" t="n">
        <v>3525</v>
      </c>
      <c r="IP94" s="47" t="n">
        <v>3525</v>
      </c>
      <c r="IQ94" s="47" t="n">
        <v>3525</v>
      </c>
      <c r="IR94" s="47" t="n">
        <v>3525</v>
      </c>
      <c r="IS94" s="47" t="n">
        <v>3525</v>
      </c>
      <c r="IT94" s="47" t="n">
        <v>3525</v>
      </c>
      <c r="IU94" s="47" t="n">
        <v>3525</v>
      </c>
      <c r="IV94" s="47" t="n">
        <v>3525</v>
      </c>
      <c r="IW94" s="47" t="n">
        <v>3525</v>
      </c>
      <c r="IX94" s="47" t="n">
        <v>3525</v>
      </c>
      <c r="IY94" s="47" t="n">
        <v>3525</v>
      </c>
      <c r="IZ94" s="47" t="n">
        <v>3525</v>
      </c>
      <c r="JA94" s="47" t="n">
        <v>3525</v>
      </c>
      <c r="JB94" s="47" t="n">
        <v>3525</v>
      </c>
      <c r="JC94" s="47" t="n">
        <v>3525</v>
      </c>
      <c r="JD94" s="47" t="n">
        <v>3525</v>
      </c>
      <c r="JE94" s="47" t="n">
        <v>3525</v>
      </c>
      <c r="JF94" s="47" t="n">
        <v>3525</v>
      </c>
      <c r="JG94" s="47" t="n">
        <v>3525</v>
      </c>
      <c r="JH94" s="47" t="n">
        <v>3525</v>
      </c>
      <c r="JI94" s="47" t="n">
        <v>3525</v>
      </c>
      <c r="JJ94" s="47" t="n">
        <v>3525</v>
      </c>
      <c r="JK94" s="47" t="n">
        <v>3525</v>
      </c>
      <c r="JL94" s="47" t="n">
        <v>3525</v>
      </c>
      <c r="JM94" s="47" t="n">
        <v>3525</v>
      </c>
      <c r="JN94" s="47" t="n">
        <v>3525</v>
      </c>
      <c r="JO94" s="47" t="n">
        <v>3525</v>
      </c>
      <c r="JP94" s="47" t="n">
        <v>3525</v>
      </c>
      <c r="JQ94" s="47" t="n">
        <v>3525</v>
      </c>
      <c r="JR94" s="47" t="n">
        <v>3525</v>
      </c>
      <c r="JS94" s="47" t="n">
        <v>3525</v>
      </c>
      <c r="JT94" s="47" t="n">
        <v>3525</v>
      </c>
      <c r="JU94" s="47" t="n">
        <v>3895.83333333333</v>
      </c>
      <c r="JV94" s="47" t="n">
        <v>3895.83333333333</v>
      </c>
      <c r="JW94" s="47" t="n">
        <v>3895.83333333333</v>
      </c>
      <c r="JX94" s="47" t="n">
        <v>3895.83333333333</v>
      </c>
      <c r="JY94" s="47" t="n">
        <v>3895.83333333333</v>
      </c>
      <c r="JZ94" s="47" t="n">
        <v>3895.83333333333</v>
      </c>
      <c r="KA94" s="47" t="n">
        <v>3895.83333333333</v>
      </c>
      <c r="KB94" s="47" t="n">
        <v>3895.83333333333</v>
      </c>
      <c r="KC94" s="47" t="n">
        <v>3895.83333333333</v>
      </c>
      <c r="KD94" s="48" t="n">
        <v>3895.83333333333</v>
      </c>
      <c r="KE94" s="47" t="n">
        <v>3895.83333333333</v>
      </c>
      <c r="KF94" s="47" t="n">
        <v>3895.83333333333</v>
      </c>
      <c r="KG94" s="47" t="n">
        <v>3895.83333333333</v>
      </c>
      <c r="KH94" s="47" t="n">
        <v>3895.83333333333</v>
      </c>
      <c r="KI94" s="47" t="n">
        <v>3895.83333333333</v>
      </c>
      <c r="KJ94" s="47" t="n">
        <v>3895.83333333333</v>
      </c>
      <c r="KK94" s="47" t="n">
        <v>3895.83333333333</v>
      </c>
      <c r="KL94" s="47" t="n">
        <v>3895.83333333333</v>
      </c>
    </row>
    <row r="95" customFormat="false" ht="15.75" hidden="false" customHeight="true" outlineLevel="0" collapsed="false">
      <c r="A95" s="35" t="s">
        <v>359</v>
      </c>
      <c r="B95" s="35" t="s">
        <v>360</v>
      </c>
      <c r="C95" s="35" t="s">
        <v>164</v>
      </c>
      <c r="D95" s="35" t="s">
        <v>180</v>
      </c>
      <c r="E95" s="35" t="s">
        <v>177</v>
      </c>
      <c r="G95" s="44" t="n">
        <v>0</v>
      </c>
      <c r="H95" s="44" t="n">
        <v>0</v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1820.41230769231</v>
      </c>
      <c r="AD95" s="44" t="n">
        <v>1820.41230769231</v>
      </c>
      <c r="AE95" s="44" t="n">
        <v>1820.41230769231</v>
      </c>
      <c r="AF95" s="44" t="n">
        <v>1820.41230769231</v>
      </c>
      <c r="AG95" s="44" t="n">
        <v>1820.41230769231</v>
      </c>
      <c r="AH95" s="44" t="n">
        <v>1820.41230769231</v>
      </c>
      <c r="AI95" s="44" t="n">
        <v>1820.41230769231</v>
      </c>
      <c r="AJ95" s="44" t="n">
        <v>1820.41230769231</v>
      </c>
      <c r="AK95" s="44" t="n">
        <v>1820.41230769231</v>
      </c>
      <c r="AL95" s="44" t="n">
        <v>1820.41230769231</v>
      </c>
      <c r="AM95" s="44" t="n">
        <v>1820.41230769231</v>
      </c>
      <c r="AN95" s="44" t="n">
        <v>1820.41230769231</v>
      </c>
      <c r="AO95" s="44" t="n">
        <v>1820.41230769231</v>
      </c>
      <c r="AP95" s="44" t="n">
        <v>1296.83666666667</v>
      </c>
      <c r="AQ95" s="44" t="n">
        <v>1296.83666666667</v>
      </c>
      <c r="AR95" s="44" t="n">
        <v>1296.83666666667</v>
      </c>
      <c r="AS95" s="44" t="n">
        <v>1296.83666666667</v>
      </c>
      <c r="AT95" s="44" t="n">
        <v>1296.83666666667</v>
      </c>
      <c r="AU95" s="44" t="n">
        <v>1296.83666666667</v>
      </c>
      <c r="AV95" s="44" t="n">
        <v>1481.00333333333</v>
      </c>
      <c r="AW95" s="44" t="n">
        <v>1481.00333333333</v>
      </c>
      <c r="AX95" s="44" t="n">
        <v>1481.00333333333</v>
      </c>
      <c r="AY95" s="44" t="n">
        <v>1481.00333333333</v>
      </c>
      <c r="AZ95" s="44" t="n">
        <v>1481.00333333333</v>
      </c>
      <c r="BA95" s="44" t="n">
        <v>1481.00333333333</v>
      </c>
      <c r="BB95" s="44" t="n">
        <v>920.833333333333</v>
      </c>
      <c r="BC95" s="44" t="n">
        <v>920.833333333333</v>
      </c>
      <c r="BD95" s="44" t="n">
        <v>920.833333333333</v>
      </c>
      <c r="BE95" s="44" t="n">
        <v>920.833333333333</v>
      </c>
      <c r="BF95" s="44" t="n">
        <v>1197.08458333333</v>
      </c>
      <c r="BG95" s="44" t="n">
        <v>1197.08458333333</v>
      </c>
      <c r="BH95" s="44" t="n">
        <v>1197.08458333333</v>
      </c>
      <c r="BI95" s="44" t="n">
        <v>1381.24458333333</v>
      </c>
      <c r="BJ95" s="44" t="n">
        <v>1381.24458333333</v>
      </c>
      <c r="BK95" s="44" t="n">
        <v>1381.24458333333</v>
      </c>
      <c r="BL95" s="44" t="n">
        <v>1381.24458333333</v>
      </c>
      <c r="BM95" s="44" t="n">
        <v>1381.24458333333</v>
      </c>
      <c r="BN95" s="44" t="n">
        <v>828.75</v>
      </c>
      <c r="BO95" s="44" t="n">
        <v>828.75</v>
      </c>
      <c r="BP95" s="44" t="n">
        <v>828.75</v>
      </c>
      <c r="BQ95" s="44" t="n">
        <v>828.75</v>
      </c>
      <c r="BR95" s="45" t="n">
        <v>828.75</v>
      </c>
      <c r="BS95" s="46" t="n">
        <v>828.75</v>
      </c>
      <c r="BT95" s="46" t="n">
        <v>828.75</v>
      </c>
      <c r="BU95" s="46" t="n">
        <v>828.75</v>
      </c>
      <c r="BV95" s="46" t="n">
        <v>828.75</v>
      </c>
      <c r="BW95" s="46" t="n">
        <v>828.75</v>
      </c>
      <c r="BX95" s="46" t="n">
        <v>828.75</v>
      </c>
      <c r="BY95" s="46" t="n">
        <v>828.75</v>
      </c>
      <c r="BZ95" s="46" t="n">
        <v>828.75</v>
      </c>
      <c r="EX95" s="47" t="n">
        <v>0</v>
      </c>
      <c r="EY95" s="47" t="n">
        <v>0</v>
      </c>
      <c r="EZ95" s="47" t="n">
        <v>0</v>
      </c>
      <c r="FA95" s="47" t="n">
        <v>0</v>
      </c>
      <c r="FB95" s="47" t="n">
        <v>0</v>
      </c>
      <c r="FC95" s="47" t="n">
        <v>0</v>
      </c>
      <c r="FD95" s="47" t="n">
        <v>0</v>
      </c>
      <c r="FE95" s="47" t="n">
        <v>0</v>
      </c>
      <c r="FF95" s="47" t="n">
        <v>0</v>
      </c>
      <c r="FG95" s="47" t="n">
        <v>0</v>
      </c>
      <c r="FH95" s="47" t="n">
        <v>0</v>
      </c>
      <c r="FI95" s="47" t="n">
        <v>0</v>
      </c>
      <c r="FJ95" s="47" t="n">
        <v>0</v>
      </c>
      <c r="FK95" s="47" t="n">
        <v>0</v>
      </c>
      <c r="FL95" s="47" t="n">
        <v>0</v>
      </c>
      <c r="FM95" s="47" t="n">
        <v>0</v>
      </c>
      <c r="FN95" s="47" t="n">
        <v>0</v>
      </c>
      <c r="FO95" s="47" t="n">
        <v>0</v>
      </c>
      <c r="FP95" s="47" t="n">
        <v>0</v>
      </c>
      <c r="FQ95" s="47" t="n">
        <v>0</v>
      </c>
      <c r="FR95" s="47" t="n">
        <v>0</v>
      </c>
      <c r="FS95" s="47" t="n">
        <v>0</v>
      </c>
      <c r="FT95" s="47" t="n">
        <v>1820.41230769231</v>
      </c>
      <c r="FU95" s="47" t="n">
        <v>1820.41230769231</v>
      </c>
      <c r="FV95" s="47" t="n">
        <v>1820.41230769231</v>
      </c>
      <c r="FW95" s="47" t="n">
        <v>1820.41230769231</v>
      </c>
      <c r="FX95" s="47" t="n">
        <v>1820.41230769231</v>
      </c>
      <c r="FY95" s="47" t="n">
        <v>1820.41230769231</v>
      </c>
      <c r="FZ95" s="47" t="n">
        <v>1820.41230769231</v>
      </c>
      <c r="GA95" s="47" t="n">
        <v>1820.41230769231</v>
      </c>
      <c r="GB95" s="47" t="n">
        <v>1820.41230769231</v>
      </c>
      <c r="GC95" s="47" t="n">
        <v>1820.41230769231</v>
      </c>
      <c r="GD95" s="47" t="n">
        <v>1820.41230769231</v>
      </c>
      <c r="GE95" s="47" t="n">
        <v>1820.41230769231</v>
      </c>
      <c r="GF95" s="47" t="n">
        <v>1820.41230769231</v>
      </c>
      <c r="GG95" s="47" t="n">
        <v>1296.83666666667</v>
      </c>
      <c r="GH95" s="47" t="n">
        <v>1296.83666666667</v>
      </c>
      <c r="GI95" s="47" t="n">
        <v>1296.83666666667</v>
      </c>
      <c r="GJ95" s="47" t="n">
        <v>1296.83666666667</v>
      </c>
      <c r="GK95" s="47" t="n">
        <v>1296.83666666667</v>
      </c>
      <c r="GL95" s="47" t="n">
        <v>1296.83666666667</v>
      </c>
      <c r="GM95" s="47" t="n">
        <v>1481.00333333333</v>
      </c>
      <c r="GN95" s="47" t="n">
        <v>1481.00333333333</v>
      </c>
      <c r="GO95" s="47" t="n">
        <v>1481.00333333333</v>
      </c>
      <c r="GP95" s="47" t="n">
        <v>1481.00333333333</v>
      </c>
      <c r="GQ95" s="47" t="n">
        <v>1481.00333333333</v>
      </c>
      <c r="GR95" s="47" t="n">
        <v>1481.00333333333</v>
      </c>
      <c r="GS95" s="47" t="n">
        <v>920.833333333333</v>
      </c>
      <c r="GT95" s="47" t="n">
        <v>920.833333333333</v>
      </c>
      <c r="GU95" s="47" t="n">
        <v>920.833333333333</v>
      </c>
      <c r="GV95" s="47" t="n">
        <v>920.833333333333</v>
      </c>
      <c r="GW95" s="47" t="n">
        <v>1197.08458333333</v>
      </c>
      <c r="GX95" s="47" t="n">
        <v>1197.08458333333</v>
      </c>
      <c r="GY95" s="47" t="n">
        <v>1197.08458333333</v>
      </c>
      <c r="GZ95" s="47" t="n">
        <v>1381.24458333333</v>
      </c>
      <c r="HA95" s="47" t="n">
        <v>1381.24458333333</v>
      </c>
      <c r="HB95" s="47" t="n">
        <v>1381.24458333333</v>
      </c>
      <c r="HC95" s="47" t="n">
        <v>1381.24458333333</v>
      </c>
      <c r="HD95" s="47" t="n">
        <v>1381.24458333333</v>
      </c>
      <c r="HE95" s="47" t="n">
        <v>828.75</v>
      </c>
      <c r="HF95" s="47" t="n">
        <v>828.75</v>
      </c>
      <c r="HG95" s="47" t="n">
        <v>828.75</v>
      </c>
      <c r="HH95" s="47" t="n">
        <v>828.75</v>
      </c>
      <c r="HI95" s="48" t="n">
        <v>828.75</v>
      </c>
      <c r="HJ95" s="47" t="n">
        <v>828.75</v>
      </c>
      <c r="HK95" s="47" t="n">
        <v>828.75</v>
      </c>
      <c r="HL95" s="47" t="n">
        <v>828.75</v>
      </c>
      <c r="HM95" s="47" t="n">
        <v>828.75</v>
      </c>
      <c r="HN95" s="47" t="n">
        <v>828.75</v>
      </c>
      <c r="HO95" s="47" t="n">
        <v>828.75</v>
      </c>
      <c r="HP95" s="47" t="n">
        <v>828.75</v>
      </c>
      <c r="HQ95" s="47" t="n">
        <v>828.75</v>
      </c>
      <c r="HS95" s="47" t="n">
        <v>0</v>
      </c>
      <c r="HT95" s="47" t="n">
        <v>0</v>
      </c>
      <c r="HU95" s="47" t="n">
        <v>0</v>
      </c>
      <c r="HV95" s="47" t="n">
        <v>0</v>
      </c>
      <c r="HW95" s="47" t="n">
        <v>0</v>
      </c>
      <c r="HX95" s="47" t="n">
        <v>0</v>
      </c>
      <c r="HY95" s="47" t="n">
        <v>0</v>
      </c>
      <c r="HZ95" s="47" t="n">
        <v>0</v>
      </c>
      <c r="IA95" s="47" t="n">
        <v>0</v>
      </c>
      <c r="IB95" s="47" t="n">
        <v>0</v>
      </c>
      <c r="IC95" s="47" t="n">
        <v>0</v>
      </c>
      <c r="ID95" s="47" t="n">
        <v>0</v>
      </c>
      <c r="IE95" s="47" t="n">
        <v>0</v>
      </c>
      <c r="IF95" s="47" t="n">
        <v>0</v>
      </c>
      <c r="IG95" s="47" t="n">
        <v>0</v>
      </c>
      <c r="IH95" s="47" t="n">
        <v>0</v>
      </c>
      <c r="II95" s="47" t="n">
        <v>0</v>
      </c>
      <c r="IJ95" s="47" t="n">
        <v>0</v>
      </c>
      <c r="IK95" s="47" t="n">
        <v>0</v>
      </c>
      <c r="IL95" s="47" t="n">
        <v>0</v>
      </c>
      <c r="IM95" s="47" t="n">
        <v>0</v>
      </c>
      <c r="IN95" s="47" t="n">
        <v>0</v>
      </c>
      <c r="IO95" s="47" t="n">
        <v>1820.41230769231</v>
      </c>
      <c r="IP95" s="47" t="n">
        <v>1820.41230769231</v>
      </c>
      <c r="IQ95" s="47" t="n">
        <v>1820.41230769231</v>
      </c>
      <c r="IR95" s="47" t="n">
        <v>1820.41230769231</v>
      </c>
      <c r="IS95" s="47" t="n">
        <v>1820.41230769231</v>
      </c>
      <c r="IT95" s="47" t="n">
        <v>1820.41230769231</v>
      </c>
      <c r="IU95" s="47" t="n">
        <v>1820.41230769231</v>
      </c>
      <c r="IV95" s="47" t="n">
        <v>1820.41230769231</v>
      </c>
      <c r="IW95" s="47" t="n">
        <v>1820.41230769231</v>
      </c>
      <c r="IX95" s="47" t="n">
        <v>1820.41230769231</v>
      </c>
      <c r="IY95" s="47" t="n">
        <v>1820.41230769231</v>
      </c>
      <c r="IZ95" s="47" t="n">
        <v>1820.41230769231</v>
      </c>
      <c r="JA95" s="47" t="n">
        <v>1820.41230769231</v>
      </c>
      <c r="JB95" s="47" t="n">
        <v>1296.83666666667</v>
      </c>
      <c r="JC95" s="47" t="n">
        <v>1296.83666666667</v>
      </c>
      <c r="JD95" s="47" t="n">
        <v>1296.83666666667</v>
      </c>
      <c r="JE95" s="47" t="n">
        <v>1296.83666666667</v>
      </c>
      <c r="JF95" s="47" t="n">
        <v>1296.83666666667</v>
      </c>
      <c r="JG95" s="47" t="n">
        <v>1296.83666666667</v>
      </c>
      <c r="JH95" s="47" t="n">
        <v>1481.00333333333</v>
      </c>
      <c r="JI95" s="47" t="n">
        <v>1481.00333333333</v>
      </c>
      <c r="JJ95" s="47" t="n">
        <v>1481.00333333333</v>
      </c>
      <c r="JK95" s="47" t="n">
        <v>1481.00333333333</v>
      </c>
      <c r="JL95" s="47" t="n">
        <v>1481.00333333333</v>
      </c>
      <c r="JM95" s="47" t="n">
        <v>1481.00333333333</v>
      </c>
      <c r="JN95" s="47" t="n">
        <v>920.833333333333</v>
      </c>
      <c r="JO95" s="47" t="n">
        <v>920.833333333333</v>
      </c>
      <c r="JP95" s="47" t="n">
        <v>920.833333333333</v>
      </c>
      <c r="JQ95" s="47" t="n">
        <v>920.833333333333</v>
      </c>
      <c r="JR95" s="47" t="n">
        <v>1197.08458333333</v>
      </c>
      <c r="JS95" s="47" t="n">
        <v>1197.08458333333</v>
      </c>
      <c r="JT95" s="47" t="n">
        <v>1197.08458333333</v>
      </c>
      <c r="JU95" s="47" t="n">
        <v>1381.24458333333</v>
      </c>
      <c r="JV95" s="47" t="n">
        <v>1381.24458333333</v>
      </c>
      <c r="JW95" s="47" t="n">
        <v>1381.24458333333</v>
      </c>
      <c r="JX95" s="47" t="n">
        <v>1381.24458333333</v>
      </c>
      <c r="JY95" s="47" t="n">
        <v>1381.24458333333</v>
      </c>
      <c r="JZ95" s="47" t="n">
        <v>828.75</v>
      </c>
      <c r="KA95" s="47" t="n">
        <v>828.75</v>
      </c>
      <c r="KB95" s="47" t="n">
        <v>828.75</v>
      </c>
      <c r="KC95" s="47" t="n">
        <v>828.75</v>
      </c>
      <c r="KD95" s="48" t="n">
        <v>828.75</v>
      </c>
      <c r="KE95" s="47" t="n">
        <v>828.75</v>
      </c>
      <c r="KF95" s="47" t="n">
        <v>828.75</v>
      </c>
      <c r="KG95" s="47" t="n">
        <v>828.75</v>
      </c>
      <c r="KH95" s="47" t="n">
        <v>828.75</v>
      </c>
      <c r="KI95" s="47" t="n">
        <v>828.75</v>
      </c>
      <c r="KJ95" s="47" t="n">
        <v>828.75</v>
      </c>
      <c r="KK95" s="47" t="n">
        <v>828.75</v>
      </c>
      <c r="KL95" s="47" t="n">
        <v>828.75</v>
      </c>
    </row>
    <row r="96" customFormat="false" ht="15.75" hidden="false" customHeight="true" outlineLevel="0" collapsed="false">
      <c r="A96" s="35" t="s">
        <v>361</v>
      </c>
      <c r="B96" s="35" t="s">
        <v>362</v>
      </c>
      <c r="C96" s="35" t="s">
        <v>164</v>
      </c>
      <c r="D96" s="35" t="s">
        <v>270</v>
      </c>
      <c r="E96" s="35" t="s">
        <v>174</v>
      </c>
      <c r="G96" s="44" t="n">
        <v>0</v>
      </c>
      <c r="H96" s="44" t="n">
        <v>0</v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585</v>
      </c>
      <c r="AK96" s="44" t="n">
        <v>585</v>
      </c>
      <c r="AL96" s="44" t="n">
        <v>585</v>
      </c>
      <c r="AM96" s="44" t="n">
        <v>585</v>
      </c>
      <c r="AN96" s="44" t="n">
        <v>585</v>
      </c>
      <c r="AO96" s="44" t="n">
        <v>585</v>
      </c>
      <c r="AP96" s="44" t="n">
        <v>585</v>
      </c>
      <c r="AQ96" s="44" t="n">
        <v>585</v>
      </c>
      <c r="AR96" s="44" t="n">
        <v>585</v>
      </c>
      <c r="AS96" s="44" t="n">
        <v>585</v>
      </c>
      <c r="AT96" s="44" t="n">
        <v>585</v>
      </c>
      <c r="AU96" s="44" t="n">
        <v>585</v>
      </c>
      <c r="AV96" s="44" t="n">
        <v>585</v>
      </c>
      <c r="AW96" s="44" t="n">
        <v>585</v>
      </c>
      <c r="AX96" s="44" t="n">
        <v>585</v>
      </c>
      <c r="AY96" s="44" t="n">
        <v>585</v>
      </c>
      <c r="AZ96" s="44" t="n">
        <v>780</v>
      </c>
      <c r="BA96" s="44" t="n">
        <v>780</v>
      </c>
      <c r="BB96" s="44" t="n">
        <v>780</v>
      </c>
      <c r="BC96" s="44" t="n">
        <v>780</v>
      </c>
      <c r="BD96" s="44" t="n">
        <v>780</v>
      </c>
      <c r="BE96" s="44" t="n">
        <v>780</v>
      </c>
      <c r="BF96" s="44" t="n">
        <v>780</v>
      </c>
      <c r="BG96" s="44" t="n">
        <v>780</v>
      </c>
      <c r="BH96" s="44" t="n">
        <v>780</v>
      </c>
      <c r="BI96" s="44" t="n">
        <v>780</v>
      </c>
      <c r="BJ96" s="44" t="n">
        <v>780</v>
      </c>
      <c r="BK96" s="44" t="n">
        <v>780</v>
      </c>
      <c r="BL96" s="44" t="n">
        <v>780</v>
      </c>
      <c r="BM96" s="44" t="n">
        <v>780</v>
      </c>
      <c r="BN96" s="44" t="n">
        <v>780</v>
      </c>
      <c r="BO96" s="44" t="n">
        <v>780</v>
      </c>
      <c r="BP96" s="44" t="n">
        <v>780</v>
      </c>
      <c r="BQ96" s="44" t="n">
        <v>780</v>
      </c>
      <c r="BR96" s="45" t="n">
        <v>780</v>
      </c>
      <c r="BS96" s="46" t="n">
        <v>780</v>
      </c>
      <c r="BT96" s="46" t="n">
        <v>780</v>
      </c>
      <c r="BU96" s="46" t="n">
        <v>780</v>
      </c>
      <c r="BV96" s="46" t="n">
        <v>780</v>
      </c>
      <c r="BW96" s="46" t="n">
        <v>780</v>
      </c>
      <c r="BX96" s="46" t="n">
        <v>780</v>
      </c>
      <c r="BY96" s="46" t="n">
        <v>780</v>
      </c>
      <c r="BZ96" s="46" t="n">
        <v>780</v>
      </c>
      <c r="EX96" s="47" t="n">
        <v>0</v>
      </c>
      <c r="EY96" s="47" t="n">
        <v>0</v>
      </c>
      <c r="EZ96" s="47" t="n">
        <v>0</v>
      </c>
      <c r="FA96" s="47" t="n">
        <v>0</v>
      </c>
      <c r="FB96" s="47" t="n">
        <v>0</v>
      </c>
      <c r="FC96" s="47" t="n">
        <v>0</v>
      </c>
      <c r="FD96" s="47" t="n">
        <v>0</v>
      </c>
      <c r="FE96" s="47" t="n">
        <v>0</v>
      </c>
      <c r="FF96" s="47" t="n">
        <v>0</v>
      </c>
      <c r="FG96" s="47" t="n">
        <v>0</v>
      </c>
      <c r="FH96" s="47" t="n">
        <v>0</v>
      </c>
      <c r="FI96" s="47" t="n">
        <v>0</v>
      </c>
      <c r="FJ96" s="47" t="n">
        <v>0</v>
      </c>
      <c r="FK96" s="47" t="n">
        <v>0</v>
      </c>
      <c r="FL96" s="47" t="n">
        <v>0</v>
      </c>
      <c r="FM96" s="47" t="n">
        <v>0</v>
      </c>
      <c r="FN96" s="47" t="n">
        <v>0</v>
      </c>
      <c r="FO96" s="47" t="n">
        <v>0</v>
      </c>
      <c r="FP96" s="47" t="n">
        <v>0</v>
      </c>
      <c r="FQ96" s="47" t="n">
        <v>0</v>
      </c>
      <c r="FR96" s="47" t="n">
        <v>0</v>
      </c>
      <c r="FS96" s="47" t="n">
        <v>0</v>
      </c>
      <c r="FT96" s="47" t="n">
        <v>0</v>
      </c>
      <c r="FU96" s="47" t="n">
        <v>0</v>
      </c>
      <c r="FV96" s="47" t="n">
        <v>0</v>
      </c>
      <c r="FW96" s="47" t="n">
        <v>0</v>
      </c>
      <c r="FX96" s="47" t="n">
        <v>0</v>
      </c>
      <c r="FY96" s="47" t="n">
        <v>0</v>
      </c>
      <c r="FZ96" s="47" t="n">
        <v>0</v>
      </c>
      <c r="GA96" s="47" t="n">
        <v>585</v>
      </c>
      <c r="GB96" s="47" t="n">
        <v>585</v>
      </c>
      <c r="GC96" s="47" t="n">
        <v>585</v>
      </c>
      <c r="GD96" s="47" t="n">
        <v>585</v>
      </c>
      <c r="GE96" s="47" t="n">
        <v>585</v>
      </c>
      <c r="GF96" s="47" t="n">
        <v>585</v>
      </c>
      <c r="GG96" s="47" t="n">
        <v>585</v>
      </c>
      <c r="GH96" s="47" t="n">
        <v>585</v>
      </c>
      <c r="GI96" s="47" t="n">
        <v>585</v>
      </c>
      <c r="GJ96" s="47" t="n">
        <v>585</v>
      </c>
      <c r="GK96" s="47" t="n">
        <v>585</v>
      </c>
      <c r="GL96" s="47" t="n">
        <v>585</v>
      </c>
      <c r="GM96" s="47" t="n">
        <v>585</v>
      </c>
      <c r="GN96" s="47" t="n">
        <v>585</v>
      </c>
      <c r="GO96" s="47" t="n">
        <v>585</v>
      </c>
      <c r="GP96" s="47" t="n">
        <v>585</v>
      </c>
      <c r="GQ96" s="47" t="n">
        <v>780</v>
      </c>
      <c r="GR96" s="47" t="n">
        <v>780</v>
      </c>
      <c r="GS96" s="47" t="n">
        <v>780</v>
      </c>
      <c r="GT96" s="47" t="n">
        <v>780</v>
      </c>
      <c r="GU96" s="47" t="n">
        <v>780</v>
      </c>
      <c r="GV96" s="47" t="n">
        <v>780</v>
      </c>
      <c r="GW96" s="47" t="n">
        <v>780</v>
      </c>
      <c r="GX96" s="47" t="n">
        <v>780</v>
      </c>
      <c r="GY96" s="47" t="n">
        <v>780</v>
      </c>
      <c r="GZ96" s="47" t="n">
        <v>780</v>
      </c>
      <c r="HA96" s="47" t="n">
        <v>780</v>
      </c>
      <c r="HB96" s="47" t="n">
        <v>780</v>
      </c>
      <c r="HC96" s="47" t="n">
        <v>780</v>
      </c>
      <c r="HD96" s="47" t="n">
        <v>780</v>
      </c>
      <c r="HE96" s="47" t="n">
        <v>780</v>
      </c>
      <c r="HF96" s="47" t="n">
        <v>780</v>
      </c>
      <c r="HG96" s="47" t="n">
        <v>780</v>
      </c>
      <c r="HH96" s="47" t="n">
        <v>780</v>
      </c>
      <c r="HI96" s="48" t="n">
        <v>780</v>
      </c>
      <c r="HJ96" s="47" t="n">
        <v>780</v>
      </c>
      <c r="HK96" s="47" t="n">
        <v>780</v>
      </c>
      <c r="HL96" s="47" t="n">
        <v>780</v>
      </c>
      <c r="HM96" s="47" t="n">
        <v>780</v>
      </c>
      <c r="HN96" s="47" t="n">
        <v>780</v>
      </c>
      <c r="HO96" s="47" t="n">
        <v>780</v>
      </c>
      <c r="HP96" s="47" t="n">
        <v>780</v>
      </c>
      <c r="HQ96" s="47" t="n">
        <v>780</v>
      </c>
      <c r="HS96" s="47" t="n">
        <v>0</v>
      </c>
      <c r="HT96" s="47" t="n">
        <v>0</v>
      </c>
      <c r="HU96" s="47" t="n">
        <v>0</v>
      </c>
      <c r="HV96" s="47" t="n">
        <v>0</v>
      </c>
      <c r="HW96" s="47" t="n">
        <v>0</v>
      </c>
      <c r="HX96" s="47" t="n">
        <v>0</v>
      </c>
      <c r="HY96" s="47" t="n">
        <v>0</v>
      </c>
      <c r="HZ96" s="47" t="n">
        <v>0</v>
      </c>
      <c r="IA96" s="47" t="n">
        <v>0</v>
      </c>
      <c r="IB96" s="47" t="n">
        <v>0</v>
      </c>
      <c r="IC96" s="47" t="n">
        <v>0</v>
      </c>
      <c r="ID96" s="47" t="n">
        <v>0</v>
      </c>
      <c r="IE96" s="47" t="n">
        <v>0</v>
      </c>
      <c r="IF96" s="47" t="n">
        <v>0</v>
      </c>
      <c r="IG96" s="47" t="n">
        <v>0</v>
      </c>
      <c r="IH96" s="47" t="n">
        <v>0</v>
      </c>
      <c r="II96" s="47" t="n">
        <v>0</v>
      </c>
      <c r="IJ96" s="47" t="n">
        <v>0</v>
      </c>
      <c r="IK96" s="47" t="n">
        <v>0</v>
      </c>
      <c r="IL96" s="47" t="n">
        <v>0</v>
      </c>
      <c r="IM96" s="47" t="n">
        <v>0</v>
      </c>
      <c r="IN96" s="47" t="n">
        <v>0</v>
      </c>
      <c r="IO96" s="47" t="n">
        <v>0</v>
      </c>
      <c r="IP96" s="47" t="n">
        <v>0</v>
      </c>
      <c r="IQ96" s="47" t="n">
        <v>0</v>
      </c>
      <c r="IR96" s="47" t="n">
        <v>0</v>
      </c>
      <c r="IS96" s="47" t="n">
        <v>0</v>
      </c>
      <c r="IT96" s="47" t="n">
        <v>0</v>
      </c>
      <c r="IU96" s="47" t="n">
        <v>0</v>
      </c>
      <c r="IV96" s="47" t="n">
        <v>585</v>
      </c>
      <c r="IW96" s="47" t="n">
        <v>585</v>
      </c>
      <c r="IX96" s="47" t="n">
        <v>585</v>
      </c>
      <c r="IY96" s="47" t="n">
        <v>585</v>
      </c>
      <c r="IZ96" s="47" t="n">
        <v>585</v>
      </c>
      <c r="JA96" s="47" t="n">
        <v>585</v>
      </c>
      <c r="JB96" s="47" t="n">
        <v>585</v>
      </c>
      <c r="JC96" s="47" t="n">
        <v>585</v>
      </c>
      <c r="JD96" s="47" t="n">
        <v>585</v>
      </c>
      <c r="JE96" s="47" t="n">
        <v>585</v>
      </c>
      <c r="JF96" s="47" t="n">
        <v>585</v>
      </c>
      <c r="JG96" s="47" t="n">
        <v>585</v>
      </c>
      <c r="JH96" s="47" t="n">
        <v>585</v>
      </c>
      <c r="JI96" s="47" t="n">
        <v>585</v>
      </c>
      <c r="JJ96" s="47" t="n">
        <v>585</v>
      </c>
      <c r="JK96" s="47" t="n">
        <v>585</v>
      </c>
      <c r="JL96" s="47" t="n">
        <v>780</v>
      </c>
      <c r="JM96" s="47" t="n">
        <v>780</v>
      </c>
      <c r="JN96" s="47" t="n">
        <v>780</v>
      </c>
      <c r="JO96" s="47" t="n">
        <v>780</v>
      </c>
      <c r="JP96" s="47" t="n">
        <v>780</v>
      </c>
      <c r="JQ96" s="47" t="n">
        <v>780</v>
      </c>
      <c r="JR96" s="47" t="n">
        <v>780</v>
      </c>
      <c r="JS96" s="47" t="n">
        <v>780</v>
      </c>
      <c r="JT96" s="47" t="n">
        <v>780</v>
      </c>
      <c r="JU96" s="47" t="n">
        <v>780</v>
      </c>
      <c r="JV96" s="47" t="n">
        <v>780</v>
      </c>
      <c r="JW96" s="47" t="n">
        <v>780</v>
      </c>
      <c r="JX96" s="47" t="n">
        <v>780</v>
      </c>
      <c r="JY96" s="47" t="n">
        <v>780</v>
      </c>
      <c r="JZ96" s="47" t="n">
        <v>780</v>
      </c>
      <c r="KA96" s="47" t="n">
        <v>780</v>
      </c>
      <c r="KB96" s="47" t="n">
        <v>780</v>
      </c>
      <c r="KC96" s="47" t="n">
        <v>780</v>
      </c>
      <c r="KD96" s="48" t="n">
        <v>780</v>
      </c>
      <c r="KE96" s="47" t="n">
        <v>780</v>
      </c>
      <c r="KF96" s="47" t="n">
        <v>780</v>
      </c>
      <c r="KG96" s="47" t="n">
        <v>780</v>
      </c>
      <c r="KH96" s="47" t="n">
        <v>780</v>
      </c>
      <c r="KI96" s="47" t="n">
        <v>780</v>
      </c>
      <c r="KJ96" s="47" t="n">
        <v>780</v>
      </c>
      <c r="KK96" s="47" t="n">
        <v>780</v>
      </c>
      <c r="KL96" s="47" t="n">
        <v>780</v>
      </c>
    </row>
    <row r="97" customFormat="false" ht="15.75" hidden="false" customHeight="true" outlineLevel="0" collapsed="false">
      <c r="A97" s="35" t="s">
        <v>363</v>
      </c>
      <c r="B97" s="35" t="s">
        <v>364</v>
      </c>
      <c r="C97" s="35" t="s">
        <v>164</v>
      </c>
      <c r="D97" s="35" t="s">
        <v>283</v>
      </c>
      <c r="E97" s="35" t="s">
        <v>174</v>
      </c>
      <c r="G97" s="44" t="n">
        <v>0</v>
      </c>
      <c r="H97" s="44" t="n">
        <v>0</v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  <c r="AL97" s="44" t="n">
        <v>0</v>
      </c>
      <c r="AM97" s="44" t="n">
        <v>0</v>
      </c>
      <c r="AN97" s="44" t="n">
        <v>0</v>
      </c>
      <c r="AO97" s="44" t="n">
        <v>0</v>
      </c>
      <c r="AP97" s="44" t="n">
        <v>0</v>
      </c>
      <c r="AQ97" s="44" t="n">
        <v>0</v>
      </c>
      <c r="AR97" s="44" t="n">
        <v>0</v>
      </c>
      <c r="AS97" s="44" t="n">
        <v>0</v>
      </c>
      <c r="AT97" s="44" t="n">
        <v>0</v>
      </c>
      <c r="AU97" s="44" t="n">
        <v>0</v>
      </c>
      <c r="AV97" s="44" t="n">
        <v>0</v>
      </c>
      <c r="AW97" s="44" t="n">
        <v>0</v>
      </c>
      <c r="AX97" s="44" t="n">
        <v>0</v>
      </c>
      <c r="AY97" s="44" t="n">
        <v>0</v>
      </c>
      <c r="AZ97" s="44" t="n">
        <v>833.333333333333</v>
      </c>
      <c r="BA97" s="44" t="n">
        <v>833.333333333333</v>
      </c>
      <c r="BB97" s="44" t="n">
        <v>833.333333333333</v>
      </c>
      <c r="BC97" s="44" t="n">
        <v>833.333333333333</v>
      </c>
      <c r="BD97" s="44" t="n">
        <v>833.333333333333</v>
      </c>
      <c r="BE97" s="44" t="n">
        <v>833.333333333333</v>
      </c>
      <c r="BF97" s="44" t="n">
        <v>833.333333333333</v>
      </c>
      <c r="BG97" s="44" t="n">
        <v>833.333333333333</v>
      </c>
      <c r="BH97" s="44" t="n">
        <v>833.333333333333</v>
      </c>
      <c r="BI97" s="44" t="n">
        <v>833.333333333333</v>
      </c>
      <c r="BJ97" s="44" t="n">
        <v>833.333333333333</v>
      </c>
      <c r="BK97" s="44" t="n">
        <v>833.333333333333</v>
      </c>
      <c r="BL97" s="44" t="n">
        <v>2000</v>
      </c>
      <c r="BM97" s="44" t="n">
        <v>2000</v>
      </c>
      <c r="BN97" s="44" t="n">
        <v>2000</v>
      </c>
      <c r="BO97" s="44" t="n">
        <v>2000</v>
      </c>
      <c r="BP97" s="44" t="n">
        <v>2000</v>
      </c>
      <c r="BQ97" s="44" t="n">
        <v>2300</v>
      </c>
      <c r="BR97" s="45" t="n">
        <v>2300</v>
      </c>
      <c r="BS97" s="46" t="n">
        <v>2300</v>
      </c>
      <c r="BT97" s="46" t="n">
        <v>2300</v>
      </c>
      <c r="BU97" s="46" t="n">
        <v>2300</v>
      </c>
      <c r="BV97" s="46" t="n">
        <v>2300</v>
      </c>
      <c r="BW97" s="46" t="n">
        <v>2300</v>
      </c>
      <c r="BX97" s="46" t="n">
        <v>2300</v>
      </c>
      <c r="BY97" s="46" t="n">
        <v>2300</v>
      </c>
      <c r="BZ97" s="46" t="n">
        <v>2300</v>
      </c>
      <c r="EX97" s="47" t="n">
        <v>0</v>
      </c>
      <c r="EY97" s="47" t="n">
        <v>0</v>
      </c>
      <c r="EZ97" s="47" t="n">
        <v>0</v>
      </c>
      <c r="FA97" s="47" t="n">
        <v>0</v>
      </c>
      <c r="FB97" s="47" t="n">
        <v>0</v>
      </c>
      <c r="FC97" s="47" t="n">
        <v>0</v>
      </c>
      <c r="FD97" s="47" t="n">
        <v>0</v>
      </c>
      <c r="FE97" s="47" t="n">
        <v>0</v>
      </c>
      <c r="FF97" s="47" t="n">
        <v>0</v>
      </c>
      <c r="FG97" s="47" t="n">
        <v>0</v>
      </c>
      <c r="FH97" s="47" t="n">
        <v>0</v>
      </c>
      <c r="FI97" s="47" t="n">
        <v>0</v>
      </c>
      <c r="FJ97" s="47" t="n">
        <v>0</v>
      </c>
      <c r="FK97" s="47" t="n">
        <v>0</v>
      </c>
      <c r="FL97" s="47" t="n">
        <v>0</v>
      </c>
      <c r="FM97" s="47" t="n">
        <v>0</v>
      </c>
      <c r="FN97" s="47" t="n">
        <v>0</v>
      </c>
      <c r="FO97" s="47" t="n">
        <v>0</v>
      </c>
      <c r="FP97" s="47" t="n">
        <v>0</v>
      </c>
      <c r="FQ97" s="47" t="n">
        <v>0</v>
      </c>
      <c r="FR97" s="47" t="n">
        <v>0</v>
      </c>
      <c r="FS97" s="47" t="n">
        <v>0</v>
      </c>
      <c r="FT97" s="47" t="n">
        <v>0</v>
      </c>
      <c r="FU97" s="47" t="n">
        <v>0</v>
      </c>
      <c r="FV97" s="47" t="n">
        <v>0</v>
      </c>
      <c r="FW97" s="47" t="n">
        <v>0</v>
      </c>
      <c r="FX97" s="47" t="n">
        <v>0</v>
      </c>
      <c r="FY97" s="47" t="n">
        <v>0</v>
      </c>
      <c r="FZ97" s="47" t="n">
        <v>0</v>
      </c>
      <c r="GA97" s="47" t="n">
        <v>0</v>
      </c>
      <c r="GB97" s="47" t="n">
        <v>0</v>
      </c>
      <c r="GC97" s="47" t="n">
        <v>0</v>
      </c>
      <c r="GD97" s="47" t="n">
        <v>0</v>
      </c>
      <c r="GE97" s="47" t="n">
        <v>0</v>
      </c>
      <c r="GF97" s="47" t="n">
        <v>0</v>
      </c>
      <c r="GG97" s="47" t="n">
        <v>0</v>
      </c>
      <c r="GH97" s="47" t="n">
        <v>0</v>
      </c>
      <c r="GI97" s="47" t="n">
        <v>0</v>
      </c>
      <c r="GJ97" s="47" t="n">
        <v>0</v>
      </c>
      <c r="GK97" s="47" t="n">
        <v>0</v>
      </c>
      <c r="GL97" s="47" t="n">
        <v>0</v>
      </c>
      <c r="GM97" s="47" t="n">
        <v>0</v>
      </c>
      <c r="GN97" s="47" t="n">
        <v>0</v>
      </c>
      <c r="GO97" s="47" t="n">
        <v>0</v>
      </c>
      <c r="GP97" s="47" t="n">
        <v>0</v>
      </c>
      <c r="GQ97" s="47" t="n">
        <v>833.333333333333</v>
      </c>
      <c r="GR97" s="47" t="n">
        <v>833.333333333333</v>
      </c>
      <c r="GS97" s="47" t="n">
        <v>833.333333333333</v>
      </c>
      <c r="GT97" s="47" t="n">
        <v>833.333333333333</v>
      </c>
      <c r="GU97" s="47" t="n">
        <v>833.333333333333</v>
      </c>
      <c r="GV97" s="47" t="n">
        <v>833.333333333333</v>
      </c>
      <c r="GW97" s="47" t="n">
        <v>833.333333333333</v>
      </c>
      <c r="GX97" s="47" t="n">
        <v>833.333333333333</v>
      </c>
      <c r="GY97" s="47" t="n">
        <v>833.333333333333</v>
      </c>
      <c r="GZ97" s="47" t="n">
        <v>833.333333333333</v>
      </c>
      <c r="HA97" s="47" t="n">
        <v>833.333333333333</v>
      </c>
      <c r="HB97" s="47" t="n">
        <v>833.333333333333</v>
      </c>
      <c r="HC97" s="47" t="n">
        <v>2000</v>
      </c>
      <c r="HD97" s="47" t="n">
        <v>2000</v>
      </c>
      <c r="HE97" s="47" t="n">
        <v>2000</v>
      </c>
      <c r="HF97" s="47" t="n">
        <v>2000</v>
      </c>
      <c r="HG97" s="47" t="n">
        <v>2000</v>
      </c>
      <c r="HH97" s="47" t="n">
        <v>2300</v>
      </c>
      <c r="HI97" s="48" t="n">
        <v>2300</v>
      </c>
      <c r="HJ97" s="47" t="n">
        <v>2300</v>
      </c>
      <c r="HK97" s="47" t="n">
        <v>2300</v>
      </c>
      <c r="HL97" s="47" t="n">
        <v>2300</v>
      </c>
      <c r="HM97" s="47" t="n">
        <v>2300</v>
      </c>
      <c r="HN97" s="47" t="n">
        <v>2300</v>
      </c>
      <c r="HO97" s="47" t="n">
        <v>2300</v>
      </c>
      <c r="HP97" s="47" t="n">
        <v>2300</v>
      </c>
      <c r="HQ97" s="47" t="n">
        <v>2300</v>
      </c>
      <c r="HS97" s="47" t="n">
        <v>0</v>
      </c>
      <c r="HT97" s="47" t="n">
        <v>0</v>
      </c>
      <c r="HU97" s="47" t="n">
        <v>0</v>
      </c>
      <c r="HV97" s="47" t="n">
        <v>0</v>
      </c>
      <c r="HW97" s="47" t="n">
        <v>0</v>
      </c>
      <c r="HX97" s="47" t="n">
        <v>0</v>
      </c>
      <c r="HY97" s="47" t="n">
        <v>0</v>
      </c>
      <c r="HZ97" s="47" t="n">
        <v>0</v>
      </c>
      <c r="IA97" s="47" t="n">
        <v>0</v>
      </c>
      <c r="IB97" s="47" t="n">
        <v>0</v>
      </c>
      <c r="IC97" s="47" t="n">
        <v>0</v>
      </c>
      <c r="ID97" s="47" t="n">
        <v>0</v>
      </c>
      <c r="IE97" s="47" t="n">
        <v>0</v>
      </c>
      <c r="IF97" s="47" t="n">
        <v>0</v>
      </c>
      <c r="IG97" s="47" t="n">
        <v>0</v>
      </c>
      <c r="IH97" s="47" t="n">
        <v>0</v>
      </c>
      <c r="II97" s="47" t="n">
        <v>0</v>
      </c>
      <c r="IJ97" s="47" t="n">
        <v>0</v>
      </c>
      <c r="IK97" s="47" t="n">
        <v>0</v>
      </c>
      <c r="IL97" s="47" t="n">
        <v>0</v>
      </c>
      <c r="IM97" s="47" t="n">
        <v>0</v>
      </c>
      <c r="IN97" s="47" t="n">
        <v>0</v>
      </c>
      <c r="IO97" s="47" t="n">
        <v>0</v>
      </c>
      <c r="IP97" s="47" t="n">
        <v>0</v>
      </c>
      <c r="IQ97" s="47" t="n">
        <v>0</v>
      </c>
      <c r="IR97" s="47" t="n">
        <v>0</v>
      </c>
      <c r="IS97" s="47" t="n">
        <v>0</v>
      </c>
      <c r="IT97" s="47" t="n">
        <v>0</v>
      </c>
      <c r="IU97" s="47" t="n">
        <v>0</v>
      </c>
      <c r="IV97" s="47" t="n">
        <v>0</v>
      </c>
      <c r="IW97" s="47" t="n">
        <v>0</v>
      </c>
      <c r="IX97" s="47" t="n">
        <v>0</v>
      </c>
      <c r="IY97" s="47" t="n">
        <v>0</v>
      </c>
      <c r="IZ97" s="47" t="n">
        <v>0</v>
      </c>
      <c r="JA97" s="47" t="n">
        <v>0</v>
      </c>
      <c r="JB97" s="47" t="n">
        <v>0</v>
      </c>
      <c r="JC97" s="47" t="n">
        <v>0</v>
      </c>
      <c r="JD97" s="47" t="n">
        <v>0</v>
      </c>
      <c r="JE97" s="47" t="n">
        <v>0</v>
      </c>
      <c r="JF97" s="47" t="n">
        <v>0</v>
      </c>
      <c r="JG97" s="47" t="n">
        <v>0</v>
      </c>
      <c r="JH97" s="47" t="n">
        <v>0</v>
      </c>
      <c r="JI97" s="47" t="n">
        <v>0</v>
      </c>
      <c r="JJ97" s="47" t="n">
        <v>0</v>
      </c>
      <c r="JK97" s="47" t="n">
        <v>0</v>
      </c>
      <c r="JL97" s="47" t="n">
        <v>833.333333333333</v>
      </c>
      <c r="JM97" s="47" t="n">
        <v>833.333333333333</v>
      </c>
      <c r="JN97" s="47" t="n">
        <v>833.333333333333</v>
      </c>
      <c r="JO97" s="47" t="n">
        <v>833.333333333333</v>
      </c>
      <c r="JP97" s="47" t="n">
        <v>833.333333333333</v>
      </c>
      <c r="JQ97" s="47" t="n">
        <v>833.333333333333</v>
      </c>
      <c r="JR97" s="47" t="n">
        <v>833.333333333333</v>
      </c>
      <c r="JS97" s="47" t="n">
        <v>833.333333333333</v>
      </c>
      <c r="JT97" s="47" t="n">
        <v>833.333333333333</v>
      </c>
      <c r="JU97" s="47" t="n">
        <v>833.333333333333</v>
      </c>
      <c r="JV97" s="47" t="n">
        <v>833.333333333333</v>
      </c>
      <c r="JW97" s="47" t="n">
        <v>833.333333333333</v>
      </c>
      <c r="JX97" s="47" t="n">
        <v>2000</v>
      </c>
      <c r="JY97" s="47" t="n">
        <v>2000</v>
      </c>
      <c r="JZ97" s="47" t="n">
        <v>2000</v>
      </c>
      <c r="KA97" s="47" t="n">
        <v>2000</v>
      </c>
      <c r="KB97" s="47" t="n">
        <v>2000</v>
      </c>
      <c r="KC97" s="47" t="n">
        <v>2300</v>
      </c>
      <c r="KD97" s="48" t="n">
        <v>2300</v>
      </c>
      <c r="KE97" s="47" t="n">
        <v>2300</v>
      </c>
      <c r="KF97" s="47" t="n">
        <v>2300</v>
      </c>
      <c r="KG97" s="47" t="n">
        <v>2300</v>
      </c>
      <c r="KH97" s="47" t="n">
        <v>2300</v>
      </c>
      <c r="KI97" s="47" t="n">
        <v>2300</v>
      </c>
      <c r="KJ97" s="47" t="n">
        <v>2300</v>
      </c>
      <c r="KK97" s="47" t="n">
        <v>2300</v>
      </c>
      <c r="KL97" s="47" t="n">
        <v>2300</v>
      </c>
    </row>
    <row r="98" customFormat="false" ht="15.75" hidden="false" customHeight="true" outlineLevel="0" collapsed="false">
      <c r="A98" s="35" t="s">
        <v>365</v>
      </c>
      <c r="B98" s="35" t="s">
        <v>366</v>
      </c>
      <c r="C98" s="35" t="s">
        <v>164</v>
      </c>
      <c r="D98" s="35" t="s">
        <v>173</v>
      </c>
      <c r="E98" s="35" t="s">
        <v>174</v>
      </c>
      <c r="G98" s="44" t="n">
        <v>2002.07666666667</v>
      </c>
      <c r="H98" s="44" t="n">
        <v>2002.07666666667</v>
      </c>
      <c r="I98" s="44" t="n">
        <v>2002.07666666667</v>
      </c>
      <c r="J98" s="44" t="n">
        <v>2002.07666666667</v>
      </c>
      <c r="K98" s="44" t="n">
        <v>2002.07666666667</v>
      </c>
      <c r="L98" s="44" t="n">
        <v>2002.07666666667</v>
      </c>
      <c r="M98" s="44" t="n">
        <v>2002.08333333333</v>
      </c>
      <c r="N98" s="44" t="n">
        <v>2002.08333333333</v>
      </c>
      <c r="O98" s="44" t="n">
        <v>2002.08333333333</v>
      </c>
      <c r="P98" s="44" t="n">
        <v>2002.08333333333</v>
      </c>
      <c r="Q98" s="44" t="n">
        <v>2002.08333333333</v>
      </c>
      <c r="R98" s="44" t="n">
        <v>2002.08333333333</v>
      </c>
      <c r="S98" s="44" t="n">
        <v>2002.08333333333</v>
      </c>
      <c r="T98" s="44" t="n">
        <v>2002.08333333333</v>
      </c>
      <c r="U98" s="44" t="n">
        <v>2002.08333333333</v>
      </c>
      <c r="V98" s="44" t="n">
        <v>2002.08333333333</v>
      </c>
      <c r="W98" s="44" t="n">
        <v>2002.08333333333</v>
      </c>
      <c r="X98" s="44" t="n">
        <v>2002.08333333333</v>
      </c>
      <c r="Y98" s="44" t="n">
        <v>2002.08333333333</v>
      </c>
      <c r="Z98" s="44" t="n">
        <v>2002.08333333333</v>
      </c>
      <c r="AA98" s="44" t="n">
        <v>2002.08333333333</v>
      </c>
      <c r="AB98" s="44" t="n">
        <v>2002.08333333333</v>
      </c>
      <c r="AC98" s="44" t="n">
        <v>2002.08333333333</v>
      </c>
      <c r="AD98" s="44" t="n">
        <v>2002.08333333333</v>
      </c>
      <c r="AE98" s="44" t="n">
        <v>2002.08333333333</v>
      </c>
      <c r="AF98" s="44" t="n">
        <v>2002.08333333333</v>
      </c>
      <c r="AG98" s="44" t="n">
        <v>2002.08333333333</v>
      </c>
      <c r="AH98" s="44" t="n">
        <v>2002.08333333333</v>
      </c>
      <c r="AI98" s="44" t="n">
        <v>2002.08333333333</v>
      </c>
      <c r="AJ98" s="44" t="n">
        <v>2002.08333333333</v>
      </c>
      <c r="AK98" s="44" t="n">
        <v>0</v>
      </c>
      <c r="AL98" s="44" t="n">
        <v>0</v>
      </c>
      <c r="AM98" s="44" t="n">
        <v>0</v>
      </c>
      <c r="AN98" s="44" t="n">
        <v>0</v>
      </c>
      <c r="AO98" s="44" t="n">
        <v>0</v>
      </c>
      <c r="AP98" s="44" t="n">
        <v>0</v>
      </c>
      <c r="BS98" s="46" t="n">
        <v>0</v>
      </c>
      <c r="BT98" s="46" t="n">
        <v>0</v>
      </c>
      <c r="BU98" s="46" t="n">
        <v>0</v>
      </c>
      <c r="BV98" s="46" t="n">
        <v>0</v>
      </c>
      <c r="BW98" s="46" t="n">
        <v>0</v>
      </c>
      <c r="BX98" s="46" t="n">
        <v>0</v>
      </c>
      <c r="BY98" s="46" t="n">
        <v>0</v>
      </c>
      <c r="BZ98" s="46" t="n">
        <v>0</v>
      </c>
      <c r="EX98" s="47" t="n">
        <v>2002.07666666667</v>
      </c>
      <c r="EY98" s="47" t="n">
        <v>2002.07666666667</v>
      </c>
      <c r="EZ98" s="47" t="n">
        <v>2002.07666666667</v>
      </c>
      <c r="FA98" s="47" t="n">
        <v>2002.07666666667</v>
      </c>
      <c r="FB98" s="47" t="n">
        <v>2002.07666666667</v>
      </c>
      <c r="FC98" s="47" t="n">
        <v>2002.07666666667</v>
      </c>
      <c r="FD98" s="47" t="n">
        <v>2002.08333333333</v>
      </c>
      <c r="FE98" s="47" t="n">
        <v>2002.08333333333</v>
      </c>
      <c r="FF98" s="47" t="n">
        <v>2002.08333333333</v>
      </c>
      <c r="FG98" s="47" t="n">
        <v>2002.08333333333</v>
      </c>
      <c r="FH98" s="47" t="n">
        <v>2002.08333333333</v>
      </c>
      <c r="FI98" s="47" t="n">
        <v>2002.08333333333</v>
      </c>
      <c r="FJ98" s="47" t="n">
        <v>2002.08333333333</v>
      </c>
      <c r="FK98" s="47" t="n">
        <v>2002.08333333333</v>
      </c>
      <c r="FL98" s="47" t="n">
        <v>2002.08333333333</v>
      </c>
      <c r="FM98" s="47" t="n">
        <v>2002.08333333333</v>
      </c>
      <c r="FN98" s="47" t="n">
        <v>2002.08333333333</v>
      </c>
      <c r="FO98" s="47" t="n">
        <v>2002.08333333333</v>
      </c>
      <c r="FP98" s="47" t="n">
        <v>2002.08333333333</v>
      </c>
      <c r="FQ98" s="47" t="n">
        <v>2002.08333333333</v>
      </c>
      <c r="FR98" s="47" t="n">
        <v>2002.08333333333</v>
      </c>
      <c r="FS98" s="47" t="n">
        <v>2002.08333333333</v>
      </c>
      <c r="FT98" s="47" t="n">
        <v>2002.08333333333</v>
      </c>
      <c r="FU98" s="47" t="n">
        <v>2002.08333333333</v>
      </c>
      <c r="FV98" s="47" t="n">
        <v>2002.08333333333</v>
      </c>
      <c r="FW98" s="47" t="n">
        <v>2002.08333333333</v>
      </c>
      <c r="FX98" s="47" t="n">
        <v>2002.08333333333</v>
      </c>
      <c r="FY98" s="47" t="n">
        <v>2002.08333333333</v>
      </c>
      <c r="FZ98" s="47" t="n">
        <v>2002.08333333333</v>
      </c>
      <c r="GA98" s="47" t="n">
        <v>2002.08333333333</v>
      </c>
      <c r="GB98" s="47" t="n">
        <v>0</v>
      </c>
      <c r="GC98" s="47" t="n">
        <v>0</v>
      </c>
      <c r="GD98" s="47" t="n">
        <v>0</v>
      </c>
      <c r="GE98" s="47" t="n">
        <v>0</v>
      </c>
      <c r="GF98" s="47" t="n">
        <v>0</v>
      </c>
      <c r="GG98" s="47" t="n">
        <v>0</v>
      </c>
      <c r="GH98" s="47" t="n">
        <v>0</v>
      </c>
      <c r="GI98" s="47" t="n">
        <v>0</v>
      </c>
      <c r="GJ98" s="47" t="n">
        <v>0</v>
      </c>
      <c r="GK98" s="47" t="n">
        <v>0</v>
      </c>
      <c r="GL98" s="47" t="n">
        <v>0</v>
      </c>
      <c r="GM98" s="47" t="n">
        <v>0</v>
      </c>
      <c r="GN98" s="47" t="n">
        <v>0</v>
      </c>
      <c r="GO98" s="47" t="n">
        <v>0</v>
      </c>
      <c r="GP98" s="47" t="n">
        <v>0</v>
      </c>
      <c r="GQ98" s="47" t="n">
        <v>0</v>
      </c>
      <c r="GR98" s="47" t="n">
        <v>0</v>
      </c>
      <c r="GS98" s="47" t="n">
        <v>0</v>
      </c>
      <c r="GT98" s="47" t="n">
        <v>0</v>
      </c>
      <c r="GU98" s="47" t="n">
        <v>0</v>
      </c>
      <c r="GV98" s="47" t="n">
        <v>0</v>
      </c>
      <c r="GW98" s="47" t="n">
        <v>0</v>
      </c>
      <c r="GX98" s="47" t="n">
        <v>0</v>
      </c>
      <c r="GY98" s="47" t="n">
        <v>0</v>
      </c>
      <c r="GZ98" s="47" t="n">
        <v>0</v>
      </c>
      <c r="HA98" s="47" t="n">
        <v>0</v>
      </c>
      <c r="HB98" s="47" t="n">
        <v>0</v>
      </c>
      <c r="HC98" s="47" t="n">
        <v>0</v>
      </c>
      <c r="HD98" s="47" t="n">
        <v>0</v>
      </c>
      <c r="HE98" s="47" t="n">
        <v>0</v>
      </c>
      <c r="HF98" s="47" t="n">
        <v>0</v>
      </c>
      <c r="HG98" s="47" t="n">
        <v>0</v>
      </c>
      <c r="HH98" s="47" t="n">
        <v>0</v>
      </c>
      <c r="HI98" s="48" t="n">
        <v>0</v>
      </c>
      <c r="HJ98" s="47" t="n">
        <v>0</v>
      </c>
      <c r="HK98" s="47" t="n">
        <v>0</v>
      </c>
      <c r="HL98" s="47" t="n">
        <v>0</v>
      </c>
      <c r="HM98" s="47" t="n">
        <v>0</v>
      </c>
      <c r="HN98" s="47" t="n">
        <v>0</v>
      </c>
      <c r="HO98" s="47" t="n">
        <v>0</v>
      </c>
      <c r="HP98" s="47" t="n">
        <v>0</v>
      </c>
      <c r="HQ98" s="47" t="n">
        <v>0</v>
      </c>
      <c r="HS98" s="47" t="n">
        <v>2002.07666666667</v>
      </c>
      <c r="HT98" s="47" t="n">
        <v>2002.07666666667</v>
      </c>
      <c r="HU98" s="47" t="n">
        <v>2002.07666666667</v>
      </c>
      <c r="HV98" s="47" t="n">
        <v>2002.07666666667</v>
      </c>
      <c r="HW98" s="47" t="n">
        <v>2002.07666666667</v>
      </c>
      <c r="HX98" s="47" t="n">
        <v>2002.07666666667</v>
      </c>
      <c r="HY98" s="47" t="n">
        <v>2002.08333333333</v>
      </c>
      <c r="HZ98" s="47" t="n">
        <v>2002.08333333333</v>
      </c>
      <c r="IA98" s="47" t="n">
        <v>2002.08333333333</v>
      </c>
      <c r="IB98" s="47" t="n">
        <v>2002.08333333333</v>
      </c>
      <c r="IC98" s="47" t="n">
        <v>2002.08333333333</v>
      </c>
      <c r="ID98" s="47" t="n">
        <v>2002.08333333333</v>
      </c>
      <c r="IE98" s="47" t="n">
        <v>2002.08333333333</v>
      </c>
      <c r="IF98" s="47" t="n">
        <v>2002.08333333333</v>
      </c>
      <c r="IG98" s="47" t="n">
        <v>2002.08333333333</v>
      </c>
      <c r="IH98" s="47" t="n">
        <v>2002.08333333333</v>
      </c>
      <c r="II98" s="47" t="n">
        <v>2002.08333333333</v>
      </c>
      <c r="IJ98" s="47" t="n">
        <v>2002.08333333333</v>
      </c>
      <c r="IK98" s="47" t="n">
        <v>2002.08333333333</v>
      </c>
      <c r="IL98" s="47" t="n">
        <v>2002.08333333333</v>
      </c>
      <c r="IM98" s="47" t="n">
        <v>2002.08333333333</v>
      </c>
      <c r="IN98" s="47" t="n">
        <v>2002.08333333333</v>
      </c>
      <c r="IO98" s="47" t="n">
        <v>2002.08333333333</v>
      </c>
      <c r="IP98" s="47" t="n">
        <v>2002.08333333333</v>
      </c>
      <c r="IQ98" s="47" t="n">
        <v>2002.08333333333</v>
      </c>
      <c r="IR98" s="47" t="n">
        <v>2002.08333333333</v>
      </c>
      <c r="IS98" s="47" t="n">
        <v>2002.08333333333</v>
      </c>
      <c r="IT98" s="47" t="n">
        <v>2002.08333333333</v>
      </c>
      <c r="IU98" s="47" t="n">
        <v>2002.08333333333</v>
      </c>
      <c r="IV98" s="47" t="n">
        <v>2002.08333333333</v>
      </c>
      <c r="IW98" s="47" t="n">
        <v>0</v>
      </c>
      <c r="IX98" s="47" t="n">
        <v>0</v>
      </c>
      <c r="IY98" s="47" t="n">
        <v>0</v>
      </c>
      <c r="IZ98" s="47" t="n">
        <v>0</v>
      </c>
      <c r="JA98" s="47" t="n">
        <v>0</v>
      </c>
      <c r="JB98" s="47" t="n">
        <v>0</v>
      </c>
      <c r="JC98" s="47" t="n">
        <v>0</v>
      </c>
      <c r="JD98" s="47" t="n">
        <v>0</v>
      </c>
      <c r="JE98" s="47" t="n">
        <v>0</v>
      </c>
      <c r="JF98" s="47" t="n">
        <v>0</v>
      </c>
      <c r="JG98" s="47" t="n">
        <v>0</v>
      </c>
      <c r="JH98" s="47" t="n">
        <v>0</v>
      </c>
      <c r="JI98" s="47" t="n">
        <v>0</v>
      </c>
      <c r="JJ98" s="47" t="n">
        <v>0</v>
      </c>
      <c r="JK98" s="47" t="n">
        <v>0</v>
      </c>
      <c r="JL98" s="47" t="n">
        <v>0</v>
      </c>
      <c r="JM98" s="47" t="n">
        <v>0</v>
      </c>
      <c r="JN98" s="47" t="n">
        <v>0</v>
      </c>
      <c r="JO98" s="47" t="n">
        <v>0</v>
      </c>
      <c r="JP98" s="47" t="n">
        <v>0</v>
      </c>
      <c r="JQ98" s="47" t="n">
        <v>0</v>
      </c>
      <c r="JR98" s="47" t="n">
        <v>0</v>
      </c>
      <c r="JS98" s="47" t="n">
        <v>0</v>
      </c>
      <c r="JT98" s="47" t="n">
        <v>0</v>
      </c>
      <c r="JU98" s="47" t="n">
        <v>0</v>
      </c>
      <c r="JV98" s="47" t="n">
        <v>0</v>
      </c>
      <c r="JW98" s="47" t="n">
        <v>0</v>
      </c>
      <c r="JX98" s="47" t="n">
        <v>0</v>
      </c>
      <c r="JY98" s="47" t="n">
        <v>0</v>
      </c>
      <c r="JZ98" s="47" t="n">
        <v>0</v>
      </c>
      <c r="KA98" s="47" t="n">
        <v>0</v>
      </c>
      <c r="KB98" s="47" t="n">
        <v>0</v>
      </c>
      <c r="KC98" s="47" t="n">
        <v>0</v>
      </c>
      <c r="KD98" s="48" t="n">
        <v>0</v>
      </c>
      <c r="KE98" s="47" t="n">
        <v>0</v>
      </c>
      <c r="KF98" s="47" t="n">
        <v>0</v>
      </c>
      <c r="KG98" s="47" t="n">
        <v>0</v>
      </c>
      <c r="KH98" s="47" t="n">
        <v>0</v>
      </c>
      <c r="KI98" s="47" t="n">
        <v>0</v>
      </c>
      <c r="KJ98" s="47" t="n">
        <v>0</v>
      </c>
      <c r="KK98" s="47" t="n">
        <v>0</v>
      </c>
      <c r="KL98" s="47" t="n">
        <v>0</v>
      </c>
    </row>
    <row r="99" customFormat="false" ht="18" hidden="false" customHeight="true" outlineLevel="0" collapsed="false">
      <c r="A99" s="35" t="s">
        <v>367</v>
      </c>
      <c r="B99" s="35" t="s">
        <v>368</v>
      </c>
      <c r="C99" s="35" t="s">
        <v>164</v>
      </c>
      <c r="D99" s="35" t="s">
        <v>165</v>
      </c>
      <c r="E99" s="35" t="s">
        <v>174</v>
      </c>
      <c r="G99" s="44" t="n">
        <v>0</v>
      </c>
      <c r="H99" s="44" t="n">
        <v>0</v>
      </c>
      <c r="I99" s="44" t="n">
        <v>0</v>
      </c>
      <c r="J99" s="44" t="n">
        <v>0</v>
      </c>
      <c r="K99" s="44" t="n">
        <v>0</v>
      </c>
      <c r="L99" s="44" t="n">
        <v>0</v>
      </c>
      <c r="M99" s="44" t="n">
        <v>0</v>
      </c>
      <c r="N99" s="44" t="n">
        <v>0</v>
      </c>
      <c r="O99" s="44" t="n">
        <v>0</v>
      </c>
      <c r="P99" s="44" t="n">
        <v>0</v>
      </c>
      <c r="Q99" s="44" t="n">
        <v>0</v>
      </c>
      <c r="R99" s="44" t="n">
        <v>0</v>
      </c>
      <c r="S99" s="44" t="n">
        <v>0</v>
      </c>
      <c r="T99" s="44" t="n">
        <v>0</v>
      </c>
      <c r="U99" s="44" t="n">
        <v>0</v>
      </c>
      <c r="V99" s="44" t="n">
        <v>0</v>
      </c>
      <c r="W99" s="44" t="n">
        <v>0</v>
      </c>
      <c r="X99" s="44" t="n">
        <v>0</v>
      </c>
      <c r="Y99" s="44" t="n">
        <v>0</v>
      </c>
      <c r="Z99" s="44" t="n">
        <v>0</v>
      </c>
      <c r="AA99" s="44" t="n">
        <v>0</v>
      </c>
      <c r="AB99" s="44" t="n">
        <v>0</v>
      </c>
      <c r="AC99" s="44" t="n">
        <v>0</v>
      </c>
      <c r="AD99" s="44" t="n">
        <v>500</v>
      </c>
      <c r="AE99" s="44" t="n">
        <v>500</v>
      </c>
      <c r="AF99" s="44" t="n">
        <v>500</v>
      </c>
      <c r="AG99" s="44" t="n">
        <v>500</v>
      </c>
      <c r="AH99" s="44" t="n">
        <v>500</v>
      </c>
      <c r="AI99" s="44" t="n">
        <v>500</v>
      </c>
      <c r="AJ99" s="44" t="n">
        <v>500</v>
      </c>
      <c r="AK99" s="44" t="n">
        <v>500</v>
      </c>
      <c r="AL99" s="44" t="n">
        <v>500</v>
      </c>
      <c r="AM99" s="44" t="n">
        <v>500</v>
      </c>
      <c r="AN99" s="44" t="n">
        <v>500</v>
      </c>
      <c r="AO99" s="44" t="n">
        <v>500</v>
      </c>
      <c r="AP99" s="44" t="n">
        <v>500</v>
      </c>
      <c r="AQ99" s="44" t="n">
        <v>500</v>
      </c>
      <c r="AR99" s="44" t="n">
        <v>500</v>
      </c>
      <c r="AS99" s="44" t="n">
        <v>500</v>
      </c>
      <c r="AT99" s="44" t="n">
        <v>500</v>
      </c>
      <c r="AU99" s="44" t="n">
        <v>500</v>
      </c>
      <c r="AV99" s="44" t="n">
        <v>500</v>
      </c>
      <c r="AW99" s="44" t="n">
        <v>500</v>
      </c>
      <c r="AX99" s="44" t="n">
        <v>500</v>
      </c>
      <c r="AY99" s="44" t="n">
        <v>500</v>
      </c>
      <c r="AZ99" s="44" t="n">
        <v>500</v>
      </c>
      <c r="BA99" s="44" t="n">
        <v>500</v>
      </c>
      <c r="BB99" s="44" t="n">
        <v>883.333333333333</v>
      </c>
      <c r="BC99" s="44" t="n">
        <v>883.333333333333</v>
      </c>
      <c r="BD99" s="44" t="n">
        <v>883.333333333333</v>
      </c>
      <c r="BE99" s="44" t="n">
        <v>883.333333333333</v>
      </c>
      <c r="BF99" s="44" t="n">
        <v>883.333333333333</v>
      </c>
      <c r="BG99" s="44" t="n">
        <v>883.333333333333</v>
      </c>
      <c r="BH99" s="44" t="n">
        <v>883.333333333333</v>
      </c>
      <c r="BI99" s="44" t="n">
        <v>883.333333333333</v>
      </c>
      <c r="BJ99" s="44" t="n">
        <v>883.333333333333</v>
      </c>
      <c r="BK99" s="44" t="n">
        <v>883.333333333333</v>
      </c>
      <c r="BL99" s="44" t="n">
        <v>883.333333333333</v>
      </c>
      <c r="BM99" s="44" t="n">
        <v>883.333333333333</v>
      </c>
      <c r="BN99" s="44" t="n">
        <v>200</v>
      </c>
      <c r="BO99" s="44" t="n">
        <v>200</v>
      </c>
      <c r="BP99" s="44" t="n">
        <v>200</v>
      </c>
      <c r="BQ99" s="44" t="n">
        <v>200</v>
      </c>
      <c r="BR99" s="45" t="n">
        <v>200</v>
      </c>
      <c r="BS99" s="46" t="n">
        <v>200</v>
      </c>
      <c r="BT99" s="46" t="n">
        <v>200</v>
      </c>
      <c r="BU99" s="46" t="n">
        <v>200</v>
      </c>
      <c r="BV99" s="46" t="n">
        <v>200</v>
      </c>
      <c r="BW99" s="46" t="n">
        <v>200</v>
      </c>
      <c r="BX99" s="46" t="n">
        <v>200</v>
      </c>
      <c r="BY99" s="46" t="n">
        <v>200</v>
      </c>
      <c r="BZ99" s="46" t="n">
        <v>200</v>
      </c>
      <c r="CB99" s="52" t="s">
        <v>184</v>
      </c>
      <c r="CC99" s="50" t="n">
        <v>0</v>
      </c>
      <c r="CD99" s="50" t="n">
        <v>0</v>
      </c>
      <c r="CE99" s="50" t="n">
        <v>0</v>
      </c>
      <c r="CF99" s="50" t="n">
        <v>0</v>
      </c>
      <c r="CG99" s="50" t="n">
        <v>0</v>
      </c>
      <c r="CH99" s="50" t="n">
        <v>0</v>
      </c>
      <c r="CI99" s="50" t="n">
        <v>0</v>
      </c>
      <c r="CJ99" s="50" t="n">
        <v>0</v>
      </c>
      <c r="CK99" s="50" t="n">
        <v>0</v>
      </c>
      <c r="CL99" s="50" t="n">
        <v>0</v>
      </c>
      <c r="CM99" s="50" t="n">
        <v>0</v>
      </c>
      <c r="CN99" s="50" t="n">
        <v>0</v>
      </c>
      <c r="CO99" s="50" t="n">
        <v>0</v>
      </c>
      <c r="CP99" s="50" t="n">
        <v>0</v>
      </c>
      <c r="CQ99" s="50" t="n">
        <v>0</v>
      </c>
      <c r="CR99" s="50" t="n">
        <v>0</v>
      </c>
      <c r="CS99" s="50" t="n">
        <v>0</v>
      </c>
      <c r="CT99" s="50" t="n">
        <v>0</v>
      </c>
      <c r="CU99" s="50" t="n">
        <v>0</v>
      </c>
      <c r="CV99" s="50" t="n">
        <v>0</v>
      </c>
      <c r="CW99" s="50" t="n">
        <v>0</v>
      </c>
      <c r="CX99" s="50" t="n">
        <v>0</v>
      </c>
      <c r="CY99" s="50" t="n">
        <v>0</v>
      </c>
      <c r="CZ99" s="50" t="n">
        <v>-300</v>
      </c>
      <c r="DA99" s="50" t="n">
        <v>-300</v>
      </c>
      <c r="DB99" s="50" t="n">
        <v>-300</v>
      </c>
      <c r="DC99" s="50" t="n">
        <v>-300</v>
      </c>
      <c r="DD99" s="50" t="n">
        <v>-300</v>
      </c>
      <c r="DE99" s="50" t="n">
        <v>-300</v>
      </c>
      <c r="DF99" s="50" t="n">
        <v>-300</v>
      </c>
      <c r="DG99" s="50" t="n">
        <v>-300</v>
      </c>
      <c r="DH99" s="50" t="n">
        <v>-300</v>
      </c>
      <c r="DI99" s="50" t="n">
        <v>-300</v>
      </c>
      <c r="DJ99" s="50" t="n">
        <v>-300</v>
      </c>
      <c r="DK99" s="50" t="n">
        <v>-300</v>
      </c>
      <c r="DL99" s="50" t="n">
        <v>-300</v>
      </c>
      <c r="DM99" s="50" t="n">
        <v>-300</v>
      </c>
      <c r="DN99" s="50" t="n">
        <v>-300</v>
      </c>
      <c r="DO99" s="50" t="n">
        <v>-300</v>
      </c>
      <c r="DP99" s="50" t="n">
        <v>-300</v>
      </c>
      <c r="DQ99" s="50" t="n">
        <v>-300</v>
      </c>
      <c r="DR99" s="50" t="n">
        <v>-300</v>
      </c>
      <c r="DS99" s="50" t="n">
        <v>-300</v>
      </c>
      <c r="DT99" s="50" t="n">
        <v>-300</v>
      </c>
      <c r="DU99" s="50" t="n">
        <v>-300</v>
      </c>
      <c r="DV99" s="50" t="n">
        <v>-300</v>
      </c>
      <c r="DW99" s="50" t="n">
        <v>-300</v>
      </c>
      <c r="DX99" s="50" t="n">
        <v>-683.333333333333</v>
      </c>
      <c r="DY99" s="50" t="n">
        <v>-683.333333333333</v>
      </c>
      <c r="DZ99" s="50" t="n">
        <v>-683.333333333333</v>
      </c>
      <c r="EA99" s="50" t="n">
        <v>-683.333333333333</v>
      </c>
      <c r="EB99" s="50" t="n">
        <v>-683.333333333333</v>
      </c>
      <c r="EC99" s="50" t="n">
        <v>-683.333333333333</v>
      </c>
      <c r="ED99" s="50" t="n">
        <v>-683.333333333333</v>
      </c>
      <c r="EE99" s="50" t="n">
        <v>-683.333333333333</v>
      </c>
      <c r="EF99" s="50" t="n">
        <v>-683.333333333333</v>
      </c>
      <c r="EG99" s="50" t="n">
        <v>-683.333333333333</v>
      </c>
      <c r="EH99" s="50" t="n">
        <v>-683.333333333333</v>
      </c>
      <c r="EI99" s="50" t="n">
        <v>-683.333333333333</v>
      </c>
      <c r="EJ99" s="50" t="n">
        <v>0</v>
      </c>
      <c r="EK99" s="50" t="n">
        <v>0</v>
      </c>
      <c r="EL99" s="50" t="n">
        <v>0</v>
      </c>
      <c r="EM99" s="50" t="n">
        <v>0</v>
      </c>
      <c r="EN99" s="51" t="n">
        <v>0</v>
      </c>
      <c r="EO99" s="50" t="n">
        <v>0</v>
      </c>
      <c r="EP99" s="50" t="n">
        <v>0</v>
      </c>
      <c r="EQ99" s="50" t="n">
        <v>0</v>
      </c>
      <c r="ER99" s="50" t="n">
        <v>0</v>
      </c>
      <c r="ES99" s="50" t="n">
        <v>0</v>
      </c>
      <c r="ET99" s="50" t="n">
        <v>0</v>
      </c>
      <c r="EU99" s="50" t="n">
        <v>0</v>
      </c>
      <c r="EV99" s="50" t="n">
        <v>0</v>
      </c>
      <c r="EX99" s="47" t="n">
        <v>0</v>
      </c>
      <c r="EY99" s="47" t="n">
        <v>0</v>
      </c>
      <c r="EZ99" s="47" t="n">
        <v>0</v>
      </c>
      <c r="FA99" s="47" t="n">
        <v>0</v>
      </c>
      <c r="FB99" s="47" t="n">
        <v>0</v>
      </c>
      <c r="FC99" s="47" t="n">
        <v>0</v>
      </c>
      <c r="FD99" s="47" t="n">
        <v>0</v>
      </c>
      <c r="FE99" s="47" t="n">
        <v>0</v>
      </c>
      <c r="FF99" s="47" t="n">
        <v>0</v>
      </c>
      <c r="FG99" s="47" t="n">
        <v>0</v>
      </c>
      <c r="FH99" s="47" t="n">
        <v>0</v>
      </c>
      <c r="FI99" s="47" t="n">
        <v>0</v>
      </c>
      <c r="FJ99" s="47" t="n">
        <v>0</v>
      </c>
      <c r="FK99" s="47" t="n">
        <v>0</v>
      </c>
      <c r="FL99" s="47" t="n">
        <v>0</v>
      </c>
      <c r="FM99" s="47" t="n">
        <v>0</v>
      </c>
      <c r="FN99" s="47" t="n">
        <v>0</v>
      </c>
      <c r="FO99" s="47" t="n">
        <v>0</v>
      </c>
      <c r="FP99" s="47" t="n">
        <v>0</v>
      </c>
      <c r="FQ99" s="47" t="n">
        <v>0</v>
      </c>
      <c r="FR99" s="47" t="n">
        <v>0</v>
      </c>
      <c r="FS99" s="47" t="n">
        <v>0</v>
      </c>
      <c r="FT99" s="47" t="n">
        <v>0</v>
      </c>
      <c r="FU99" s="47" t="n">
        <v>500</v>
      </c>
      <c r="FV99" s="47" t="n">
        <v>500</v>
      </c>
      <c r="FW99" s="47" t="n">
        <v>500</v>
      </c>
      <c r="FX99" s="47" t="n">
        <v>500</v>
      </c>
      <c r="FY99" s="47" t="n">
        <v>500</v>
      </c>
      <c r="FZ99" s="47" t="n">
        <v>500</v>
      </c>
      <c r="GA99" s="47" t="n">
        <v>500</v>
      </c>
      <c r="GB99" s="47" t="n">
        <v>500</v>
      </c>
      <c r="GC99" s="47" t="n">
        <v>500</v>
      </c>
      <c r="GD99" s="47" t="n">
        <v>500</v>
      </c>
      <c r="GE99" s="47" t="n">
        <v>500</v>
      </c>
      <c r="GF99" s="47" t="n">
        <v>500</v>
      </c>
      <c r="GG99" s="47" t="n">
        <v>500</v>
      </c>
      <c r="GH99" s="47" t="n">
        <v>500</v>
      </c>
      <c r="GI99" s="47" t="n">
        <v>500</v>
      </c>
      <c r="GJ99" s="47" t="n">
        <v>500</v>
      </c>
      <c r="GK99" s="47" t="n">
        <v>500</v>
      </c>
      <c r="GL99" s="47" t="n">
        <v>500</v>
      </c>
      <c r="GM99" s="47" t="n">
        <v>500</v>
      </c>
      <c r="GN99" s="47" t="n">
        <v>500</v>
      </c>
      <c r="GO99" s="47" t="n">
        <v>500</v>
      </c>
      <c r="GP99" s="47" t="n">
        <v>500</v>
      </c>
      <c r="GQ99" s="47" t="n">
        <v>500</v>
      </c>
      <c r="GR99" s="47" t="n">
        <v>500</v>
      </c>
      <c r="GS99" s="47" t="n">
        <v>883.333333333333</v>
      </c>
      <c r="GT99" s="47" t="n">
        <v>883.333333333333</v>
      </c>
      <c r="GU99" s="47" t="n">
        <v>883.333333333333</v>
      </c>
      <c r="GV99" s="47" t="n">
        <v>883.333333333333</v>
      </c>
      <c r="GW99" s="47" t="n">
        <v>883.333333333333</v>
      </c>
      <c r="GX99" s="47" t="n">
        <v>883.333333333333</v>
      </c>
      <c r="GY99" s="47" t="n">
        <v>883.333333333333</v>
      </c>
      <c r="GZ99" s="47" t="n">
        <v>883.333333333333</v>
      </c>
      <c r="HA99" s="47" t="n">
        <v>883.333333333333</v>
      </c>
      <c r="HB99" s="47" t="n">
        <v>883.333333333333</v>
      </c>
      <c r="HC99" s="47" t="n">
        <v>883.333333333333</v>
      </c>
      <c r="HD99" s="47" t="n">
        <v>883.333333333333</v>
      </c>
      <c r="HE99" s="47" t="n">
        <v>200</v>
      </c>
      <c r="HF99" s="47" t="n">
        <v>200</v>
      </c>
      <c r="HG99" s="47" t="n">
        <v>200</v>
      </c>
      <c r="HH99" s="47" t="n">
        <v>200</v>
      </c>
      <c r="HI99" s="48" t="n">
        <v>200</v>
      </c>
      <c r="HJ99" s="47" t="n">
        <v>200</v>
      </c>
      <c r="HK99" s="47" t="n">
        <v>200</v>
      </c>
      <c r="HL99" s="47" t="n">
        <v>200</v>
      </c>
      <c r="HM99" s="47" t="n">
        <v>200</v>
      </c>
      <c r="HN99" s="47" t="n">
        <v>200</v>
      </c>
      <c r="HO99" s="47" t="n">
        <v>200</v>
      </c>
      <c r="HP99" s="47" t="n">
        <v>200</v>
      </c>
      <c r="HQ99" s="47" t="n">
        <v>200</v>
      </c>
      <c r="HS99" s="47" t="n">
        <v>0</v>
      </c>
      <c r="HT99" s="47" t="n">
        <v>0</v>
      </c>
      <c r="HU99" s="47" t="n">
        <v>0</v>
      </c>
      <c r="HV99" s="47" t="n">
        <v>0</v>
      </c>
      <c r="HW99" s="47" t="n">
        <v>0</v>
      </c>
      <c r="HX99" s="47" t="n">
        <v>0</v>
      </c>
      <c r="HY99" s="47" t="n">
        <v>0</v>
      </c>
      <c r="HZ99" s="47" t="n">
        <v>0</v>
      </c>
      <c r="IA99" s="47" t="n">
        <v>0</v>
      </c>
      <c r="IB99" s="47" t="n">
        <v>0</v>
      </c>
      <c r="IC99" s="47" t="n">
        <v>0</v>
      </c>
      <c r="ID99" s="47" t="n">
        <v>0</v>
      </c>
      <c r="IE99" s="47" t="n">
        <v>0</v>
      </c>
      <c r="IF99" s="47" t="n">
        <v>0</v>
      </c>
      <c r="IG99" s="47" t="n">
        <v>0</v>
      </c>
      <c r="IH99" s="47" t="n">
        <v>0</v>
      </c>
      <c r="II99" s="47" t="n">
        <v>0</v>
      </c>
      <c r="IJ99" s="47" t="n">
        <v>0</v>
      </c>
      <c r="IK99" s="47" t="n">
        <v>0</v>
      </c>
      <c r="IL99" s="47" t="n">
        <v>0</v>
      </c>
      <c r="IM99" s="47" t="n">
        <v>0</v>
      </c>
      <c r="IN99" s="47" t="n">
        <v>0</v>
      </c>
      <c r="IO99" s="47" t="n">
        <v>0</v>
      </c>
      <c r="IP99" s="47" t="n">
        <v>200</v>
      </c>
      <c r="IQ99" s="47" t="n">
        <v>200</v>
      </c>
      <c r="IR99" s="47" t="n">
        <v>200</v>
      </c>
      <c r="IS99" s="47" t="n">
        <v>200</v>
      </c>
      <c r="IT99" s="47" t="n">
        <v>200</v>
      </c>
      <c r="IU99" s="47" t="n">
        <v>200</v>
      </c>
      <c r="IV99" s="47" t="n">
        <v>200</v>
      </c>
      <c r="IW99" s="47" t="n">
        <v>200</v>
      </c>
      <c r="IX99" s="47" t="n">
        <v>200</v>
      </c>
      <c r="IY99" s="47" t="n">
        <v>200</v>
      </c>
      <c r="IZ99" s="47" t="n">
        <v>200</v>
      </c>
      <c r="JA99" s="47" t="n">
        <v>200</v>
      </c>
      <c r="JB99" s="47" t="n">
        <v>200</v>
      </c>
      <c r="JC99" s="47" t="n">
        <v>200</v>
      </c>
      <c r="JD99" s="47" t="n">
        <v>200</v>
      </c>
      <c r="JE99" s="47" t="n">
        <v>200</v>
      </c>
      <c r="JF99" s="47" t="n">
        <v>200</v>
      </c>
      <c r="JG99" s="47" t="n">
        <v>200</v>
      </c>
      <c r="JH99" s="47" t="n">
        <v>200</v>
      </c>
      <c r="JI99" s="47" t="n">
        <v>200</v>
      </c>
      <c r="JJ99" s="47" t="n">
        <v>200</v>
      </c>
      <c r="JK99" s="47" t="n">
        <v>200</v>
      </c>
      <c r="JL99" s="47" t="n">
        <v>200</v>
      </c>
      <c r="JM99" s="47" t="n">
        <v>200</v>
      </c>
      <c r="JN99" s="47" t="n">
        <v>200</v>
      </c>
      <c r="JO99" s="47" t="n">
        <v>200</v>
      </c>
      <c r="JP99" s="47" t="n">
        <v>200</v>
      </c>
      <c r="JQ99" s="47" t="n">
        <v>200</v>
      </c>
      <c r="JR99" s="47" t="n">
        <v>200</v>
      </c>
      <c r="JS99" s="47" t="n">
        <v>200</v>
      </c>
      <c r="JT99" s="47" t="n">
        <v>200</v>
      </c>
      <c r="JU99" s="47" t="n">
        <v>200</v>
      </c>
      <c r="JV99" s="47" t="n">
        <v>200</v>
      </c>
      <c r="JW99" s="47" t="n">
        <v>200</v>
      </c>
      <c r="JX99" s="47" t="n">
        <v>200</v>
      </c>
      <c r="JY99" s="47" t="n">
        <v>200</v>
      </c>
      <c r="JZ99" s="47" t="n">
        <v>200</v>
      </c>
      <c r="KA99" s="47" t="n">
        <v>200</v>
      </c>
      <c r="KB99" s="47" t="n">
        <v>200</v>
      </c>
      <c r="KC99" s="47" t="n">
        <v>200</v>
      </c>
      <c r="KD99" s="48" t="n">
        <v>200</v>
      </c>
      <c r="KE99" s="47" t="n">
        <v>200</v>
      </c>
      <c r="KF99" s="47" t="n">
        <v>200</v>
      </c>
      <c r="KG99" s="47" t="n">
        <v>200</v>
      </c>
      <c r="KH99" s="47" t="n">
        <v>200</v>
      </c>
      <c r="KI99" s="47" t="n">
        <v>200</v>
      </c>
      <c r="KJ99" s="47" t="n">
        <v>200</v>
      </c>
      <c r="KK99" s="47" t="n">
        <v>200</v>
      </c>
      <c r="KL99" s="47" t="n">
        <v>200</v>
      </c>
    </row>
    <row r="100" customFormat="false" ht="16.5" hidden="false" customHeight="true" outlineLevel="0" collapsed="false">
      <c r="A100" s="35" t="s">
        <v>369</v>
      </c>
      <c r="B100" s="35" t="s">
        <v>370</v>
      </c>
      <c r="C100" s="35" t="s">
        <v>164</v>
      </c>
      <c r="D100" s="35" t="s">
        <v>165</v>
      </c>
      <c r="E100" s="35" t="s">
        <v>166</v>
      </c>
      <c r="G100" s="44" t="n">
        <v>500</v>
      </c>
      <c r="H100" s="44" t="n">
        <v>500</v>
      </c>
      <c r="I100" s="44" t="n">
        <v>500</v>
      </c>
      <c r="J100" s="44" t="n">
        <v>600</v>
      </c>
      <c r="K100" s="44" t="n">
        <v>600</v>
      </c>
      <c r="L100" s="44" t="n">
        <v>600</v>
      </c>
      <c r="M100" s="44" t="n">
        <v>600</v>
      </c>
      <c r="N100" s="44" t="n">
        <v>600</v>
      </c>
      <c r="O100" s="44" t="n">
        <v>600</v>
      </c>
      <c r="P100" s="44" t="n">
        <v>600</v>
      </c>
      <c r="Q100" s="44" t="n">
        <v>600</v>
      </c>
      <c r="R100" s="44" t="n">
        <v>600</v>
      </c>
      <c r="S100" s="44" t="n">
        <v>600</v>
      </c>
      <c r="T100" s="44" t="n">
        <v>600</v>
      </c>
      <c r="U100" s="44" t="n">
        <v>600</v>
      </c>
      <c r="V100" s="44" t="n">
        <v>600</v>
      </c>
      <c r="W100" s="44" t="n">
        <v>600</v>
      </c>
      <c r="X100" s="44" t="n">
        <v>600</v>
      </c>
      <c r="Y100" s="44" t="n">
        <v>1100</v>
      </c>
      <c r="Z100" s="44" t="n">
        <v>1100</v>
      </c>
      <c r="AA100" s="44" t="n">
        <v>1100</v>
      </c>
      <c r="AB100" s="44" t="n">
        <v>1100</v>
      </c>
      <c r="AC100" s="44" t="n">
        <v>1100</v>
      </c>
      <c r="AD100" s="44" t="n">
        <v>1100</v>
      </c>
      <c r="AE100" s="44" t="n">
        <v>1100</v>
      </c>
      <c r="AF100" s="44" t="n">
        <v>1100</v>
      </c>
      <c r="AG100" s="44" t="n">
        <v>1100</v>
      </c>
      <c r="AH100" s="44" t="n">
        <v>1100</v>
      </c>
      <c r="AI100" s="44" t="n">
        <v>1100</v>
      </c>
      <c r="AJ100" s="44" t="n">
        <v>1100</v>
      </c>
      <c r="AK100" s="44" t="n">
        <v>1200</v>
      </c>
      <c r="AL100" s="44" t="n">
        <v>1200</v>
      </c>
      <c r="AM100" s="44" t="n">
        <v>1200</v>
      </c>
      <c r="AN100" s="44" t="n">
        <v>1200</v>
      </c>
      <c r="AO100" s="44" t="n">
        <v>1200</v>
      </c>
      <c r="AP100" s="44" t="n">
        <v>1200</v>
      </c>
      <c r="AQ100" s="44" t="n">
        <v>1200</v>
      </c>
      <c r="AR100" s="44" t="n">
        <v>1200</v>
      </c>
      <c r="AS100" s="44" t="n">
        <v>1200</v>
      </c>
      <c r="AT100" s="44" t="n">
        <v>1200</v>
      </c>
      <c r="AU100" s="44" t="n">
        <v>1200</v>
      </c>
      <c r="AV100" s="44" t="n">
        <v>1200</v>
      </c>
      <c r="AW100" s="44" t="n">
        <v>1000</v>
      </c>
      <c r="AX100" s="44" t="n">
        <v>1000</v>
      </c>
      <c r="AY100" s="44" t="n">
        <v>1000</v>
      </c>
      <c r="AZ100" s="44" t="n">
        <v>1000</v>
      </c>
      <c r="BA100" s="44" t="n">
        <v>1000</v>
      </c>
      <c r="BB100" s="44" t="n">
        <v>1000</v>
      </c>
      <c r="BC100" s="44" t="n">
        <v>1100</v>
      </c>
      <c r="BD100" s="44" t="n">
        <v>1100</v>
      </c>
      <c r="BE100" s="44" t="n">
        <v>1100</v>
      </c>
      <c r="BF100" s="44" t="n">
        <v>1100</v>
      </c>
      <c r="BG100" s="44" t="n">
        <v>1100</v>
      </c>
      <c r="BH100" s="44" t="n">
        <v>1100</v>
      </c>
      <c r="BI100" s="44" t="n">
        <v>1400</v>
      </c>
      <c r="BJ100" s="44" t="n">
        <v>1400</v>
      </c>
      <c r="BK100" s="44" t="n">
        <v>1400</v>
      </c>
      <c r="BL100" s="44" t="n">
        <v>1400</v>
      </c>
      <c r="BM100" s="44" t="n">
        <v>1400</v>
      </c>
      <c r="BN100" s="44" t="n">
        <v>1400</v>
      </c>
      <c r="BO100" s="44" t="n">
        <v>1400</v>
      </c>
      <c r="BP100" s="44" t="n">
        <v>1400</v>
      </c>
      <c r="BQ100" s="44" t="n">
        <v>1400</v>
      </c>
      <c r="BR100" s="45" t="n">
        <v>1400</v>
      </c>
      <c r="BS100" s="46" t="n">
        <v>1400</v>
      </c>
      <c r="BT100" s="46" t="n">
        <v>1400</v>
      </c>
      <c r="BU100" s="46" t="n">
        <v>1400</v>
      </c>
      <c r="BV100" s="46" t="n">
        <v>1400</v>
      </c>
      <c r="BW100" s="46" t="n">
        <v>1400</v>
      </c>
      <c r="BX100" s="46" t="n">
        <v>1400</v>
      </c>
      <c r="BY100" s="46" t="n">
        <v>1400</v>
      </c>
      <c r="BZ100" s="46" t="n">
        <v>1400</v>
      </c>
      <c r="EX100" s="47" t="n">
        <v>500</v>
      </c>
      <c r="EY100" s="47" t="n">
        <v>500</v>
      </c>
      <c r="EZ100" s="47" t="n">
        <v>500</v>
      </c>
      <c r="FA100" s="47" t="n">
        <v>600</v>
      </c>
      <c r="FB100" s="47" t="n">
        <v>600</v>
      </c>
      <c r="FC100" s="47" t="n">
        <v>600</v>
      </c>
      <c r="FD100" s="47" t="n">
        <v>600</v>
      </c>
      <c r="FE100" s="47" t="n">
        <v>600</v>
      </c>
      <c r="FF100" s="47" t="n">
        <v>600</v>
      </c>
      <c r="FG100" s="47" t="n">
        <v>600</v>
      </c>
      <c r="FH100" s="47" t="n">
        <v>600</v>
      </c>
      <c r="FI100" s="47" t="n">
        <v>600</v>
      </c>
      <c r="FJ100" s="47" t="n">
        <v>600</v>
      </c>
      <c r="FK100" s="47" t="n">
        <v>600</v>
      </c>
      <c r="FL100" s="47" t="n">
        <v>600</v>
      </c>
      <c r="FM100" s="47" t="n">
        <v>600</v>
      </c>
      <c r="FN100" s="47" t="n">
        <v>600</v>
      </c>
      <c r="FO100" s="47" t="n">
        <v>600</v>
      </c>
      <c r="FP100" s="47" t="n">
        <v>1100</v>
      </c>
      <c r="FQ100" s="47" t="n">
        <v>1100</v>
      </c>
      <c r="FR100" s="47" t="n">
        <v>1100</v>
      </c>
      <c r="FS100" s="47" t="n">
        <v>1100</v>
      </c>
      <c r="FT100" s="47" t="n">
        <v>1100</v>
      </c>
      <c r="FU100" s="47" t="n">
        <v>1100</v>
      </c>
      <c r="FV100" s="47" t="n">
        <v>1100</v>
      </c>
      <c r="FW100" s="47" t="n">
        <v>1100</v>
      </c>
      <c r="FX100" s="47" t="n">
        <v>1100</v>
      </c>
      <c r="FY100" s="47" t="n">
        <v>1100</v>
      </c>
      <c r="FZ100" s="47" t="n">
        <v>1100</v>
      </c>
      <c r="GA100" s="47" t="n">
        <v>1100</v>
      </c>
      <c r="GB100" s="47" t="n">
        <v>1200</v>
      </c>
      <c r="GC100" s="47" t="n">
        <v>1200</v>
      </c>
      <c r="GD100" s="47" t="n">
        <v>1200</v>
      </c>
      <c r="GE100" s="47" t="n">
        <v>1200</v>
      </c>
      <c r="GF100" s="47" t="n">
        <v>1200</v>
      </c>
      <c r="GG100" s="47" t="n">
        <v>1200</v>
      </c>
      <c r="GH100" s="47" t="n">
        <v>1200</v>
      </c>
      <c r="GI100" s="47" t="n">
        <v>1200</v>
      </c>
      <c r="GJ100" s="47" t="n">
        <v>1200</v>
      </c>
      <c r="GK100" s="47" t="n">
        <v>1200</v>
      </c>
      <c r="GL100" s="47" t="n">
        <v>1200</v>
      </c>
      <c r="GM100" s="47" t="n">
        <v>1200</v>
      </c>
      <c r="GN100" s="47" t="n">
        <v>1000</v>
      </c>
      <c r="GO100" s="47" t="n">
        <v>1000</v>
      </c>
      <c r="GP100" s="47" t="n">
        <v>1000</v>
      </c>
      <c r="GQ100" s="47" t="n">
        <v>1000</v>
      </c>
      <c r="GR100" s="47" t="n">
        <v>1000</v>
      </c>
      <c r="GS100" s="47" t="n">
        <v>1000</v>
      </c>
      <c r="GT100" s="47" t="n">
        <v>1100</v>
      </c>
      <c r="GU100" s="47" t="n">
        <v>1100</v>
      </c>
      <c r="GV100" s="47" t="n">
        <v>1100</v>
      </c>
      <c r="GW100" s="47" t="n">
        <v>1100</v>
      </c>
      <c r="GX100" s="47" t="n">
        <v>1100</v>
      </c>
      <c r="GY100" s="47" t="n">
        <v>1100</v>
      </c>
      <c r="GZ100" s="47" t="n">
        <v>1400</v>
      </c>
      <c r="HA100" s="47" t="n">
        <v>1400</v>
      </c>
      <c r="HB100" s="47" t="n">
        <v>1400</v>
      </c>
      <c r="HC100" s="47" t="n">
        <v>1400</v>
      </c>
      <c r="HD100" s="47" t="n">
        <v>1400</v>
      </c>
      <c r="HE100" s="47" t="n">
        <v>1400</v>
      </c>
      <c r="HF100" s="47" t="n">
        <v>1400</v>
      </c>
      <c r="HG100" s="47" t="n">
        <v>1400</v>
      </c>
      <c r="HH100" s="47" t="n">
        <v>1400</v>
      </c>
      <c r="HI100" s="48" t="n">
        <v>1400</v>
      </c>
      <c r="HJ100" s="47" t="n">
        <v>1400</v>
      </c>
      <c r="HK100" s="47" t="n">
        <v>1400</v>
      </c>
      <c r="HL100" s="47" t="n">
        <v>1400</v>
      </c>
      <c r="HM100" s="47" t="n">
        <v>1400</v>
      </c>
      <c r="HN100" s="47" t="n">
        <v>1400</v>
      </c>
      <c r="HO100" s="47" t="n">
        <v>1400</v>
      </c>
      <c r="HP100" s="47" t="n">
        <v>1400</v>
      </c>
      <c r="HQ100" s="47" t="n">
        <v>1400</v>
      </c>
      <c r="HS100" s="47" t="n">
        <v>500</v>
      </c>
      <c r="HT100" s="47" t="n">
        <v>500</v>
      </c>
      <c r="HU100" s="47" t="n">
        <v>500</v>
      </c>
      <c r="HV100" s="47" t="n">
        <v>600</v>
      </c>
      <c r="HW100" s="47" t="n">
        <v>600</v>
      </c>
      <c r="HX100" s="47" t="n">
        <v>600</v>
      </c>
      <c r="HY100" s="47" t="n">
        <v>600</v>
      </c>
      <c r="HZ100" s="47" t="n">
        <v>600</v>
      </c>
      <c r="IA100" s="47" t="n">
        <v>600</v>
      </c>
      <c r="IB100" s="47" t="n">
        <v>600</v>
      </c>
      <c r="IC100" s="47" t="n">
        <v>600</v>
      </c>
      <c r="ID100" s="47" t="n">
        <v>600</v>
      </c>
      <c r="IE100" s="47" t="n">
        <v>600</v>
      </c>
      <c r="IF100" s="47" t="n">
        <v>600</v>
      </c>
      <c r="IG100" s="47" t="n">
        <v>600</v>
      </c>
      <c r="IH100" s="47" t="n">
        <v>600</v>
      </c>
      <c r="II100" s="47" t="n">
        <v>600</v>
      </c>
      <c r="IJ100" s="47" t="n">
        <v>600</v>
      </c>
      <c r="IK100" s="47" t="n">
        <v>1100</v>
      </c>
      <c r="IL100" s="47" t="n">
        <v>1100</v>
      </c>
      <c r="IM100" s="47" t="n">
        <v>1100</v>
      </c>
      <c r="IN100" s="47" t="n">
        <v>1100</v>
      </c>
      <c r="IO100" s="47" t="n">
        <v>1100</v>
      </c>
      <c r="IP100" s="47" t="n">
        <v>1100</v>
      </c>
      <c r="IQ100" s="47" t="n">
        <v>1100</v>
      </c>
      <c r="IR100" s="47" t="n">
        <v>1100</v>
      </c>
      <c r="IS100" s="47" t="n">
        <v>1100</v>
      </c>
      <c r="IT100" s="47" t="n">
        <v>1100</v>
      </c>
      <c r="IU100" s="47" t="n">
        <v>1100</v>
      </c>
      <c r="IV100" s="47" t="n">
        <v>1100</v>
      </c>
      <c r="IW100" s="47" t="n">
        <v>1200</v>
      </c>
      <c r="IX100" s="47" t="n">
        <v>1200</v>
      </c>
      <c r="IY100" s="47" t="n">
        <v>1200</v>
      </c>
      <c r="IZ100" s="47" t="n">
        <v>1200</v>
      </c>
      <c r="JA100" s="47" t="n">
        <v>1200</v>
      </c>
      <c r="JB100" s="47" t="n">
        <v>1200</v>
      </c>
      <c r="JC100" s="47" t="n">
        <v>1200</v>
      </c>
      <c r="JD100" s="47" t="n">
        <v>1200</v>
      </c>
      <c r="JE100" s="47" t="n">
        <v>1200</v>
      </c>
      <c r="JF100" s="47" t="n">
        <v>1200</v>
      </c>
      <c r="JG100" s="47" t="n">
        <v>1200</v>
      </c>
      <c r="JH100" s="47" t="n">
        <v>1200</v>
      </c>
      <c r="JI100" s="47" t="n">
        <v>1000</v>
      </c>
      <c r="JJ100" s="47" t="n">
        <v>1000</v>
      </c>
      <c r="JK100" s="47" t="n">
        <v>1000</v>
      </c>
      <c r="JL100" s="47" t="n">
        <v>1000</v>
      </c>
      <c r="JM100" s="47" t="n">
        <v>1000</v>
      </c>
      <c r="JN100" s="47" t="n">
        <v>1000</v>
      </c>
      <c r="JO100" s="47" t="n">
        <v>1100</v>
      </c>
      <c r="JP100" s="47" t="n">
        <v>1100</v>
      </c>
      <c r="JQ100" s="47" t="n">
        <v>1100</v>
      </c>
      <c r="JR100" s="47" t="n">
        <v>1100</v>
      </c>
      <c r="JS100" s="47" t="n">
        <v>1100</v>
      </c>
      <c r="JT100" s="47" t="n">
        <v>1100</v>
      </c>
      <c r="JU100" s="47" t="n">
        <v>1400</v>
      </c>
      <c r="JV100" s="47" t="n">
        <v>1400</v>
      </c>
      <c r="JW100" s="47" t="n">
        <v>1400</v>
      </c>
      <c r="JX100" s="47" t="n">
        <v>1400</v>
      </c>
      <c r="JY100" s="47" t="n">
        <v>1400</v>
      </c>
      <c r="JZ100" s="47" t="n">
        <v>1400</v>
      </c>
      <c r="KA100" s="47" t="n">
        <v>1400</v>
      </c>
      <c r="KB100" s="47" t="n">
        <v>1400</v>
      </c>
      <c r="KC100" s="47" t="n">
        <v>1400</v>
      </c>
      <c r="KD100" s="48" t="n">
        <v>1400</v>
      </c>
      <c r="KE100" s="47" t="n">
        <v>1400</v>
      </c>
      <c r="KF100" s="47" t="n">
        <v>1400</v>
      </c>
      <c r="KG100" s="47" t="n">
        <v>1400</v>
      </c>
      <c r="KH100" s="47" t="n">
        <v>1400</v>
      </c>
      <c r="KI100" s="47" t="n">
        <v>1400</v>
      </c>
      <c r="KJ100" s="47" t="n">
        <v>1400</v>
      </c>
      <c r="KK100" s="47" t="n">
        <v>1400</v>
      </c>
      <c r="KL100" s="47" t="n">
        <v>1400</v>
      </c>
    </row>
    <row r="101" customFormat="false" ht="15.75" hidden="false" customHeight="true" outlineLevel="0" collapsed="false">
      <c r="A101" s="35" t="s">
        <v>371</v>
      </c>
      <c r="B101" s="35" t="s">
        <v>372</v>
      </c>
      <c r="C101" s="35" t="s">
        <v>164</v>
      </c>
      <c r="D101" s="35" t="s">
        <v>165</v>
      </c>
      <c r="E101" s="35" t="s">
        <v>188</v>
      </c>
      <c r="G101" s="44" t="n">
        <v>0</v>
      </c>
      <c r="H101" s="44" t="n">
        <v>0</v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66.67</v>
      </c>
      <c r="O101" s="44" t="n">
        <v>66.67</v>
      </c>
      <c r="P101" s="44" t="n">
        <v>66.67</v>
      </c>
      <c r="Q101" s="44" t="n">
        <v>66.67</v>
      </c>
      <c r="R101" s="44" t="n">
        <v>66.67</v>
      </c>
      <c r="S101" s="44" t="n">
        <v>66.67</v>
      </c>
      <c r="T101" s="44" t="n">
        <v>66.67</v>
      </c>
      <c r="U101" s="44" t="n">
        <v>66.67</v>
      </c>
      <c r="V101" s="44" t="n">
        <v>66.67</v>
      </c>
      <c r="W101" s="44" t="n">
        <v>66.67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  <c r="AL101" s="44" t="n">
        <v>0</v>
      </c>
      <c r="AM101" s="44" t="n">
        <v>0</v>
      </c>
      <c r="AN101" s="44" t="n">
        <v>0</v>
      </c>
      <c r="AO101" s="44" t="n">
        <v>0</v>
      </c>
      <c r="AP101" s="44" t="n">
        <v>0</v>
      </c>
      <c r="BS101" s="46" t="n">
        <v>0</v>
      </c>
      <c r="BT101" s="46" t="n">
        <v>0</v>
      </c>
      <c r="BU101" s="46" t="n">
        <v>0</v>
      </c>
      <c r="BV101" s="46" t="n">
        <v>0</v>
      </c>
      <c r="BW101" s="46" t="n">
        <v>0</v>
      </c>
      <c r="BX101" s="46" t="n">
        <v>0</v>
      </c>
      <c r="BY101" s="46" t="n">
        <v>0</v>
      </c>
      <c r="BZ101" s="46" t="n">
        <v>0</v>
      </c>
      <c r="EX101" s="47" t="n">
        <v>0</v>
      </c>
      <c r="EY101" s="47" t="n">
        <v>0</v>
      </c>
      <c r="EZ101" s="47" t="n">
        <v>0</v>
      </c>
      <c r="FA101" s="47" t="n">
        <v>0</v>
      </c>
      <c r="FB101" s="47" t="n">
        <v>0</v>
      </c>
      <c r="FC101" s="47" t="n">
        <v>0</v>
      </c>
      <c r="FD101" s="47" t="n">
        <v>0</v>
      </c>
      <c r="FE101" s="47" t="n">
        <v>66.67</v>
      </c>
      <c r="FF101" s="47" t="n">
        <v>66.67</v>
      </c>
      <c r="FG101" s="47" t="n">
        <v>66.67</v>
      </c>
      <c r="FH101" s="47" t="n">
        <v>66.67</v>
      </c>
      <c r="FI101" s="47" t="n">
        <v>66.67</v>
      </c>
      <c r="FJ101" s="47" t="n">
        <v>66.67</v>
      </c>
      <c r="FK101" s="47" t="n">
        <v>66.67</v>
      </c>
      <c r="FL101" s="47" t="n">
        <v>66.67</v>
      </c>
      <c r="FM101" s="47" t="n">
        <v>66.67</v>
      </c>
      <c r="FN101" s="47" t="n">
        <v>66.67</v>
      </c>
      <c r="FO101" s="47" t="n">
        <v>0</v>
      </c>
      <c r="FP101" s="47" t="n">
        <v>0</v>
      </c>
      <c r="FQ101" s="47" t="n">
        <v>0</v>
      </c>
      <c r="FR101" s="47" t="n">
        <v>0</v>
      </c>
      <c r="FS101" s="47" t="n">
        <v>0</v>
      </c>
      <c r="FT101" s="47" t="n">
        <v>0</v>
      </c>
      <c r="FU101" s="47" t="n">
        <v>0</v>
      </c>
      <c r="FV101" s="47" t="n">
        <v>0</v>
      </c>
      <c r="FW101" s="47" t="n">
        <v>0</v>
      </c>
      <c r="FX101" s="47" t="n">
        <v>0</v>
      </c>
      <c r="FY101" s="47" t="n">
        <v>0</v>
      </c>
      <c r="FZ101" s="47" t="n">
        <v>0</v>
      </c>
      <c r="GA101" s="47" t="n">
        <v>0</v>
      </c>
      <c r="GB101" s="47" t="n">
        <v>0</v>
      </c>
      <c r="GC101" s="47" t="n">
        <v>0</v>
      </c>
      <c r="GD101" s="47" t="n">
        <v>0</v>
      </c>
      <c r="GE101" s="47" t="n">
        <v>0</v>
      </c>
      <c r="GF101" s="47" t="n">
        <v>0</v>
      </c>
      <c r="GG101" s="47" t="n">
        <v>0</v>
      </c>
      <c r="GH101" s="47" t="n">
        <v>0</v>
      </c>
      <c r="GI101" s="47" t="n">
        <v>0</v>
      </c>
      <c r="GJ101" s="47" t="n">
        <v>0</v>
      </c>
      <c r="GK101" s="47" t="n">
        <v>0</v>
      </c>
      <c r="GL101" s="47" t="n">
        <v>0</v>
      </c>
      <c r="GM101" s="47" t="n">
        <v>0</v>
      </c>
      <c r="GN101" s="47" t="n">
        <v>0</v>
      </c>
      <c r="GO101" s="47" t="n">
        <v>0</v>
      </c>
      <c r="GP101" s="47" t="n">
        <v>0</v>
      </c>
      <c r="GQ101" s="47" t="n">
        <v>0</v>
      </c>
      <c r="GR101" s="47" t="n">
        <v>0</v>
      </c>
      <c r="GS101" s="47" t="n">
        <v>0</v>
      </c>
      <c r="GT101" s="47" t="n">
        <v>0</v>
      </c>
      <c r="GU101" s="47" t="n">
        <v>0</v>
      </c>
      <c r="GV101" s="47" t="n">
        <v>0</v>
      </c>
      <c r="GW101" s="47" t="n">
        <v>0</v>
      </c>
      <c r="GX101" s="47" t="n">
        <v>0</v>
      </c>
      <c r="GY101" s="47" t="n">
        <v>0</v>
      </c>
      <c r="GZ101" s="47" t="n">
        <v>0</v>
      </c>
      <c r="HA101" s="47" t="n">
        <v>0</v>
      </c>
      <c r="HB101" s="47" t="n">
        <v>0</v>
      </c>
      <c r="HC101" s="47" t="n">
        <v>0</v>
      </c>
      <c r="HD101" s="47" t="n">
        <v>0</v>
      </c>
      <c r="HE101" s="47" t="n">
        <v>0</v>
      </c>
      <c r="HF101" s="47" t="n">
        <v>0</v>
      </c>
      <c r="HG101" s="47" t="n">
        <v>0</v>
      </c>
      <c r="HH101" s="47" t="n">
        <v>0</v>
      </c>
      <c r="HI101" s="48" t="n">
        <v>0</v>
      </c>
      <c r="HJ101" s="47" t="n">
        <v>0</v>
      </c>
      <c r="HK101" s="47" t="n">
        <v>0</v>
      </c>
      <c r="HL101" s="47" t="n">
        <v>0</v>
      </c>
      <c r="HM101" s="47" t="n">
        <v>0</v>
      </c>
      <c r="HN101" s="47" t="n">
        <v>0</v>
      </c>
      <c r="HO101" s="47" t="n">
        <v>0</v>
      </c>
      <c r="HP101" s="47" t="n">
        <v>0</v>
      </c>
      <c r="HQ101" s="47" t="n">
        <v>0</v>
      </c>
      <c r="HS101" s="47" t="n">
        <v>0</v>
      </c>
      <c r="HT101" s="47" t="n">
        <v>0</v>
      </c>
      <c r="HU101" s="47" t="n">
        <v>0</v>
      </c>
      <c r="HV101" s="47" t="n">
        <v>0</v>
      </c>
      <c r="HW101" s="47" t="n">
        <v>0</v>
      </c>
      <c r="HX101" s="47" t="n">
        <v>0</v>
      </c>
      <c r="HY101" s="47" t="n">
        <v>0</v>
      </c>
      <c r="HZ101" s="47" t="n">
        <v>66.67</v>
      </c>
      <c r="IA101" s="47" t="n">
        <v>66.67</v>
      </c>
      <c r="IB101" s="47" t="n">
        <v>66.67</v>
      </c>
      <c r="IC101" s="47" t="n">
        <v>66.67</v>
      </c>
      <c r="ID101" s="47" t="n">
        <v>66.67</v>
      </c>
      <c r="IE101" s="47" t="n">
        <v>66.67</v>
      </c>
      <c r="IF101" s="47" t="n">
        <v>66.67</v>
      </c>
      <c r="IG101" s="47" t="n">
        <v>66.67</v>
      </c>
      <c r="IH101" s="47" t="n">
        <v>66.67</v>
      </c>
      <c r="II101" s="47" t="n">
        <v>66.67</v>
      </c>
      <c r="IJ101" s="47" t="n">
        <v>0</v>
      </c>
      <c r="IK101" s="47" t="n">
        <v>0</v>
      </c>
      <c r="IL101" s="47" t="n">
        <v>0</v>
      </c>
      <c r="IM101" s="47" t="n">
        <v>0</v>
      </c>
      <c r="IN101" s="47" t="n">
        <v>0</v>
      </c>
      <c r="IO101" s="47" t="n">
        <v>0</v>
      </c>
      <c r="IP101" s="47" t="n">
        <v>0</v>
      </c>
      <c r="IQ101" s="47" t="n">
        <v>0</v>
      </c>
      <c r="IR101" s="47" t="n">
        <v>0</v>
      </c>
      <c r="IS101" s="47" t="n">
        <v>0</v>
      </c>
      <c r="IT101" s="47" t="n">
        <v>0</v>
      </c>
      <c r="IU101" s="47" t="n">
        <v>0</v>
      </c>
      <c r="IV101" s="47" t="n">
        <v>0</v>
      </c>
      <c r="IW101" s="47" t="n">
        <v>0</v>
      </c>
      <c r="IX101" s="47" t="n">
        <v>0</v>
      </c>
      <c r="IY101" s="47" t="n">
        <v>0</v>
      </c>
      <c r="IZ101" s="47" t="n">
        <v>0</v>
      </c>
      <c r="JA101" s="47" t="n">
        <v>0</v>
      </c>
      <c r="JB101" s="47" t="n">
        <v>0</v>
      </c>
      <c r="JC101" s="47" t="n">
        <v>0</v>
      </c>
      <c r="JD101" s="47" t="n">
        <v>0</v>
      </c>
      <c r="JE101" s="47" t="n">
        <v>0</v>
      </c>
      <c r="JF101" s="47" t="n">
        <v>0</v>
      </c>
      <c r="JG101" s="47" t="n">
        <v>0</v>
      </c>
      <c r="JH101" s="47" t="n">
        <v>0</v>
      </c>
      <c r="JI101" s="47" t="n">
        <v>0</v>
      </c>
      <c r="JJ101" s="47" t="n">
        <v>0</v>
      </c>
      <c r="JK101" s="47" t="n">
        <v>0</v>
      </c>
      <c r="JL101" s="47" t="n">
        <v>0</v>
      </c>
      <c r="JM101" s="47" t="n">
        <v>0</v>
      </c>
      <c r="JN101" s="47" t="n">
        <v>0</v>
      </c>
      <c r="JO101" s="47" t="n">
        <v>0</v>
      </c>
      <c r="JP101" s="47" t="n">
        <v>0</v>
      </c>
      <c r="JQ101" s="47" t="n">
        <v>0</v>
      </c>
      <c r="JR101" s="47" t="n">
        <v>0</v>
      </c>
      <c r="JS101" s="47" t="n">
        <v>0</v>
      </c>
      <c r="JT101" s="47" t="n">
        <v>0</v>
      </c>
      <c r="JU101" s="47" t="n">
        <v>0</v>
      </c>
      <c r="JV101" s="47" t="n">
        <v>0</v>
      </c>
      <c r="JW101" s="47" t="n">
        <v>0</v>
      </c>
      <c r="JX101" s="47" t="n">
        <v>0</v>
      </c>
      <c r="JY101" s="47" t="n">
        <v>0</v>
      </c>
      <c r="JZ101" s="47" t="n">
        <v>0</v>
      </c>
      <c r="KA101" s="47" t="n">
        <v>0</v>
      </c>
      <c r="KB101" s="47" t="n">
        <v>0</v>
      </c>
      <c r="KC101" s="47" t="n">
        <v>0</v>
      </c>
      <c r="KD101" s="48" t="n">
        <v>0</v>
      </c>
      <c r="KE101" s="47" t="n">
        <v>0</v>
      </c>
      <c r="KF101" s="47" t="n">
        <v>0</v>
      </c>
      <c r="KG101" s="47" t="n">
        <v>0</v>
      </c>
      <c r="KH101" s="47" t="n">
        <v>0</v>
      </c>
      <c r="KI101" s="47" t="n">
        <v>0</v>
      </c>
      <c r="KJ101" s="47" t="n">
        <v>0</v>
      </c>
      <c r="KK101" s="47" t="n">
        <v>0</v>
      </c>
      <c r="KL101" s="47" t="n">
        <v>0</v>
      </c>
    </row>
    <row r="102" customFormat="false" ht="15.75" hidden="false" customHeight="true" outlineLevel="0" collapsed="false">
      <c r="A102" s="35" t="s">
        <v>373</v>
      </c>
      <c r="B102" s="35" t="s">
        <v>374</v>
      </c>
      <c r="C102" s="35" t="s">
        <v>164</v>
      </c>
      <c r="D102" s="35" t="s">
        <v>375</v>
      </c>
      <c r="E102" s="35" t="s">
        <v>174</v>
      </c>
      <c r="G102" s="44" t="n">
        <v>0</v>
      </c>
      <c r="H102" s="44" t="n">
        <v>0</v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916.666666666667</v>
      </c>
      <c r="N102" s="44" t="n">
        <v>916.666666666667</v>
      </c>
      <c r="O102" s="44" t="n">
        <v>916.666666666667</v>
      </c>
      <c r="P102" s="44" t="n">
        <v>916.666666666667</v>
      </c>
      <c r="Q102" s="44" t="n">
        <v>916.666666666667</v>
      </c>
      <c r="R102" s="44" t="n">
        <v>916.666666666667</v>
      </c>
      <c r="S102" s="44" t="n">
        <v>916.666666666667</v>
      </c>
      <c r="T102" s="44" t="n">
        <v>916.666666666667</v>
      </c>
      <c r="U102" s="44" t="n">
        <v>999.996666666667</v>
      </c>
      <c r="V102" s="44" t="n">
        <v>999.996666666667</v>
      </c>
      <c r="W102" s="44" t="n">
        <v>999.996666666667</v>
      </c>
      <c r="X102" s="44" t="n">
        <v>999.996666666667</v>
      </c>
      <c r="Y102" s="44" t="n">
        <v>1083.33333333333</v>
      </c>
      <c r="Z102" s="44" t="n">
        <v>1083.33333333333</v>
      </c>
      <c r="AA102" s="44" t="n">
        <v>1083.33333333333</v>
      </c>
      <c r="AB102" s="44" t="n">
        <v>1083.33333333333</v>
      </c>
      <c r="AC102" s="44" t="n">
        <v>1083.33333333333</v>
      </c>
      <c r="AD102" s="44" t="n">
        <v>1083.33333333333</v>
      </c>
      <c r="AE102" s="44" t="n">
        <v>1083.33333333333</v>
      </c>
      <c r="AF102" s="44" t="n">
        <v>1083.33333333333</v>
      </c>
      <c r="AG102" s="44" t="n">
        <v>1083.33333333333</v>
      </c>
      <c r="AH102" s="44" t="n">
        <v>1083.33333333333</v>
      </c>
      <c r="AI102" s="44" t="n">
        <v>1083.33333333333</v>
      </c>
      <c r="AJ102" s="44" t="n">
        <v>1083.33333333333</v>
      </c>
      <c r="AK102" s="44" t="n">
        <v>1000</v>
      </c>
      <c r="AL102" s="44" t="n">
        <v>1000</v>
      </c>
      <c r="AM102" s="44" t="n">
        <v>1000</v>
      </c>
      <c r="AN102" s="44" t="n">
        <v>1000</v>
      </c>
      <c r="AO102" s="44" t="n">
        <v>1000</v>
      </c>
      <c r="AP102" s="44" t="n">
        <v>1000</v>
      </c>
      <c r="AQ102" s="44" t="n">
        <v>1000</v>
      </c>
      <c r="AR102" s="44" t="n">
        <v>1000</v>
      </c>
      <c r="AS102" s="44" t="n">
        <v>1000</v>
      </c>
      <c r="AT102" s="44" t="n">
        <v>1000</v>
      </c>
      <c r="AU102" s="44" t="n">
        <v>1000</v>
      </c>
      <c r="AV102" s="44" t="n">
        <v>1000</v>
      </c>
      <c r="AW102" s="44" t="n">
        <v>1100</v>
      </c>
      <c r="AX102" s="44" t="n">
        <v>1100</v>
      </c>
      <c r="AY102" s="44" t="n">
        <v>1100</v>
      </c>
      <c r="AZ102" s="44" t="n">
        <v>1100</v>
      </c>
      <c r="BA102" s="44" t="n">
        <v>1100</v>
      </c>
      <c r="BB102" s="44" t="n">
        <v>1100</v>
      </c>
      <c r="BC102" s="44" t="n">
        <v>1100</v>
      </c>
      <c r="BD102" s="44" t="n">
        <v>1100</v>
      </c>
      <c r="BE102" s="44" t="n">
        <v>1100</v>
      </c>
      <c r="BF102" s="44" t="n">
        <v>1100</v>
      </c>
      <c r="BG102" s="44" t="n">
        <v>1100</v>
      </c>
      <c r="BH102" s="44" t="n">
        <v>1100</v>
      </c>
      <c r="BI102" s="44" t="n">
        <v>1000</v>
      </c>
      <c r="BJ102" s="44" t="n">
        <v>1000</v>
      </c>
      <c r="BK102" s="44" t="n">
        <v>1000</v>
      </c>
      <c r="BL102" s="44" t="n">
        <v>1000</v>
      </c>
      <c r="BM102" s="44" t="n">
        <v>1000</v>
      </c>
      <c r="BN102" s="44" t="n">
        <v>1000</v>
      </c>
      <c r="BO102" s="44" t="n">
        <v>1000</v>
      </c>
      <c r="BP102" s="44" t="n">
        <v>1000</v>
      </c>
      <c r="BQ102" s="44" t="n">
        <v>1000</v>
      </c>
      <c r="BR102" s="45" t="n">
        <v>1000</v>
      </c>
      <c r="BS102" s="46" t="n">
        <v>1000</v>
      </c>
      <c r="BT102" s="46" t="n">
        <v>1000</v>
      </c>
      <c r="BU102" s="46" t="n">
        <v>1000</v>
      </c>
      <c r="BV102" s="46" t="n">
        <v>1000</v>
      </c>
      <c r="BW102" s="46" t="n">
        <v>1000</v>
      </c>
      <c r="BX102" s="46" t="n">
        <v>1000</v>
      </c>
      <c r="BY102" s="46" t="n">
        <v>1000</v>
      </c>
      <c r="BZ102" s="46" t="n">
        <v>1000</v>
      </c>
      <c r="EX102" s="47" t="n">
        <v>0</v>
      </c>
      <c r="EY102" s="47" t="n">
        <v>0</v>
      </c>
      <c r="EZ102" s="47" t="n">
        <v>0</v>
      </c>
      <c r="FA102" s="47" t="n">
        <v>0</v>
      </c>
      <c r="FB102" s="47" t="n">
        <v>0</v>
      </c>
      <c r="FC102" s="47" t="n">
        <v>0</v>
      </c>
      <c r="FD102" s="47" t="n">
        <v>916.666666666667</v>
      </c>
      <c r="FE102" s="47" t="n">
        <v>916.666666666667</v>
      </c>
      <c r="FF102" s="47" t="n">
        <v>916.666666666667</v>
      </c>
      <c r="FG102" s="47" t="n">
        <v>916.666666666667</v>
      </c>
      <c r="FH102" s="47" t="n">
        <v>916.666666666667</v>
      </c>
      <c r="FI102" s="47" t="n">
        <v>916.666666666667</v>
      </c>
      <c r="FJ102" s="47" t="n">
        <v>916.666666666667</v>
      </c>
      <c r="FK102" s="47" t="n">
        <v>916.666666666667</v>
      </c>
      <c r="FL102" s="47" t="n">
        <v>999.996666666667</v>
      </c>
      <c r="FM102" s="47" t="n">
        <v>999.996666666667</v>
      </c>
      <c r="FN102" s="47" t="n">
        <v>999.996666666667</v>
      </c>
      <c r="FO102" s="47" t="n">
        <v>999.996666666667</v>
      </c>
      <c r="FP102" s="47" t="n">
        <v>1083.33333333333</v>
      </c>
      <c r="FQ102" s="47" t="n">
        <v>1083.33333333333</v>
      </c>
      <c r="FR102" s="47" t="n">
        <v>1083.33333333333</v>
      </c>
      <c r="FS102" s="47" t="n">
        <v>1083.33333333333</v>
      </c>
      <c r="FT102" s="47" t="n">
        <v>1083.33333333333</v>
      </c>
      <c r="FU102" s="47" t="n">
        <v>1083.33333333333</v>
      </c>
      <c r="FV102" s="47" t="n">
        <v>1083.33333333333</v>
      </c>
      <c r="FW102" s="47" t="n">
        <v>1083.33333333333</v>
      </c>
      <c r="FX102" s="47" t="n">
        <v>1083.33333333333</v>
      </c>
      <c r="FY102" s="47" t="n">
        <v>1083.33333333333</v>
      </c>
      <c r="FZ102" s="47" t="n">
        <v>1083.33333333333</v>
      </c>
      <c r="GA102" s="47" t="n">
        <v>1083.33333333333</v>
      </c>
      <c r="GB102" s="47" t="n">
        <v>1000</v>
      </c>
      <c r="GC102" s="47" t="n">
        <v>1000</v>
      </c>
      <c r="GD102" s="47" t="n">
        <v>1000</v>
      </c>
      <c r="GE102" s="47" t="n">
        <v>1000</v>
      </c>
      <c r="GF102" s="47" t="n">
        <v>1000</v>
      </c>
      <c r="GG102" s="47" t="n">
        <v>1000</v>
      </c>
      <c r="GH102" s="47" t="n">
        <v>1000</v>
      </c>
      <c r="GI102" s="47" t="n">
        <v>1000</v>
      </c>
      <c r="GJ102" s="47" t="n">
        <v>1000</v>
      </c>
      <c r="GK102" s="47" t="n">
        <v>1000</v>
      </c>
      <c r="GL102" s="47" t="n">
        <v>1000</v>
      </c>
      <c r="GM102" s="47" t="n">
        <v>1000</v>
      </c>
      <c r="GN102" s="47" t="n">
        <v>1100</v>
      </c>
      <c r="GO102" s="47" t="n">
        <v>1100</v>
      </c>
      <c r="GP102" s="47" t="n">
        <v>1100</v>
      </c>
      <c r="GQ102" s="47" t="n">
        <v>1100</v>
      </c>
      <c r="GR102" s="47" t="n">
        <v>1100</v>
      </c>
      <c r="GS102" s="47" t="n">
        <v>1100</v>
      </c>
      <c r="GT102" s="47" t="n">
        <v>1100</v>
      </c>
      <c r="GU102" s="47" t="n">
        <v>1100</v>
      </c>
      <c r="GV102" s="47" t="n">
        <v>1100</v>
      </c>
      <c r="GW102" s="47" t="n">
        <v>1100</v>
      </c>
      <c r="GX102" s="47" t="n">
        <v>1100</v>
      </c>
      <c r="GY102" s="47" t="n">
        <v>1100</v>
      </c>
      <c r="GZ102" s="47" t="n">
        <v>1000</v>
      </c>
      <c r="HA102" s="47" t="n">
        <v>1000</v>
      </c>
      <c r="HB102" s="47" t="n">
        <v>1000</v>
      </c>
      <c r="HC102" s="47" t="n">
        <v>1000</v>
      </c>
      <c r="HD102" s="47" t="n">
        <v>1000</v>
      </c>
      <c r="HE102" s="47" t="n">
        <v>1000</v>
      </c>
      <c r="HF102" s="47" t="n">
        <v>1000</v>
      </c>
      <c r="HG102" s="47" t="n">
        <v>1000</v>
      </c>
      <c r="HH102" s="47" t="n">
        <v>1000</v>
      </c>
      <c r="HI102" s="48" t="n">
        <v>1000</v>
      </c>
      <c r="HJ102" s="47" t="n">
        <v>1000</v>
      </c>
      <c r="HK102" s="47" t="n">
        <v>1000</v>
      </c>
      <c r="HL102" s="47" t="n">
        <v>1000</v>
      </c>
      <c r="HM102" s="47" t="n">
        <v>1000</v>
      </c>
      <c r="HN102" s="47" t="n">
        <v>1000</v>
      </c>
      <c r="HO102" s="47" t="n">
        <v>1000</v>
      </c>
      <c r="HP102" s="47" t="n">
        <v>1000</v>
      </c>
      <c r="HQ102" s="47" t="n">
        <v>1000</v>
      </c>
      <c r="HS102" s="47" t="n">
        <v>0</v>
      </c>
      <c r="HT102" s="47" t="n">
        <v>0</v>
      </c>
      <c r="HU102" s="47" t="n">
        <v>0</v>
      </c>
      <c r="HV102" s="47" t="n">
        <v>0</v>
      </c>
      <c r="HW102" s="47" t="n">
        <v>0</v>
      </c>
      <c r="HX102" s="47" t="n">
        <v>0</v>
      </c>
      <c r="HY102" s="47" t="n">
        <v>916.666666666667</v>
      </c>
      <c r="HZ102" s="47" t="n">
        <v>916.666666666667</v>
      </c>
      <c r="IA102" s="47" t="n">
        <v>916.666666666667</v>
      </c>
      <c r="IB102" s="47" t="n">
        <v>916.666666666667</v>
      </c>
      <c r="IC102" s="47" t="n">
        <v>916.666666666667</v>
      </c>
      <c r="ID102" s="47" t="n">
        <v>916.666666666667</v>
      </c>
      <c r="IE102" s="47" t="n">
        <v>916.666666666667</v>
      </c>
      <c r="IF102" s="47" t="n">
        <v>916.666666666667</v>
      </c>
      <c r="IG102" s="47" t="n">
        <v>999.996666666667</v>
      </c>
      <c r="IH102" s="47" t="n">
        <v>999.996666666667</v>
      </c>
      <c r="II102" s="47" t="n">
        <v>999.996666666667</v>
      </c>
      <c r="IJ102" s="47" t="n">
        <v>999.996666666667</v>
      </c>
      <c r="IK102" s="47" t="n">
        <v>1083.33333333333</v>
      </c>
      <c r="IL102" s="47" t="n">
        <v>1083.33333333333</v>
      </c>
      <c r="IM102" s="47" t="n">
        <v>1083.33333333333</v>
      </c>
      <c r="IN102" s="47" t="n">
        <v>1083.33333333333</v>
      </c>
      <c r="IO102" s="47" t="n">
        <v>1083.33333333333</v>
      </c>
      <c r="IP102" s="47" t="n">
        <v>1083.33333333333</v>
      </c>
      <c r="IQ102" s="47" t="n">
        <v>1083.33333333333</v>
      </c>
      <c r="IR102" s="47" t="n">
        <v>1083.33333333333</v>
      </c>
      <c r="IS102" s="47" t="n">
        <v>1083.33333333333</v>
      </c>
      <c r="IT102" s="47" t="n">
        <v>1083.33333333333</v>
      </c>
      <c r="IU102" s="47" t="n">
        <v>1083.33333333333</v>
      </c>
      <c r="IV102" s="47" t="n">
        <v>1083.33333333333</v>
      </c>
      <c r="IW102" s="47" t="n">
        <v>1000</v>
      </c>
      <c r="IX102" s="47" t="n">
        <v>1000</v>
      </c>
      <c r="IY102" s="47" t="n">
        <v>1000</v>
      </c>
      <c r="IZ102" s="47" t="n">
        <v>1000</v>
      </c>
      <c r="JA102" s="47" t="n">
        <v>1000</v>
      </c>
      <c r="JB102" s="47" t="n">
        <v>1000</v>
      </c>
      <c r="JC102" s="47" t="n">
        <v>1000</v>
      </c>
      <c r="JD102" s="47" t="n">
        <v>1000</v>
      </c>
      <c r="JE102" s="47" t="n">
        <v>1000</v>
      </c>
      <c r="JF102" s="47" t="n">
        <v>1000</v>
      </c>
      <c r="JG102" s="47" t="n">
        <v>1000</v>
      </c>
      <c r="JH102" s="47" t="n">
        <v>1000</v>
      </c>
      <c r="JI102" s="47" t="n">
        <v>1100</v>
      </c>
      <c r="JJ102" s="47" t="n">
        <v>1100</v>
      </c>
      <c r="JK102" s="47" t="n">
        <v>1100</v>
      </c>
      <c r="JL102" s="47" t="n">
        <v>1100</v>
      </c>
      <c r="JM102" s="47" t="n">
        <v>1100</v>
      </c>
      <c r="JN102" s="47" t="n">
        <v>1100</v>
      </c>
      <c r="JO102" s="47" t="n">
        <v>1100</v>
      </c>
      <c r="JP102" s="47" t="n">
        <v>1100</v>
      </c>
      <c r="JQ102" s="47" t="n">
        <v>1100</v>
      </c>
      <c r="JR102" s="47" t="n">
        <v>1100</v>
      </c>
      <c r="JS102" s="47" t="n">
        <v>1100</v>
      </c>
      <c r="JT102" s="47" t="n">
        <v>1100</v>
      </c>
      <c r="JU102" s="47" t="n">
        <v>1000</v>
      </c>
      <c r="JV102" s="47" t="n">
        <v>1000</v>
      </c>
      <c r="JW102" s="47" t="n">
        <v>1000</v>
      </c>
      <c r="JX102" s="47" t="n">
        <v>1000</v>
      </c>
      <c r="JY102" s="47" t="n">
        <v>1000</v>
      </c>
      <c r="JZ102" s="47" t="n">
        <v>1000</v>
      </c>
      <c r="KA102" s="47" t="n">
        <v>1000</v>
      </c>
      <c r="KB102" s="47" t="n">
        <v>1000</v>
      </c>
      <c r="KC102" s="47" t="n">
        <v>1000</v>
      </c>
      <c r="KD102" s="48" t="n">
        <v>1000</v>
      </c>
      <c r="KE102" s="47" t="n">
        <v>1000</v>
      </c>
      <c r="KF102" s="47" t="n">
        <v>1000</v>
      </c>
      <c r="KG102" s="47" t="n">
        <v>1000</v>
      </c>
      <c r="KH102" s="47" t="n">
        <v>1000</v>
      </c>
      <c r="KI102" s="47" t="n">
        <v>1000</v>
      </c>
      <c r="KJ102" s="47" t="n">
        <v>1000</v>
      </c>
      <c r="KK102" s="47" t="n">
        <v>1000</v>
      </c>
      <c r="KL102" s="47" t="n">
        <v>1000</v>
      </c>
    </row>
    <row r="103" customFormat="false" ht="15.75" hidden="false" customHeight="true" outlineLevel="0" collapsed="false">
      <c r="A103" s="35" t="s">
        <v>376</v>
      </c>
      <c r="B103" s="35" t="s">
        <v>377</v>
      </c>
      <c r="C103" s="35" t="s">
        <v>164</v>
      </c>
      <c r="D103" s="35" t="s">
        <v>375</v>
      </c>
      <c r="E103" s="35" t="s">
        <v>174</v>
      </c>
      <c r="G103" s="44" t="n">
        <v>1770.83333333333</v>
      </c>
      <c r="H103" s="44" t="n">
        <v>1770.83333333333</v>
      </c>
      <c r="I103" s="44" t="n">
        <v>1770.83333333333</v>
      </c>
      <c r="J103" s="44" t="n">
        <v>1770.83333333333</v>
      </c>
      <c r="K103" s="44" t="n">
        <v>1770.83333333333</v>
      </c>
      <c r="L103" s="44" t="n">
        <v>1770.83333333333</v>
      </c>
      <c r="M103" s="44" t="n">
        <v>0</v>
      </c>
      <c r="N103" s="44" t="n">
        <v>0</v>
      </c>
      <c r="O103" s="44" t="n">
        <v>0</v>
      </c>
      <c r="P103" s="44" t="n">
        <v>0</v>
      </c>
      <c r="Q103" s="44" t="n">
        <v>0</v>
      </c>
      <c r="R103" s="44" t="n">
        <v>0</v>
      </c>
      <c r="S103" s="44" t="n">
        <v>0</v>
      </c>
      <c r="T103" s="44" t="n">
        <v>0</v>
      </c>
      <c r="U103" s="44" t="n">
        <v>0</v>
      </c>
      <c r="V103" s="44" t="n">
        <v>0</v>
      </c>
      <c r="W103" s="44" t="n">
        <v>0</v>
      </c>
      <c r="X103" s="44" t="n">
        <v>0</v>
      </c>
      <c r="Y103" s="44" t="n">
        <v>0</v>
      </c>
      <c r="Z103" s="44" t="n">
        <v>0</v>
      </c>
      <c r="AA103" s="44" t="n">
        <v>0</v>
      </c>
      <c r="AB103" s="44" t="n">
        <v>0</v>
      </c>
      <c r="AC103" s="44" t="n">
        <v>0</v>
      </c>
      <c r="AD103" s="44" t="n">
        <v>0</v>
      </c>
      <c r="AE103" s="44" t="n">
        <v>0</v>
      </c>
      <c r="AF103" s="44" t="n">
        <v>0</v>
      </c>
      <c r="AG103" s="44" t="n">
        <v>0</v>
      </c>
      <c r="AH103" s="44" t="n">
        <v>0</v>
      </c>
      <c r="AI103" s="44" t="n">
        <v>0</v>
      </c>
      <c r="AJ103" s="44" t="n">
        <v>0</v>
      </c>
      <c r="AK103" s="44" t="n">
        <v>0</v>
      </c>
      <c r="AL103" s="44" t="n">
        <v>0</v>
      </c>
      <c r="AM103" s="44" t="n">
        <v>0</v>
      </c>
      <c r="AN103" s="44" t="n">
        <v>0</v>
      </c>
      <c r="AO103" s="44" t="n">
        <v>0</v>
      </c>
      <c r="AP103" s="44" t="n">
        <v>0</v>
      </c>
      <c r="BS103" s="46" t="n">
        <v>0</v>
      </c>
      <c r="BT103" s="46" t="n">
        <v>0</v>
      </c>
      <c r="BU103" s="46" t="n">
        <v>0</v>
      </c>
      <c r="BV103" s="46" t="n">
        <v>0</v>
      </c>
      <c r="BW103" s="46" t="n">
        <v>0</v>
      </c>
      <c r="BX103" s="46" t="n">
        <v>0</v>
      </c>
      <c r="BY103" s="46" t="n">
        <v>0</v>
      </c>
      <c r="BZ103" s="46" t="n">
        <v>0</v>
      </c>
      <c r="EX103" s="47" t="n">
        <v>1770.83333333333</v>
      </c>
      <c r="EY103" s="47" t="n">
        <v>1770.83333333333</v>
      </c>
      <c r="EZ103" s="47" t="n">
        <v>1770.83333333333</v>
      </c>
      <c r="FA103" s="47" t="n">
        <v>1770.83333333333</v>
      </c>
      <c r="FB103" s="47" t="n">
        <v>1770.83333333333</v>
      </c>
      <c r="FC103" s="47" t="n">
        <v>1770.83333333333</v>
      </c>
      <c r="FD103" s="47" t="n">
        <v>0</v>
      </c>
      <c r="FE103" s="47" t="n">
        <v>0</v>
      </c>
      <c r="FF103" s="47" t="n">
        <v>0</v>
      </c>
      <c r="FG103" s="47" t="n">
        <v>0</v>
      </c>
      <c r="FH103" s="47" t="n">
        <v>0</v>
      </c>
      <c r="FI103" s="47" t="n">
        <v>0</v>
      </c>
      <c r="FJ103" s="47" t="n">
        <v>0</v>
      </c>
      <c r="FK103" s="47" t="n">
        <v>0</v>
      </c>
      <c r="FL103" s="47" t="n">
        <v>0</v>
      </c>
      <c r="FM103" s="47" t="n">
        <v>0</v>
      </c>
      <c r="FN103" s="47" t="n">
        <v>0</v>
      </c>
      <c r="FO103" s="47" t="n">
        <v>0</v>
      </c>
      <c r="FP103" s="47" t="n">
        <v>0</v>
      </c>
      <c r="FQ103" s="47" t="n">
        <v>0</v>
      </c>
      <c r="FR103" s="47" t="n">
        <v>0</v>
      </c>
      <c r="FS103" s="47" t="n">
        <v>0</v>
      </c>
      <c r="FT103" s="47" t="n">
        <v>0</v>
      </c>
      <c r="FU103" s="47" t="n">
        <v>0</v>
      </c>
      <c r="FV103" s="47" t="n">
        <v>0</v>
      </c>
      <c r="FW103" s="47" t="n">
        <v>0</v>
      </c>
      <c r="FX103" s="47" t="n">
        <v>0</v>
      </c>
      <c r="FY103" s="47" t="n">
        <v>0</v>
      </c>
      <c r="FZ103" s="47" t="n">
        <v>0</v>
      </c>
      <c r="GA103" s="47" t="n">
        <v>0</v>
      </c>
      <c r="GB103" s="47" t="n">
        <v>0</v>
      </c>
      <c r="GC103" s="47" t="n">
        <v>0</v>
      </c>
      <c r="GD103" s="47" t="n">
        <v>0</v>
      </c>
      <c r="GE103" s="47" t="n">
        <v>0</v>
      </c>
      <c r="GF103" s="47" t="n">
        <v>0</v>
      </c>
      <c r="GG103" s="47" t="n">
        <v>0</v>
      </c>
      <c r="GH103" s="47" t="n">
        <v>0</v>
      </c>
      <c r="GI103" s="47" t="n">
        <v>0</v>
      </c>
      <c r="GJ103" s="47" t="n">
        <v>0</v>
      </c>
      <c r="GK103" s="47" t="n">
        <v>0</v>
      </c>
      <c r="GL103" s="47" t="n">
        <v>0</v>
      </c>
      <c r="GM103" s="47" t="n">
        <v>0</v>
      </c>
      <c r="GN103" s="47" t="n">
        <v>0</v>
      </c>
      <c r="GO103" s="47" t="n">
        <v>0</v>
      </c>
      <c r="GP103" s="47" t="n">
        <v>0</v>
      </c>
      <c r="GQ103" s="47" t="n">
        <v>0</v>
      </c>
      <c r="GR103" s="47" t="n">
        <v>0</v>
      </c>
      <c r="GS103" s="47" t="n">
        <v>0</v>
      </c>
      <c r="GT103" s="47" t="n">
        <v>0</v>
      </c>
      <c r="GU103" s="47" t="n">
        <v>0</v>
      </c>
      <c r="GV103" s="47" t="n">
        <v>0</v>
      </c>
      <c r="GW103" s="47" t="n">
        <v>0</v>
      </c>
      <c r="GX103" s="47" t="n">
        <v>0</v>
      </c>
      <c r="GY103" s="47" t="n">
        <v>0</v>
      </c>
      <c r="GZ103" s="47" t="n">
        <v>0</v>
      </c>
      <c r="HA103" s="47" t="n">
        <v>0</v>
      </c>
      <c r="HB103" s="47" t="n">
        <v>0</v>
      </c>
      <c r="HC103" s="47" t="n">
        <v>0</v>
      </c>
      <c r="HD103" s="47" t="n">
        <v>0</v>
      </c>
      <c r="HE103" s="47" t="n">
        <v>0</v>
      </c>
      <c r="HF103" s="47" t="n">
        <v>0</v>
      </c>
      <c r="HG103" s="47" t="n">
        <v>0</v>
      </c>
      <c r="HH103" s="47" t="n">
        <v>0</v>
      </c>
      <c r="HI103" s="48" t="n">
        <v>0</v>
      </c>
      <c r="HJ103" s="47" t="n">
        <v>0</v>
      </c>
      <c r="HK103" s="47" t="n">
        <v>0</v>
      </c>
      <c r="HL103" s="47" t="n">
        <v>0</v>
      </c>
      <c r="HM103" s="47" t="n">
        <v>0</v>
      </c>
      <c r="HN103" s="47" t="n">
        <v>0</v>
      </c>
      <c r="HO103" s="47" t="n">
        <v>0</v>
      </c>
      <c r="HP103" s="47" t="n">
        <v>0</v>
      </c>
      <c r="HQ103" s="47" t="n">
        <v>0</v>
      </c>
      <c r="HS103" s="47" t="n">
        <v>1770.83333333333</v>
      </c>
      <c r="HT103" s="47" t="n">
        <v>1770.83333333333</v>
      </c>
      <c r="HU103" s="47" t="n">
        <v>1770.83333333333</v>
      </c>
      <c r="HV103" s="47" t="n">
        <v>1770.83333333333</v>
      </c>
      <c r="HW103" s="47" t="n">
        <v>1770.83333333333</v>
      </c>
      <c r="HX103" s="47" t="n">
        <v>1770.83333333333</v>
      </c>
      <c r="HY103" s="47" t="n">
        <v>0</v>
      </c>
      <c r="HZ103" s="47" t="n">
        <v>0</v>
      </c>
      <c r="IA103" s="47" t="n">
        <v>0</v>
      </c>
      <c r="IB103" s="47" t="n">
        <v>0</v>
      </c>
      <c r="IC103" s="47" t="n">
        <v>0</v>
      </c>
      <c r="ID103" s="47" t="n">
        <v>0</v>
      </c>
      <c r="IE103" s="47" t="n">
        <v>0</v>
      </c>
      <c r="IF103" s="47" t="n">
        <v>0</v>
      </c>
      <c r="IG103" s="47" t="n">
        <v>0</v>
      </c>
      <c r="IH103" s="47" t="n">
        <v>0</v>
      </c>
      <c r="II103" s="47" t="n">
        <v>0</v>
      </c>
      <c r="IJ103" s="47" t="n">
        <v>0</v>
      </c>
      <c r="IK103" s="47" t="n">
        <v>0</v>
      </c>
      <c r="IL103" s="47" t="n">
        <v>0</v>
      </c>
      <c r="IM103" s="47" t="n">
        <v>0</v>
      </c>
      <c r="IN103" s="47" t="n">
        <v>0</v>
      </c>
      <c r="IO103" s="47" t="n">
        <v>0</v>
      </c>
      <c r="IP103" s="47" t="n">
        <v>0</v>
      </c>
      <c r="IQ103" s="47" t="n">
        <v>0</v>
      </c>
      <c r="IR103" s="47" t="n">
        <v>0</v>
      </c>
      <c r="IS103" s="47" t="n">
        <v>0</v>
      </c>
      <c r="IT103" s="47" t="n">
        <v>0</v>
      </c>
      <c r="IU103" s="47" t="n">
        <v>0</v>
      </c>
      <c r="IV103" s="47" t="n">
        <v>0</v>
      </c>
      <c r="IW103" s="47" t="n">
        <v>0</v>
      </c>
      <c r="IX103" s="47" t="n">
        <v>0</v>
      </c>
      <c r="IY103" s="47" t="n">
        <v>0</v>
      </c>
      <c r="IZ103" s="47" t="n">
        <v>0</v>
      </c>
      <c r="JA103" s="47" t="n">
        <v>0</v>
      </c>
      <c r="JB103" s="47" t="n">
        <v>0</v>
      </c>
      <c r="JC103" s="47" t="n">
        <v>0</v>
      </c>
      <c r="JD103" s="47" t="n">
        <v>0</v>
      </c>
      <c r="JE103" s="47" t="n">
        <v>0</v>
      </c>
      <c r="JF103" s="47" t="n">
        <v>0</v>
      </c>
      <c r="JG103" s="47" t="n">
        <v>0</v>
      </c>
      <c r="JH103" s="47" t="n">
        <v>0</v>
      </c>
      <c r="JI103" s="47" t="n">
        <v>0</v>
      </c>
      <c r="JJ103" s="47" t="n">
        <v>0</v>
      </c>
      <c r="JK103" s="47" t="n">
        <v>0</v>
      </c>
      <c r="JL103" s="47" t="n">
        <v>0</v>
      </c>
      <c r="JM103" s="47" t="n">
        <v>0</v>
      </c>
      <c r="JN103" s="47" t="n">
        <v>0</v>
      </c>
      <c r="JO103" s="47" t="n">
        <v>0</v>
      </c>
      <c r="JP103" s="47" t="n">
        <v>0</v>
      </c>
      <c r="JQ103" s="47" t="n">
        <v>0</v>
      </c>
      <c r="JR103" s="47" t="n">
        <v>0</v>
      </c>
      <c r="JS103" s="47" t="n">
        <v>0</v>
      </c>
      <c r="JT103" s="47" t="n">
        <v>0</v>
      </c>
      <c r="JU103" s="47" t="n">
        <v>0</v>
      </c>
      <c r="JV103" s="47" t="n">
        <v>0</v>
      </c>
      <c r="JW103" s="47" t="n">
        <v>0</v>
      </c>
      <c r="JX103" s="47" t="n">
        <v>0</v>
      </c>
      <c r="JY103" s="47" t="n">
        <v>0</v>
      </c>
      <c r="JZ103" s="47" t="n">
        <v>0</v>
      </c>
      <c r="KA103" s="47" t="n">
        <v>0</v>
      </c>
      <c r="KB103" s="47" t="n">
        <v>0</v>
      </c>
      <c r="KC103" s="47" t="n">
        <v>0</v>
      </c>
      <c r="KD103" s="48" t="n">
        <v>0</v>
      </c>
      <c r="KE103" s="47" t="n">
        <v>0</v>
      </c>
      <c r="KF103" s="47" t="n">
        <v>0</v>
      </c>
      <c r="KG103" s="47" t="n">
        <v>0</v>
      </c>
      <c r="KH103" s="47" t="n">
        <v>0</v>
      </c>
      <c r="KI103" s="47" t="n">
        <v>0</v>
      </c>
      <c r="KJ103" s="47" t="n">
        <v>0</v>
      </c>
      <c r="KK103" s="47" t="n">
        <v>0</v>
      </c>
      <c r="KL103" s="47" t="n">
        <v>0</v>
      </c>
    </row>
    <row r="104" customFormat="false" ht="15.75" hidden="false" customHeight="true" outlineLevel="0" collapsed="false">
      <c r="A104" s="35" t="s">
        <v>378</v>
      </c>
      <c r="B104" s="35" t="s">
        <v>379</v>
      </c>
      <c r="C104" s="35" t="s">
        <v>164</v>
      </c>
      <c r="D104" s="35" t="s">
        <v>215</v>
      </c>
      <c r="E104" s="35" t="s">
        <v>174</v>
      </c>
      <c r="S104" s="44" t="n">
        <v>0</v>
      </c>
      <c r="T104" s="44" t="n">
        <v>0</v>
      </c>
      <c r="U104" s="44" t="n">
        <v>0</v>
      </c>
      <c r="V104" s="44" t="n">
        <v>0</v>
      </c>
      <c r="W104" s="44" t="n">
        <v>0</v>
      </c>
      <c r="X104" s="44" t="n">
        <v>0</v>
      </c>
      <c r="Y104" s="44" t="n">
        <v>0</v>
      </c>
      <c r="Z104" s="44" t="n">
        <v>0</v>
      </c>
      <c r="AA104" s="44" t="n">
        <v>0</v>
      </c>
      <c r="AB104" s="44" t="n">
        <v>0</v>
      </c>
      <c r="AC104" s="44" t="n">
        <v>0</v>
      </c>
      <c r="AD104" s="44" t="n">
        <v>0</v>
      </c>
      <c r="AE104" s="44" t="n">
        <v>0</v>
      </c>
      <c r="AF104" s="44" t="n">
        <v>0</v>
      </c>
      <c r="AG104" s="44" t="n">
        <v>0</v>
      </c>
      <c r="AH104" s="44" t="n">
        <v>0</v>
      </c>
      <c r="AI104" s="44" t="n">
        <v>0</v>
      </c>
      <c r="AJ104" s="44" t="n">
        <v>0</v>
      </c>
      <c r="AK104" s="44" t="n">
        <v>0</v>
      </c>
      <c r="AL104" s="44" t="n">
        <v>0</v>
      </c>
      <c r="AM104" s="44" t="n">
        <v>0</v>
      </c>
      <c r="AN104" s="44" t="n">
        <v>0</v>
      </c>
      <c r="AO104" s="44" t="n">
        <v>0</v>
      </c>
      <c r="AP104" s="44" t="n">
        <v>0</v>
      </c>
      <c r="AQ104" s="44" t="n">
        <v>0</v>
      </c>
      <c r="AR104" s="44" t="n">
        <v>0</v>
      </c>
      <c r="AS104" s="44" t="n">
        <v>0</v>
      </c>
      <c r="AT104" s="44" t="n">
        <v>0</v>
      </c>
      <c r="AU104" s="44" t="n">
        <v>0</v>
      </c>
      <c r="AV104" s="44" t="n">
        <v>0</v>
      </c>
      <c r="AW104" s="44" t="n">
        <v>0</v>
      </c>
      <c r="AX104" s="44" t="n">
        <v>0</v>
      </c>
      <c r="AY104" s="44" t="n">
        <v>0</v>
      </c>
      <c r="AZ104" s="44" t="n">
        <v>0</v>
      </c>
      <c r="BA104" s="44" t="n">
        <v>0</v>
      </c>
      <c r="BB104" s="44" t="n">
        <v>0</v>
      </c>
      <c r="BC104" s="44" t="n">
        <v>0</v>
      </c>
      <c r="BD104" s="44" t="n">
        <v>825</v>
      </c>
      <c r="BE104" s="44" t="n">
        <v>825</v>
      </c>
      <c r="BF104" s="44" t="n">
        <v>825</v>
      </c>
      <c r="BG104" s="44" t="n">
        <v>825</v>
      </c>
      <c r="BH104" s="44" t="n">
        <v>825</v>
      </c>
      <c r="BI104" s="44" t="n">
        <v>825</v>
      </c>
      <c r="BJ104" s="44" t="n">
        <v>825</v>
      </c>
      <c r="BK104" s="44" t="n">
        <v>825</v>
      </c>
      <c r="BL104" s="44" t="n">
        <v>825</v>
      </c>
      <c r="BM104" s="44" t="n">
        <v>825</v>
      </c>
      <c r="BN104" s="44" t="n">
        <v>825</v>
      </c>
      <c r="BO104" s="44" t="n">
        <v>825</v>
      </c>
      <c r="BP104" s="44" t="n">
        <v>0</v>
      </c>
      <c r="BQ104" s="44" t="n">
        <v>0</v>
      </c>
      <c r="BR104" s="45" t="n">
        <v>0</v>
      </c>
      <c r="BS104" s="46" t="n">
        <v>0</v>
      </c>
      <c r="BT104" s="46" t="n">
        <v>0</v>
      </c>
      <c r="BU104" s="46" t="n">
        <v>0</v>
      </c>
      <c r="BV104" s="46" t="n">
        <v>0</v>
      </c>
      <c r="BW104" s="46" t="n">
        <v>0</v>
      </c>
      <c r="BX104" s="46" t="n">
        <v>0</v>
      </c>
      <c r="BY104" s="46" t="n">
        <v>0</v>
      </c>
      <c r="BZ104" s="46" t="n">
        <v>0</v>
      </c>
      <c r="EX104" s="47" t="n">
        <v>0</v>
      </c>
      <c r="EY104" s="47" t="n">
        <v>0</v>
      </c>
      <c r="EZ104" s="47" t="n">
        <v>0</v>
      </c>
      <c r="FA104" s="47" t="n">
        <v>0</v>
      </c>
      <c r="FB104" s="47" t="n">
        <v>0</v>
      </c>
      <c r="FC104" s="47" t="n">
        <v>0</v>
      </c>
      <c r="FD104" s="47" t="n">
        <v>0</v>
      </c>
      <c r="FE104" s="47" t="n">
        <v>0</v>
      </c>
      <c r="FF104" s="47" t="n">
        <v>0</v>
      </c>
      <c r="FG104" s="47" t="n">
        <v>0</v>
      </c>
      <c r="FH104" s="47" t="n">
        <v>0</v>
      </c>
      <c r="FI104" s="47" t="n">
        <v>0</v>
      </c>
      <c r="FJ104" s="47" t="n">
        <v>0</v>
      </c>
      <c r="FK104" s="47" t="n">
        <v>0</v>
      </c>
      <c r="FL104" s="47" t="n">
        <v>0</v>
      </c>
      <c r="FM104" s="47" t="n">
        <v>0</v>
      </c>
      <c r="FN104" s="47" t="n">
        <v>0</v>
      </c>
      <c r="FO104" s="47" t="n">
        <v>0</v>
      </c>
      <c r="FP104" s="47" t="n">
        <v>0</v>
      </c>
      <c r="FQ104" s="47" t="n">
        <v>0</v>
      </c>
      <c r="FR104" s="47" t="n">
        <v>0</v>
      </c>
      <c r="FS104" s="47" t="n">
        <v>0</v>
      </c>
      <c r="FT104" s="47" t="n">
        <v>0</v>
      </c>
      <c r="FU104" s="47" t="n">
        <v>0</v>
      </c>
      <c r="FV104" s="47" t="n">
        <v>0</v>
      </c>
      <c r="FW104" s="47" t="n">
        <v>0</v>
      </c>
      <c r="FX104" s="47" t="n">
        <v>0</v>
      </c>
      <c r="FY104" s="47" t="n">
        <v>0</v>
      </c>
      <c r="FZ104" s="47" t="n">
        <v>0</v>
      </c>
      <c r="GA104" s="47" t="n">
        <v>0</v>
      </c>
      <c r="GB104" s="47" t="n">
        <v>0</v>
      </c>
      <c r="GC104" s="47" t="n">
        <v>0</v>
      </c>
      <c r="GD104" s="47" t="n">
        <v>0</v>
      </c>
      <c r="GE104" s="47" t="n">
        <v>0</v>
      </c>
      <c r="GF104" s="47" t="n">
        <v>0</v>
      </c>
      <c r="GG104" s="47" t="n">
        <v>0</v>
      </c>
      <c r="GH104" s="47" t="n">
        <v>0</v>
      </c>
      <c r="GI104" s="47" t="n">
        <v>0</v>
      </c>
      <c r="GJ104" s="47" t="n">
        <v>0</v>
      </c>
      <c r="GK104" s="47" t="n">
        <v>0</v>
      </c>
      <c r="GL104" s="47" t="n">
        <v>0</v>
      </c>
      <c r="GM104" s="47" t="n">
        <v>0</v>
      </c>
      <c r="GN104" s="47" t="n">
        <v>0</v>
      </c>
      <c r="GO104" s="47" t="n">
        <v>0</v>
      </c>
      <c r="GP104" s="47" t="n">
        <v>0</v>
      </c>
      <c r="GQ104" s="47" t="n">
        <v>0</v>
      </c>
      <c r="GR104" s="47" t="n">
        <v>0</v>
      </c>
      <c r="GS104" s="47" t="n">
        <v>0</v>
      </c>
      <c r="GT104" s="47" t="n">
        <v>0</v>
      </c>
      <c r="GU104" s="47" t="n">
        <v>825</v>
      </c>
      <c r="GV104" s="47" t="n">
        <v>825</v>
      </c>
      <c r="GW104" s="47" t="n">
        <v>825</v>
      </c>
      <c r="GX104" s="47" t="n">
        <v>825</v>
      </c>
      <c r="GY104" s="47" t="n">
        <v>825</v>
      </c>
      <c r="GZ104" s="47" t="n">
        <v>825</v>
      </c>
      <c r="HA104" s="47" t="n">
        <v>825</v>
      </c>
      <c r="HB104" s="47" t="n">
        <v>825</v>
      </c>
      <c r="HC104" s="47" t="n">
        <v>825</v>
      </c>
      <c r="HD104" s="47" t="n">
        <v>825</v>
      </c>
      <c r="HE104" s="47" t="n">
        <v>825</v>
      </c>
      <c r="HF104" s="47" t="n">
        <v>825</v>
      </c>
      <c r="HG104" s="47" t="n">
        <v>0</v>
      </c>
      <c r="HH104" s="47" t="n">
        <v>0</v>
      </c>
      <c r="HI104" s="48" t="n">
        <v>0</v>
      </c>
      <c r="HJ104" s="47" t="n">
        <v>0</v>
      </c>
      <c r="HK104" s="47" t="n">
        <v>0</v>
      </c>
      <c r="HL104" s="47" t="n">
        <v>0</v>
      </c>
      <c r="HM104" s="47" t="n">
        <v>0</v>
      </c>
      <c r="HN104" s="47" t="n">
        <v>0</v>
      </c>
      <c r="HO104" s="47" t="n">
        <v>0</v>
      </c>
      <c r="HP104" s="47" t="n">
        <v>0</v>
      </c>
      <c r="HQ104" s="47" t="n">
        <v>0</v>
      </c>
      <c r="HS104" s="47" t="n">
        <v>0</v>
      </c>
      <c r="HT104" s="47" t="n">
        <v>0</v>
      </c>
      <c r="HU104" s="47" t="n">
        <v>0</v>
      </c>
      <c r="HV104" s="47" t="n">
        <v>0</v>
      </c>
      <c r="HW104" s="47" t="n">
        <v>0</v>
      </c>
      <c r="HX104" s="47" t="n">
        <v>0</v>
      </c>
      <c r="HY104" s="47" t="n">
        <v>0</v>
      </c>
      <c r="HZ104" s="47" t="n">
        <v>0</v>
      </c>
      <c r="IA104" s="47" t="n">
        <v>0</v>
      </c>
      <c r="IB104" s="47" t="n">
        <v>0</v>
      </c>
      <c r="IC104" s="47" t="n">
        <v>0</v>
      </c>
      <c r="ID104" s="47" t="n">
        <v>0</v>
      </c>
      <c r="IE104" s="47" t="n">
        <v>0</v>
      </c>
      <c r="IF104" s="47" t="n">
        <v>0</v>
      </c>
      <c r="IG104" s="47" t="n">
        <v>0</v>
      </c>
      <c r="IH104" s="47" t="n">
        <v>0</v>
      </c>
      <c r="II104" s="47" t="n">
        <v>0</v>
      </c>
      <c r="IJ104" s="47" t="n">
        <v>0</v>
      </c>
      <c r="IK104" s="47" t="n">
        <v>0</v>
      </c>
      <c r="IL104" s="47" t="n">
        <v>0</v>
      </c>
      <c r="IM104" s="47" t="n">
        <v>0</v>
      </c>
      <c r="IN104" s="47" t="n">
        <v>0</v>
      </c>
      <c r="IO104" s="47" t="n">
        <v>0</v>
      </c>
      <c r="IP104" s="47" t="n">
        <v>0</v>
      </c>
      <c r="IQ104" s="47" t="n">
        <v>0</v>
      </c>
      <c r="IR104" s="47" t="n">
        <v>0</v>
      </c>
      <c r="IS104" s="47" t="n">
        <v>0</v>
      </c>
      <c r="IT104" s="47" t="n">
        <v>0</v>
      </c>
      <c r="IU104" s="47" t="n">
        <v>0</v>
      </c>
      <c r="IV104" s="47" t="n">
        <v>0</v>
      </c>
      <c r="IW104" s="47" t="n">
        <v>0</v>
      </c>
      <c r="IX104" s="47" t="n">
        <v>0</v>
      </c>
      <c r="IY104" s="47" t="n">
        <v>0</v>
      </c>
      <c r="IZ104" s="47" t="n">
        <v>0</v>
      </c>
      <c r="JA104" s="47" t="n">
        <v>0</v>
      </c>
      <c r="JB104" s="47" t="n">
        <v>0</v>
      </c>
      <c r="JC104" s="47" t="n">
        <v>0</v>
      </c>
      <c r="JD104" s="47" t="n">
        <v>0</v>
      </c>
      <c r="JE104" s="47" t="n">
        <v>0</v>
      </c>
      <c r="JF104" s="47" t="n">
        <v>0</v>
      </c>
      <c r="JG104" s="47" t="n">
        <v>0</v>
      </c>
      <c r="JH104" s="47" t="n">
        <v>0</v>
      </c>
      <c r="JI104" s="47" t="n">
        <v>0</v>
      </c>
      <c r="JJ104" s="47" t="n">
        <v>0</v>
      </c>
      <c r="JK104" s="47" t="n">
        <v>0</v>
      </c>
      <c r="JL104" s="47" t="n">
        <v>0</v>
      </c>
      <c r="JM104" s="47" t="n">
        <v>0</v>
      </c>
      <c r="JN104" s="47" t="n">
        <v>0</v>
      </c>
      <c r="JO104" s="47" t="n">
        <v>0</v>
      </c>
      <c r="JP104" s="47" t="n">
        <v>825</v>
      </c>
      <c r="JQ104" s="47" t="n">
        <v>825</v>
      </c>
      <c r="JR104" s="47" t="n">
        <v>825</v>
      </c>
      <c r="JS104" s="47" t="n">
        <v>825</v>
      </c>
      <c r="JT104" s="47" t="n">
        <v>825</v>
      </c>
      <c r="JU104" s="47" t="n">
        <v>825</v>
      </c>
      <c r="JV104" s="47" t="n">
        <v>825</v>
      </c>
      <c r="JW104" s="47" t="n">
        <v>825</v>
      </c>
      <c r="JX104" s="47" t="n">
        <v>825</v>
      </c>
      <c r="JY104" s="47" t="n">
        <v>825</v>
      </c>
      <c r="JZ104" s="47" t="n">
        <v>825</v>
      </c>
      <c r="KA104" s="47" t="n">
        <v>825</v>
      </c>
      <c r="KB104" s="47" t="n">
        <v>0</v>
      </c>
      <c r="KC104" s="47" t="n">
        <v>0</v>
      </c>
      <c r="KD104" s="48" t="n">
        <v>0</v>
      </c>
      <c r="KE104" s="47" t="n">
        <v>0</v>
      </c>
      <c r="KF104" s="47" t="n">
        <v>0</v>
      </c>
      <c r="KG104" s="47" t="n">
        <v>0</v>
      </c>
      <c r="KH104" s="47" t="n">
        <v>0</v>
      </c>
      <c r="KI104" s="47" t="n">
        <v>0</v>
      </c>
      <c r="KJ104" s="47" t="n">
        <v>0</v>
      </c>
      <c r="KK104" s="47" t="n">
        <v>0</v>
      </c>
      <c r="KL104" s="47" t="n">
        <v>0</v>
      </c>
    </row>
    <row r="105" customFormat="false" ht="15.75" hidden="false" customHeight="true" outlineLevel="0" collapsed="false">
      <c r="A105" s="35" t="s">
        <v>380</v>
      </c>
      <c r="B105" s="35" t="s">
        <v>381</v>
      </c>
      <c r="C105" s="35" t="s">
        <v>164</v>
      </c>
      <c r="D105" s="35" t="s">
        <v>215</v>
      </c>
      <c r="E105" s="35" t="s">
        <v>174</v>
      </c>
      <c r="G105" s="44" t="n">
        <v>1508.33333333333</v>
      </c>
      <c r="H105" s="44" t="n">
        <v>1458.33333333333</v>
      </c>
      <c r="I105" s="44" t="n">
        <v>1458.33333333333</v>
      </c>
      <c r="J105" s="44" t="n">
        <v>1458.33333333333</v>
      </c>
      <c r="K105" s="44" t="n">
        <v>1458.33333333333</v>
      </c>
      <c r="L105" s="44" t="n">
        <v>1458.33333333333</v>
      </c>
      <c r="M105" s="44" t="n">
        <v>1458.33333333333</v>
      </c>
      <c r="N105" s="44" t="n">
        <v>1458.33333333333</v>
      </c>
      <c r="O105" s="44" t="n">
        <v>2258.33333333333</v>
      </c>
      <c r="P105" s="44" t="n">
        <v>2258.33333333333</v>
      </c>
      <c r="Q105" s="44" t="n">
        <v>2258.33333333333</v>
      </c>
      <c r="R105" s="44" t="n">
        <v>2258.33333333333</v>
      </c>
      <c r="S105" s="44" t="n">
        <v>2258.33333333333</v>
      </c>
      <c r="T105" s="44" t="n">
        <v>2255</v>
      </c>
      <c r="U105" s="44" t="n">
        <v>2255</v>
      </c>
      <c r="V105" s="44" t="n">
        <v>2255</v>
      </c>
      <c r="W105" s="44" t="n">
        <v>2255</v>
      </c>
      <c r="X105" s="44" t="n">
        <v>2255</v>
      </c>
      <c r="Y105" s="44" t="n">
        <v>2255</v>
      </c>
      <c r="Z105" s="44" t="n">
        <v>2255</v>
      </c>
      <c r="AA105" s="44" t="n">
        <v>2255</v>
      </c>
      <c r="AB105" s="44" t="n">
        <v>2255</v>
      </c>
      <c r="AC105" s="44" t="n">
        <v>2255</v>
      </c>
      <c r="AD105" s="44" t="n">
        <v>2255</v>
      </c>
      <c r="AE105" s="44" t="n">
        <v>2255</v>
      </c>
      <c r="AF105" s="44" t="n">
        <v>1961.66666666667</v>
      </c>
      <c r="AG105" s="44" t="n">
        <v>1961.66666666667</v>
      </c>
      <c r="AH105" s="44" t="n">
        <v>1961.66666666667</v>
      </c>
      <c r="AI105" s="44" t="n">
        <v>1961.66666666667</v>
      </c>
      <c r="AJ105" s="44" t="n">
        <v>1961.66666666667</v>
      </c>
      <c r="AK105" s="44" t="n">
        <v>1961.66666666667</v>
      </c>
      <c r="AL105" s="44" t="n">
        <v>1961.66666666667</v>
      </c>
      <c r="AM105" s="44" t="n">
        <v>1961.66666666667</v>
      </c>
      <c r="AN105" s="44" t="n">
        <v>1961.66666666667</v>
      </c>
      <c r="AO105" s="44" t="n">
        <v>1961.66666666667</v>
      </c>
      <c r="AP105" s="44" t="n">
        <v>1961.66666666667</v>
      </c>
      <c r="AQ105" s="44" t="n">
        <v>1961.66666666667</v>
      </c>
      <c r="AR105" s="44" t="n">
        <v>2011.42666666667</v>
      </c>
      <c r="AS105" s="44" t="n">
        <v>2011.42666666667</v>
      </c>
      <c r="AT105" s="44" t="n">
        <v>2011.42666666667</v>
      </c>
      <c r="AU105" s="44" t="n">
        <v>2011.42666666667</v>
      </c>
      <c r="AV105" s="44" t="n">
        <v>2011.42666666667</v>
      </c>
      <c r="AW105" s="44" t="n">
        <v>2011.42666666667</v>
      </c>
      <c r="AX105" s="44" t="n">
        <v>2011.42666666667</v>
      </c>
      <c r="AY105" s="44" t="n">
        <v>2011.42666666667</v>
      </c>
      <c r="AZ105" s="44" t="n">
        <v>2011.42666666667</v>
      </c>
      <c r="BA105" s="44" t="n">
        <v>2011.42666666667</v>
      </c>
      <c r="BB105" s="44" t="n">
        <v>2011.42666666667</v>
      </c>
      <c r="BC105" s="44" t="n">
        <v>2011.42666666667</v>
      </c>
      <c r="BD105" s="44" t="n">
        <v>1019.33333333333</v>
      </c>
      <c r="BE105" s="44" t="n">
        <v>1019.33333333333</v>
      </c>
      <c r="BF105" s="44" t="n">
        <v>1019.33333333333</v>
      </c>
      <c r="BG105" s="44" t="n">
        <v>1019.33333333333</v>
      </c>
      <c r="BH105" s="44" t="n">
        <v>1019.33333333333</v>
      </c>
      <c r="BI105" s="44" t="n">
        <v>1019.33333333333</v>
      </c>
      <c r="BJ105" s="44" t="n">
        <v>1019.33333333333</v>
      </c>
      <c r="BK105" s="44" t="n">
        <v>1019.33333333333</v>
      </c>
      <c r="BL105" s="44" t="n">
        <v>1019.33333333333</v>
      </c>
      <c r="BM105" s="44" t="n">
        <v>1019.33333333333</v>
      </c>
      <c r="BN105" s="44" t="n">
        <v>1019.33333333333</v>
      </c>
      <c r="BO105" s="44" t="n">
        <v>1019.33333333333</v>
      </c>
      <c r="BP105" s="44" t="n">
        <v>662.106666666667</v>
      </c>
      <c r="BQ105" s="44" t="n">
        <v>662.106666666667</v>
      </c>
      <c r="BR105" s="45" t="n">
        <v>662.106666666667</v>
      </c>
      <c r="BS105" s="46" t="n">
        <v>662.106666666667</v>
      </c>
      <c r="BT105" s="46" t="n">
        <v>662.106666666667</v>
      </c>
      <c r="BU105" s="46" t="n">
        <v>662.106666666667</v>
      </c>
      <c r="BV105" s="46" t="n">
        <v>662.106666666667</v>
      </c>
      <c r="BW105" s="46" t="n">
        <v>662.106666666667</v>
      </c>
      <c r="BX105" s="46" t="n">
        <v>662.106666666667</v>
      </c>
      <c r="BY105" s="46" t="n">
        <v>662.106666666667</v>
      </c>
      <c r="BZ105" s="46" t="n">
        <v>662.106666666667</v>
      </c>
      <c r="CB105" s="52" t="s">
        <v>356</v>
      </c>
      <c r="CC105" s="50" t="n">
        <v>-489</v>
      </c>
      <c r="CD105" s="50" t="n">
        <v>-439</v>
      </c>
      <c r="CE105" s="50" t="n">
        <v>-439</v>
      </c>
      <c r="CF105" s="50" t="n">
        <v>-439</v>
      </c>
      <c r="CG105" s="50" t="n">
        <v>-439</v>
      </c>
      <c r="CH105" s="50" t="n">
        <v>-439</v>
      </c>
      <c r="CI105" s="50" t="n">
        <v>-439</v>
      </c>
      <c r="CJ105" s="50" t="n">
        <v>-439</v>
      </c>
      <c r="CK105" s="50" t="n">
        <v>-1239</v>
      </c>
      <c r="CL105" s="50" t="n">
        <v>-1239</v>
      </c>
      <c r="CM105" s="50" t="n">
        <v>-1239</v>
      </c>
      <c r="CN105" s="50" t="n">
        <v>-1239</v>
      </c>
      <c r="CO105" s="50" t="n">
        <v>-1239</v>
      </c>
      <c r="CP105" s="50" t="n">
        <v>-1235.66666666667</v>
      </c>
      <c r="CQ105" s="50" t="n">
        <v>-1235.66666666667</v>
      </c>
      <c r="CR105" s="50" t="n">
        <v>-1235.66666666667</v>
      </c>
      <c r="CS105" s="50" t="n">
        <v>-1235.66666666667</v>
      </c>
      <c r="CT105" s="50" t="n">
        <v>-1235.66666666667</v>
      </c>
      <c r="CU105" s="50" t="n">
        <v>-1235.66666666667</v>
      </c>
      <c r="CV105" s="50" t="n">
        <v>-1235.66666666667</v>
      </c>
      <c r="CW105" s="50" t="n">
        <v>-1235.66666666667</v>
      </c>
      <c r="CX105" s="50" t="n">
        <v>-1235.66666666667</v>
      </c>
      <c r="CY105" s="50" t="n">
        <v>-1235.66666666667</v>
      </c>
      <c r="CZ105" s="50" t="n">
        <v>-1235.66666666667</v>
      </c>
      <c r="DA105" s="50" t="n">
        <v>-1235.66666666667</v>
      </c>
      <c r="DB105" s="50" t="n">
        <v>-942.333333333333</v>
      </c>
      <c r="DC105" s="50" t="n">
        <v>-942.333333333333</v>
      </c>
      <c r="DD105" s="50" t="n">
        <v>-942.333333333333</v>
      </c>
      <c r="DE105" s="50" t="n">
        <v>-942.333333333333</v>
      </c>
      <c r="DF105" s="50" t="n">
        <v>-942.333333333333</v>
      </c>
      <c r="DG105" s="50" t="n">
        <v>-942.333333333333</v>
      </c>
      <c r="DH105" s="50" t="n">
        <v>-942.333333333333</v>
      </c>
      <c r="DI105" s="50" t="n">
        <v>-942.333333333333</v>
      </c>
      <c r="DJ105" s="50" t="n">
        <v>-942.333333333333</v>
      </c>
      <c r="DK105" s="50" t="n">
        <v>-942.333333333333</v>
      </c>
      <c r="DL105" s="50" t="n">
        <v>-942.333333333333</v>
      </c>
      <c r="DM105" s="50" t="n">
        <v>-942.333333333333</v>
      </c>
      <c r="DN105" s="50" t="n">
        <v>-992.093333333333</v>
      </c>
      <c r="DO105" s="50" t="n">
        <v>-992.093333333333</v>
      </c>
      <c r="DP105" s="50" t="n">
        <v>-992.093333333333</v>
      </c>
      <c r="DQ105" s="50" t="n">
        <v>-992.093333333333</v>
      </c>
      <c r="DR105" s="50" t="n">
        <v>-992.093333333333</v>
      </c>
      <c r="DS105" s="50" t="n">
        <v>-992.093333333333</v>
      </c>
      <c r="DT105" s="50" t="n">
        <v>-992.093333333333</v>
      </c>
      <c r="DU105" s="50" t="n">
        <v>-992.093333333333</v>
      </c>
      <c r="DV105" s="50" t="n">
        <v>-992.093333333333</v>
      </c>
      <c r="DW105" s="50" t="n">
        <v>-992.093333333333</v>
      </c>
      <c r="DX105" s="50" t="n">
        <v>-992.093333333333</v>
      </c>
      <c r="DY105" s="50" t="n">
        <v>-992.093333333333</v>
      </c>
      <c r="DZ105" s="50" t="n">
        <v>0</v>
      </c>
      <c r="EA105" s="50" t="n">
        <v>0</v>
      </c>
      <c r="EB105" s="50" t="n">
        <v>0</v>
      </c>
      <c r="EC105" s="50" t="n">
        <v>0</v>
      </c>
      <c r="ED105" s="50" t="n">
        <v>0</v>
      </c>
      <c r="EE105" s="50" t="n">
        <v>0</v>
      </c>
      <c r="EF105" s="50" t="n">
        <v>0</v>
      </c>
      <c r="EG105" s="50" t="n">
        <v>0</v>
      </c>
      <c r="EH105" s="50" t="n">
        <v>0</v>
      </c>
      <c r="EI105" s="50" t="n">
        <v>0</v>
      </c>
      <c r="EJ105" s="50" t="n">
        <v>0</v>
      </c>
      <c r="EK105" s="50" t="n">
        <v>0</v>
      </c>
      <c r="EL105" s="50" t="n">
        <v>0</v>
      </c>
      <c r="EM105" s="50" t="n">
        <v>0</v>
      </c>
      <c r="EN105" s="51" t="n">
        <v>0</v>
      </c>
      <c r="EO105" s="50" t="n">
        <v>0</v>
      </c>
      <c r="EP105" s="50" t="n">
        <v>0</v>
      </c>
      <c r="EQ105" s="50" t="n">
        <v>0</v>
      </c>
      <c r="ER105" s="50" t="n">
        <v>0</v>
      </c>
      <c r="ES105" s="50" t="n">
        <v>0</v>
      </c>
      <c r="ET105" s="50" t="n">
        <v>0</v>
      </c>
      <c r="EU105" s="50" t="n">
        <v>0</v>
      </c>
      <c r="EV105" s="50" t="n">
        <v>0</v>
      </c>
      <c r="EX105" s="47" t="n">
        <v>1508.33333333333</v>
      </c>
      <c r="EY105" s="47" t="n">
        <v>1458.33333333333</v>
      </c>
      <c r="EZ105" s="47" t="n">
        <v>1458.33333333333</v>
      </c>
      <c r="FA105" s="47" t="n">
        <v>1458.33333333333</v>
      </c>
      <c r="FB105" s="47" t="n">
        <v>1458.33333333333</v>
      </c>
      <c r="FC105" s="47" t="n">
        <v>1458.33333333333</v>
      </c>
      <c r="FD105" s="47" t="n">
        <v>1458.33333333333</v>
      </c>
      <c r="FE105" s="47" t="n">
        <v>1458.33333333333</v>
      </c>
      <c r="FF105" s="47" t="n">
        <v>2258.33333333333</v>
      </c>
      <c r="FG105" s="47" t="n">
        <v>2258.33333333333</v>
      </c>
      <c r="FH105" s="47" t="n">
        <v>2258.33333333333</v>
      </c>
      <c r="FI105" s="47" t="n">
        <v>2258.33333333333</v>
      </c>
      <c r="FJ105" s="47" t="n">
        <v>2258.33333333333</v>
      </c>
      <c r="FK105" s="47" t="n">
        <v>2255</v>
      </c>
      <c r="FL105" s="47" t="n">
        <v>2255</v>
      </c>
      <c r="FM105" s="47" t="n">
        <v>2255</v>
      </c>
      <c r="FN105" s="47" t="n">
        <v>2255</v>
      </c>
      <c r="FO105" s="47" t="n">
        <v>2255</v>
      </c>
      <c r="FP105" s="47" t="n">
        <v>2255</v>
      </c>
      <c r="FQ105" s="47" t="n">
        <v>2255</v>
      </c>
      <c r="FR105" s="47" t="n">
        <v>2255</v>
      </c>
      <c r="FS105" s="47" t="n">
        <v>2255</v>
      </c>
      <c r="FT105" s="47" t="n">
        <v>2255</v>
      </c>
      <c r="FU105" s="47" t="n">
        <v>2255</v>
      </c>
      <c r="FV105" s="47" t="n">
        <v>2255</v>
      </c>
      <c r="FW105" s="47" t="n">
        <v>1961.66666666667</v>
      </c>
      <c r="FX105" s="47" t="n">
        <v>1961.66666666667</v>
      </c>
      <c r="FY105" s="47" t="n">
        <v>1961.66666666667</v>
      </c>
      <c r="FZ105" s="47" t="n">
        <v>1961.66666666667</v>
      </c>
      <c r="GA105" s="47" t="n">
        <v>1961.66666666667</v>
      </c>
      <c r="GB105" s="47" t="n">
        <v>1961.66666666667</v>
      </c>
      <c r="GC105" s="47" t="n">
        <v>1961.66666666667</v>
      </c>
      <c r="GD105" s="47" t="n">
        <v>1961.66666666667</v>
      </c>
      <c r="GE105" s="47" t="n">
        <v>1961.66666666667</v>
      </c>
      <c r="GF105" s="47" t="n">
        <v>1961.66666666667</v>
      </c>
      <c r="GG105" s="47" t="n">
        <v>1961.66666666667</v>
      </c>
      <c r="GH105" s="47" t="n">
        <v>1961.66666666667</v>
      </c>
      <c r="GI105" s="47" t="n">
        <v>2011.42666666667</v>
      </c>
      <c r="GJ105" s="47" t="n">
        <v>2011.42666666667</v>
      </c>
      <c r="GK105" s="47" t="n">
        <v>2011.42666666667</v>
      </c>
      <c r="GL105" s="47" t="n">
        <v>2011.42666666667</v>
      </c>
      <c r="GM105" s="47" t="n">
        <v>2011.42666666667</v>
      </c>
      <c r="GN105" s="47" t="n">
        <v>2011.42666666667</v>
      </c>
      <c r="GO105" s="47" t="n">
        <v>2011.42666666667</v>
      </c>
      <c r="GP105" s="47" t="n">
        <v>2011.42666666667</v>
      </c>
      <c r="GQ105" s="47" t="n">
        <v>2011.42666666667</v>
      </c>
      <c r="GR105" s="47" t="n">
        <v>2011.42666666667</v>
      </c>
      <c r="GS105" s="47" t="n">
        <v>2011.42666666667</v>
      </c>
      <c r="GT105" s="47" t="n">
        <v>2011.42666666667</v>
      </c>
      <c r="GU105" s="47" t="n">
        <v>1019.33333333333</v>
      </c>
      <c r="GV105" s="47" t="n">
        <v>1019.33333333333</v>
      </c>
      <c r="GW105" s="47" t="n">
        <v>1019.33333333333</v>
      </c>
      <c r="GX105" s="47" t="n">
        <v>1019.33333333333</v>
      </c>
      <c r="GY105" s="47" t="n">
        <v>1019.33333333333</v>
      </c>
      <c r="GZ105" s="47" t="n">
        <v>1019.33333333333</v>
      </c>
      <c r="HA105" s="47" t="n">
        <v>1019.33333333333</v>
      </c>
      <c r="HB105" s="47" t="n">
        <v>1019.33333333333</v>
      </c>
      <c r="HC105" s="47" t="n">
        <v>1019.33333333333</v>
      </c>
      <c r="HD105" s="47" t="n">
        <v>1019.33333333333</v>
      </c>
      <c r="HE105" s="47" t="n">
        <v>1019.33333333333</v>
      </c>
      <c r="HF105" s="47" t="n">
        <v>1019.33333333333</v>
      </c>
      <c r="HG105" s="47" t="n">
        <v>662.106666666667</v>
      </c>
      <c r="HH105" s="47" t="n">
        <v>662.106666666667</v>
      </c>
      <c r="HI105" s="48" t="n">
        <v>662.106666666667</v>
      </c>
      <c r="HJ105" s="47" t="n">
        <v>662.106666666667</v>
      </c>
      <c r="HK105" s="47" t="n">
        <v>662.106666666667</v>
      </c>
      <c r="HL105" s="47" t="n">
        <v>662.106666666667</v>
      </c>
      <c r="HM105" s="47" t="n">
        <v>662.106666666667</v>
      </c>
      <c r="HN105" s="47" t="n">
        <v>662.106666666667</v>
      </c>
      <c r="HO105" s="47" t="n">
        <v>662.106666666667</v>
      </c>
      <c r="HP105" s="47" t="n">
        <v>662.106666666667</v>
      </c>
      <c r="HQ105" s="47" t="n">
        <v>662.106666666667</v>
      </c>
      <c r="HS105" s="47" t="n">
        <v>1019.33333333333</v>
      </c>
      <c r="HT105" s="47" t="n">
        <v>1019.33333333333</v>
      </c>
      <c r="HU105" s="47" t="n">
        <v>1019.33333333333</v>
      </c>
      <c r="HV105" s="47" t="n">
        <v>1019.33333333333</v>
      </c>
      <c r="HW105" s="47" t="n">
        <v>1019.33333333333</v>
      </c>
      <c r="HX105" s="47" t="n">
        <v>1019.33333333333</v>
      </c>
      <c r="HY105" s="47" t="n">
        <v>1019.33333333333</v>
      </c>
      <c r="HZ105" s="47" t="n">
        <v>1019.33333333333</v>
      </c>
      <c r="IA105" s="47" t="n">
        <v>1019.33333333333</v>
      </c>
      <c r="IB105" s="47" t="n">
        <v>1019.33333333333</v>
      </c>
      <c r="IC105" s="47" t="n">
        <v>1019.33333333333</v>
      </c>
      <c r="ID105" s="47" t="n">
        <v>1019.33333333333</v>
      </c>
      <c r="IE105" s="47" t="n">
        <v>1019.33333333333</v>
      </c>
      <c r="IF105" s="47" t="n">
        <v>1019.33333333333</v>
      </c>
      <c r="IG105" s="47" t="n">
        <v>1019.33333333333</v>
      </c>
      <c r="IH105" s="47" t="n">
        <v>1019.33333333333</v>
      </c>
      <c r="II105" s="47" t="n">
        <v>1019.33333333333</v>
      </c>
      <c r="IJ105" s="47" t="n">
        <v>1019.33333333333</v>
      </c>
      <c r="IK105" s="47" t="n">
        <v>1019.33333333333</v>
      </c>
      <c r="IL105" s="47" t="n">
        <v>1019.33333333333</v>
      </c>
      <c r="IM105" s="47" t="n">
        <v>1019.33333333333</v>
      </c>
      <c r="IN105" s="47" t="n">
        <v>1019.33333333333</v>
      </c>
      <c r="IO105" s="47" t="n">
        <v>1019.33333333333</v>
      </c>
      <c r="IP105" s="47" t="n">
        <v>1019.33333333333</v>
      </c>
      <c r="IQ105" s="47" t="n">
        <v>1019.33333333333</v>
      </c>
      <c r="IR105" s="47" t="n">
        <v>1019.33333333334</v>
      </c>
      <c r="IS105" s="47" t="n">
        <v>1019.33333333334</v>
      </c>
      <c r="IT105" s="47" t="n">
        <v>1019.33333333334</v>
      </c>
      <c r="IU105" s="47" t="n">
        <v>1019.33333333334</v>
      </c>
      <c r="IV105" s="47" t="n">
        <v>1019.33333333334</v>
      </c>
      <c r="IW105" s="47" t="n">
        <v>1019.33333333334</v>
      </c>
      <c r="IX105" s="47" t="n">
        <v>1019.33333333334</v>
      </c>
      <c r="IY105" s="47" t="n">
        <v>1019.33333333334</v>
      </c>
      <c r="IZ105" s="47" t="n">
        <v>1019.33333333334</v>
      </c>
      <c r="JA105" s="47" t="n">
        <v>1019.33333333334</v>
      </c>
      <c r="JB105" s="47" t="n">
        <v>1019.33333333334</v>
      </c>
      <c r="JC105" s="47" t="n">
        <v>1019.33333333334</v>
      </c>
      <c r="JD105" s="47" t="n">
        <v>1019.33333333334</v>
      </c>
      <c r="JE105" s="47" t="n">
        <v>1019.33333333334</v>
      </c>
      <c r="JF105" s="47" t="n">
        <v>1019.33333333334</v>
      </c>
      <c r="JG105" s="47" t="n">
        <v>1019.33333333334</v>
      </c>
      <c r="JH105" s="47" t="n">
        <v>1019.33333333334</v>
      </c>
      <c r="JI105" s="47" t="n">
        <v>1019.33333333334</v>
      </c>
      <c r="JJ105" s="47" t="n">
        <v>1019.33333333334</v>
      </c>
      <c r="JK105" s="47" t="n">
        <v>1019.33333333334</v>
      </c>
      <c r="JL105" s="47" t="n">
        <v>1019.33333333334</v>
      </c>
      <c r="JM105" s="47" t="n">
        <v>1019.33333333334</v>
      </c>
      <c r="JN105" s="47" t="n">
        <v>1019.33333333334</v>
      </c>
      <c r="JO105" s="47" t="n">
        <v>1019.33333333334</v>
      </c>
      <c r="JP105" s="47" t="n">
        <v>1019.33333333333</v>
      </c>
      <c r="JQ105" s="47" t="n">
        <v>1019.33333333333</v>
      </c>
      <c r="JR105" s="47" t="n">
        <v>1019.33333333333</v>
      </c>
      <c r="JS105" s="47" t="n">
        <v>1019.33333333333</v>
      </c>
      <c r="JT105" s="47" t="n">
        <v>1019.33333333333</v>
      </c>
      <c r="JU105" s="47" t="n">
        <v>1019.33333333333</v>
      </c>
      <c r="JV105" s="47" t="n">
        <v>1019.33333333333</v>
      </c>
      <c r="JW105" s="47" t="n">
        <v>1019.33333333333</v>
      </c>
      <c r="JX105" s="47" t="n">
        <v>1019.33333333333</v>
      </c>
      <c r="JY105" s="47" t="n">
        <v>1019.33333333333</v>
      </c>
      <c r="JZ105" s="47" t="n">
        <v>1019.33333333333</v>
      </c>
      <c r="KA105" s="47" t="n">
        <v>1019.33333333333</v>
      </c>
      <c r="KB105" s="47" t="n">
        <v>662.106666666667</v>
      </c>
      <c r="KC105" s="47" t="n">
        <v>662.106666666667</v>
      </c>
      <c r="KD105" s="48" t="n">
        <v>662.106666666667</v>
      </c>
      <c r="KE105" s="47" t="n">
        <v>662.106666666667</v>
      </c>
      <c r="KF105" s="47" t="n">
        <v>662.106666666667</v>
      </c>
      <c r="KG105" s="47" t="n">
        <v>662.106666666667</v>
      </c>
      <c r="KH105" s="47" t="n">
        <v>662.106666666667</v>
      </c>
      <c r="KI105" s="47" t="n">
        <v>662.106666666667</v>
      </c>
      <c r="KJ105" s="47" t="n">
        <v>662.106666666667</v>
      </c>
      <c r="KK105" s="47" t="n">
        <v>662.106666666667</v>
      </c>
      <c r="KL105" s="47" t="n">
        <v>662.106666666667</v>
      </c>
    </row>
    <row r="106" customFormat="false" ht="15.75" hidden="false" customHeight="true" outlineLevel="0" collapsed="false">
      <c r="A106" s="35" t="s">
        <v>382</v>
      </c>
      <c r="B106" s="35" t="s">
        <v>383</v>
      </c>
      <c r="C106" s="35" t="s">
        <v>164</v>
      </c>
      <c r="D106" s="35" t="s">
        <v>165</v>
      </c>
      <c r="E106" s="35" t="s">
        <v>174</v>
      </c>
      <c r="G106" s="44" t="n">
        <v>0</v>
      </c>
      <c r="H106" s="44" t="n">
        <v>0</v>
      </c>
      <c r="I106" s="44" t="n">
        <v>0</v>
      </c>
      <c r="J106" s="44" t="n">
        <v>0</v>
      </c>
      <c r="K106" s="44" t="n">
        <v>0</v>
      </c>
      <c r="L106" s="44" t="n">
        <v>58.3333333333333</v>
      </c>
      <c r="M106" s="44" t="n">
        <v>58.3333333333333</v>
      </c>
      <c r="N106" s="44" t="n">
        <v>58.3333333333333</v>
      </c>
      <c r="O106" s="44" t="n">
        <v>58.3333333333333</v>
      </c>
      <c r="P106" s="44" t="n">
        <v>58.3333333333333</v>
      </c>
      <c r="Q106" s="44" t="n">
        <v>58.3333333333333</v>
      </c>
      <c r="R106" s="44" t="n">
        <v>58.3333333333333</v>
      </c>
      <c r="S106" s="44" t="n">
        <v>58.3333333333333</v>
      </c>
      <c r="T106" s="44" t="n">
        <v>58.3333333333333</v>
      </c>
      <c r="U106" s="44" t="n">
        <v>58.3333333333333</v>
      </c>
      <c r="V106" s="44" t="n">
        <v>58.3333333333333</v>
      </c>
      <c r="W106" s="44" t="n">
        <v>58.3333333333333</v>
      </c>
      <c r="X106" s="44" t="n">
        <v>58.3333333333333</v>
      </c>
      <c r="Y106" s="44" t="n">
        <v>58.3333333333333</v>
      </c>
      <c r="Z106" s="44" t="n">
        <v>58.3333333333333</v>
      </c>
      <c r="AA106" s="44" t="n">
        <v>58.3333333333333</v>
      </c>
      <c r="AB106" s="44" t="n">
        <v>58.3333333333333</v>
      </c>
      <c r="AC106" s="44" t="n">
        <v>58.3333333333333</v>
      </c>
      <c r="AD106" s="44" t="n">
        <v>58.3333333333333</v>
      </c>
      <c r="AE106" s="44" t="n">
        <v>58.3333333333333</v>
      </c>
      <c r="AF106" s="44" t="n">
        <v>58.3333333333333</v>
      </c>
      <c r="AG106" s="44" t="n">
        <v>58.3333333333333</v>
      </c>
      <c r="AH106" s="44" t="n">
        <v>58.3333333333333</v>
      </c>
      <c r="AI106" s="44" t="n">
        <v>58.3333333333333</v>
      </c>
      <c r="AJ106" s="44" t="n">
        <v>58.3333333333333</v>
      </c>
      <c r="AK106" s="44" t="n">
        <v>58.3333333333333</v>
      </c>
      <c r="AL106" s="44" t="n">
        <v>58.3333333333333</v>
      </c>
      <c r="AM106" s="44" t="n">
        <v>58.3333333333333</v>
      </c>
      <c r="AN106" s="44" t="n">
        <v>58.3333333333333</v>
      </c>
      <c r="AO106" s="44" t="n">
        <v>58.3333333333333</v>
      </c>
      <c r="AP106" s="44" t="n">
        <v>58.3333333333333</v>
      </c>
      <c r="AQ106" s="44" t="n">
        <v>58.3333333333333</v>
      </c>
      <c r="AR106" s="44" t="n">
        <v>58.3333333333333</v>
      </c>
      <c r="AS106" s="44" t="n">
        <v>58.3333333333333</v>
      </c>
      <c r="AT106" s="44" t="n">
        <v>58.3333333333333</v>
      </c>
      <c r="AU106" s="44" t="n">
        <v>58.3333333333333</v>
      </c>
      <c r="AV106" s="44" t="n">
        <v>0</v>
      </c>
      <c r="AW106" s="44" t="n">
        <v>0</v>
      </c>
      <c r="AX106" s="44" t="n">
        <v>0</v>
      </c>
      <c r="AY106" s="44" t="n">
        <v>0</v>
      </c>
      <c r="AZ106" s="44" t="n">
        <v>0</v>
      </c>
      <c r="BA106" s="44" t="n">
        <v>0</v>
      </c>
      <c r="BB106" s="44" t="n">
        <v>0</v>
      </c>
      <c r="BC106" s="44" t="n">
        <v>0</v>
      </c>
      <c r="BD106" s="44" t="n">
        <v>0</v>
      </c>
      <c r="BE106" s="44" t="n">
        <v>0</v>
      </c>
      <c r="BF106" s="44" t="n">
        <v>0</v>
      </c>
      <c r="BG106" s="44" t="n">
        <v>0</v>
      </c>
      <c r="BH106" s="44" t="n">
        <v>0</v>
      </c>
      <c r="BI106" s="44" t="n">
        <v>0</v>
      </c>
      <c r="BJ106" s="44" t="n">
        <v>0</v>
      </c>
      <c r="BK106" s="44" t="n">
        <v>0</v>
      </c>
      <c r="BL106" s="44" t="n">
        <v>0</v>
      </c>
      <c r="BM106" s="44" t="n">
        <v>0</v>
      </c>
      <c r="BN106" s="44" t="n">
        <v>0</v>
      </c>
      <c r="BO106" s="44" t="n">
        <v>0</v>
      </c>
      <c r="BP106" s="44" t="n">
        <v>0</v>
      </c>
      <c r="BQ106" s="44" t="n">
        <v>0</v>
      </c>
      <c r="BR106" s="45" t="n">
        <v>0</v>
      </c>
      <c r="BS106" s="46" t="n">
        <v>0</v>
      </c>
      <c r="BT106" s="46" t="n">
        <v>0</v>
      </c>
      <c r="BU106" s="46" t="n">
        <v>0</v>
      </c>
      <c r="BV106" s="46" t="n">
        <v>0</v>
      </c>
      <c r="BW106" s="46" t="n">
        <v>0</v>
      </c>
      <c r="BX106" s="46" t="n">
        <v>0</v>
      </c>
      <c r="BY106" s="46" t="n">
        <v>0</v>
      </c>
      <c r="BZ106" s="46" t="n">
        <v>0</v>
      </c>
      <c r="CB106" s="52" t="s">
        <v>262</v>
      </c>
      <c r="CC106" s="50" t="n">
        <v>0</v>
      </c>
      <c r="CD106" s="50" t="n">
        <v>0</v>
      </c>
      <c r="CE106" s="50" t="n">
        <v>0</v>
      </c>
      <c r="CF106" s="50" t="n">
        <v>0</v>
      </c>
      <c r="CG106" s="50" t="n">
        <v>0</v>
      </c>
      <c r="CH106" s="50" t="n">
        <v>-58.3333333333333</v>
      </c>
      <c r="CI106" s="50" t="n">
        <v>-58.3333333333333</v>
      </c>
      <c r="CJ106" s="50" t="n">
        <v>-58.3333333333333</v>
      </c>
      <c r="CK106" s="50" t="n">
        <v>-58.3333333333333</v>
      </c>
      <c r="CL106" s="50" t="n">
        <v>-58.3333333333333</v>
      </c>
      <c r="CM106" s="50" t="n">
        <v>-58.3333333333333</v>
      </c>
      <c r="CN106" s="50" t="n">
        <v>-58.3333333333333</v>
      </c>
      <c r="CO106" s="50" t="n">
        <v>-58.3333333333333</v>
      </c>
      <c r="CP106" s="50" t="n">
        <v>-58.3333333333333</v>
      </c>
      <c r="CQ106" s="50" t="n">
        <v>-58.3333333333333</v>
      </c>
      <c r="CR106" s="50" t="n">
        <v>-58.3333333333333</v>
      </c>
      <c r="CS106" s="50" t="n">
        <v>-58.3333333333333</v>
      </c>
      <c r="CT106" s="50" t="n">
        <v>-58.3333333333333</v>
      </c>
      <c r="CU106" s="50" t="n">
        <v>-58.3333333333333</v>
      </c>
      <c r="CV106" s="50" t="n">
        <v>-58.3333333333333</v>
      </c>
      <c r="CW106" s="50" t="n">
        <v>-58.3333333333333</v>
      </c>
      <c r="CX106" s="50" t="n">
        <v>-58.3333333333333</v>
      </c>
      <c r="CY106" s="50" t="n">
        <v>-58.3333333333333</v>
      </c>
      <c r="CZ106" s="50" t="n">
        <v>-58.3333333333333</v>
      </c>
      <c r="DA106" s="50" t="n">
        <v>-58.3333333333333</v>
      </c>
      <c r="DB106" s="50" t="n">
        <v>-58.3333333333333</v>
      </c>
      <c r="DC106" s="50" t="n">
        <v>-58.3333333333333</v>
      </c>
      <c r="DD106" s="50" t="n">
        <v>-58.3333333333333</v>
      </c>
      <c r="DE106" s="50" t="n">
        <v>-58.3333333333333</v>
      </c>
      <c r="DF106" s="50" t="n">
        <v>-58.3333333333333</v>
      </c>
      <c r="DG106" s="50" t="n">
        <v>-58.3333333333333</v>
      </c>
      <c r="DH106" s="50" t="n">
        <v>-58.3333333333333</v>
      </c>
      <c r="DI106" s="50" t="n">
        <v>-58.3333333333333</v>
      </c>
      <c r="DJ106" s="50" t="n">
        <v>-58.3333333333333</v>
      </c>
      <c r="DK106" s="50" t="n">
        <v>-58.3333333333333</v>
      </c>
      <c r="DL106" s="50" t="n">
        <v>-58.3333333333333</v>
      </c>
      <c r="DM106" s="50" t="n">
        <v>-58.3333333333333</v>
      </c>
      <c r="DN106" s="50" t="n">
        <v>-58.3333333333333</v>
      </c>
      <c r="DO106" s="50" t="n">
        <v>-58.3333333333333</v>
      </c>
      <c r="DP106" s="50" t="n">
        <v>-58.3333333333333</v>
      </c>
      <c r="DQ106" s="50" t="n">
        <v>-58.3333333333333</v>
      </c>
      <c r="DR106" s="50" t="n">
        <v>0</v>
      </c>
      <c r="DS106" s="50" t="n">
        <v>0</v>
      </c>
      <c r="DT106" s="50" t="n">
        <v>0</v>
      </c>
      <c r="DU106" s="50" t="n">
        <v>0</v>
      </c>
      <c r="DV106" s="50" t="n">
        <v>0</v>
      </c>
      <c r="DW106" s="50" t="n">
        <v>0</v>
      </c>
      <c r="DX106" s="50" t="n">
        <v>0</v>
      </c>
      <c r="DY106" s="50" t="n">
        <v>0</v>
      </c>
      <c r="DZ106" s="50" t="n">
        <v>0</v>
      </c>
      <c r="EA106" s="50" t="n">
        <v>0</v>
      </c>
      <c r="EB106" s="50" t="n">
        <v>0</v>
      </c>
      <c r="EC106" s="50" t="n">
        <v>0</v>
      </c>
      <c r="ED106" s="50" t="n">
        <v>0</v>
      </c>
      <c r="EE106" s="50" t="n">
        <v>0</v>
      </c>
      <c r="EF106" s="50" t="n">
        <v>0</v>
      </c>
      <c r="EG106" s="50" t="n">
        <v>0</v>
      </c>
      <c r="EH106" s="50" t="n">
        <v>0</v>
      </c>
      <c r="EI106" s="50" t="n">
        <v>0</v>
      </c>
      <c r="EJ106" s="50" t="n">
        <v>0</v>
      </c>
      <c r="EK106" s="50" t="n">
        <v>0</v>
      </c>
      <c r="EL106" s="50" t="n">
        <v>0</v>
      </c>
      <c r="EM106" s="50" t="n">
        <v>0</v>
      </c>
      <c r="EN106" s="51" t="n">
        <v>0</v>
      </c>
      <c r="EO106" s="50" t="n">
        <v>0</v>
      </c>
      <c r="EP106" s="50" t="n">
        <v>0</v>
      </c>
      <c r="EQ106" s="50" t="n">
        <v>0</v>
      </c>
      <c r="ER106" s="50" t="n">
        <v>0</v>
      </c>
      <c r="ES106" s="50" t="n">
        <v>0</v>
      </c>
      <c r="ET106" s="50" t="n">
        <v>0</v>
      </c>
      <c r="EU106" s="50" t="n">
        <v>0</v>
      </c>
      <c r="EV106" s="50" t="n">
        <v>0</v>
      </c>
      <c r="EX106" s="47" t="n">
        <v>0</v>
      </c>
      <c r="EY106" s="47" t="n">
        <v>0</v>
      </c>
      <c r="EZ106" s="47" t="n">
        <v>0</v>
      </c>
      <c r="FA106" s="47" t="n">
        <v>0</v>
      </c>
      <c r="FB106" s="47" t="n">
        <v>0</v>
      </c>
      <c r="FC106" s="47" t="n">
        <v>58.3333333333333</v>
      </c>
      <c r="FD106" s="47" t="n">
        <v>58.3333333333333</v>
      </c>
      <c r="FE106" s="47" t="n">
        <v>58.3333333333333</v>
      </c>
      <c r="FF106" s="47" t="n">
        <v>58.3333333333333</v>
      </c>
      <c r="FG106" s="47" t="n">
        <v>58.3333333333333</v>
      </c>
      <c r="FH106" s="47" t="n">
        <v>58.3333333333333</v>
      </c>
      <c r="FI106" s="47" t="n">
        <v>58.3333333333333</v>
      </c>
      <c r="FJ106" s="47" t="n">
        <v>58.3333333333333</v>
      </c>
      <c r="FK106" s="47" t="n">
        <v>58.3333333333333</v>
      </c>
      <c r="FL106" s="47" t="n">
        <v>58.3333333333333</v>
      </c>
      <c r="FM106" s="47" t="n">
        <v>58.3333333333333</v>
      </c>
      <c r="FN106" s="47" t="n">
        <v>58.3333333333333</v>
      </c>
      <c r="FO106" s="47" t="n">
        <v>58.3333333333333</v>
      </c>
      <c r="FP106" s="47" t="n">
        <v>58.3333333333333</v>
      </c>
      <c r="FQ106" s="47" t="n">
        <v>58.3333333333333</v>
      </c>
      <c r="FR106" s="47" t="n">
        <v>58.3333333333333</v>
      </c>
      <c r="FS106" s="47" t="n">
        <v>58.3333333333333</v>
      </c>
      <c r="FT106" s="47" t="n">
        <v>58.3333333333333</v>
      </c>
      <c r="FU106" s="47" t="n">
        <v>58.3333333333333</v>
      </c>
      <c r="FV106" s="47" t="n">
        <v>58.3333333333333</v>
      </c>
      <c r="FW106" s="47" t="n">
        <v>58.3333333333333</v>
      </c>
      <c r="FX106" s="47" t="n">
        <v>58.3333333333333</v>
      </c>
      <c r="FY106" s="47" t="n">
        <v>58.3333333333333</v>
      </c>
      <c r="FZ106" s="47" t="n">
        <v>58.3333333333333</v>
      </c>
      <c r="GA106" s="47" t="n">
        <v>58.3333333333333</v>
      </c>
      <c r="GB106" s="47" t="n">
        <v>58.3333333333333</v>
      </c>
      <c r="GC106" s="47" t="n">
        <v>58.3333333333333</v>
      </c>
      <c r="GD106" s="47" t="n">
        <v>58.3333333333333</v>
      </c>
      <c r="GE106" s="47" t="n">
        <v>58.3333333333333</v>
      </c>
      <c r="GF106" s="47" t="n">
        <v>58.3333333333333</v>
      </c>
      <c r="GG106" s="47" t="n">
        <v>58.3333333333333</v>
      </c>
      <c r="GH106" s="47" t="n">
        <v>58.3333333333333</v>
      </c>
      <c r="GI106" s="47" t="n">
        <v>58.3333333333333</v>
      </c>
      <c r="GJ106" s="47" t="n">
        <v>58.3333333333333</v>
      </c>
      <c r="GK106" s="47" t="n">
        <v>58.3333333333333</v>
      </c>
      <c r="GL106" s="47" t="n">
        <v>58.3333333333333</v>
      </c>
      <c r="GM106" s="47" t="n">
        <v>0</v>
      </c>
      <c r="GN106" s="47" t="n">
        <v>0</v>
      </c>
      <c r="GO106" s="47" t="n">
        <v>0</v>
      </c>
      <c r="GP106" s="47" t="n">
        <v>0</v>
      </c>
      <c r="GQ106" s="47" t="n">
        <v>0</v>
      </c>
      <c r="GR106" s="47" t="n">
        <v>0</v>
      </c>
      <c r="GS106" s="47" t="n">
        <v>0</v>
      </c>
      <c r="GT106" s="47" t="n">
        <v>0</v>
      </c>
      <c r="GU106" s="47" t="n">
        <v>0</v>
      </c>
      <c r="GV106" s="47" t="n">
        <v>0</v>
      </c>
      <c r="GW106" s="47" t="n">
        <v>0</v>
      </c>
      <c r="GX106" s="47" t="n">
        <v>0</v>
      </c>
      <c r="GY106" s="47" t="n">
        <v>0</v>
      </c>
      <c r="GZ106" s="47" t="n">
        <v>0</v>
      </c>
      <c r="HA106" s="47" t="n">
        <v>0</v>
      </c>
      <c r="HB106" s="47" t="n">
        <v>0</v>
      </c>
      <c r="HC106" s="47" t="n">
        <v>0</v>
      </c>
      <c r="HD106" s="47" t="n">
        <v>0</v>
      </c>
      <c r="HE106" s="47" t="n">
        <v>0</v>
      </c>
      <c r="HF106" s="47" t="n">
        <v>0</v>
      </c>
      <c r="HG106" s="47" t="n">
        <v>0</v>
      </c>
      <c r="HH106" s="47" t="n">
        <v>0</v>
      </c>
      <c r="HI106" s="48" t="n">
        <v>0</v>
      </c>
      <c r="HJ106" s="47" t="n">
        <v>0</v>
      </c>
      <c r="HK106" s="47" t="n">
        <v>0</v>
      </c>
      <c r="HL106" s="47" t="n">
        <v>0</v>
      </c>
      <c r="HM106" s="47" t="n">
        <v>0</v>
      </c>
      <c r="HN106" s="47" t="n">
        <v>0</v>
      </c>
      <c r="HO106" s="47" t="n">
        <v>0</v>
      </c>
      <c r="HP106" s="47" t="n">
        <v>0</v>
      </c>
      <c r="HQ106" s="47" t="n">
        <v>0</v>
      </c>
      <c r="HS106" s="47" t="n">
        <v>0</v>
      </c>
      <c r="HT106" s="47" t="n">
        <v>0</v>
      </c>
      <c r="HU106" s="47" t="n">
        <v>0</v>
      </c>
      <c r="HV106" s="47" t="n">
        <v>0</v>
      </c>
      <c r="HW106" s="47" t="n">
        <v>0</v>
      </c>
      <c r="HX106" s="47" t="n">
        <v>0</v>
      </c>
      <c r="HY106" s="47" t="n">
        <v>0</v>
      </c>
      <c r="HZ106" s="47" t="n">
        <v>0</v>
      </c>
      <c r="IA106" s="47" t="n">
        <v>0</v>
      </c>
      <c r="IB106" s="47" t="n">
        <v>0</v>
      </c>
      <c r="IC106" s="47" t="n">
        <v>0</v>
      </c>
      <c r="ID106" s="47" t="n">
        <v>0</v>
      </c>
      <c r="IE106" s="47" t="n">
        <v>0</v>
      </c>
      <c r="IF106" s="47" t="n">
        <v>0</v>
      </c>
      <c r="IG106" s="47" t="n">
        <v>0</v>
      </c>
      <c r="IH106" s="47" t="n">
        <v>0</v>
      </c>
      <c r="II106" s="47" t="n">
        <v>0</v>
      </c>
      <c r="IJ106" s="47" t="n">
        <v>0</v>
      </c>
      <c r="IK106" s="47" t="n">
        <v>0</v>
      </c>
      <c r="IL106" s="47" t="n">
        <v>0</v>
      </c>
      <c r="IM106" s="47" t="n">
        <v>0</v>
      </c>
      <c r="IN106" s="47" t="n">
        <v>0</v>
      </c>
      <c r="IO106" s="47" t="n">
        <v>0</v>
      </c>
      <c r="IP106" s="47" t="n">
        <v>0</v>
      </c>
      <c r="IQ106" s="47" t="n">
        <v>0</v>
      </c>
      <c r="IR106" s="47" t="n">
        <v>0</v>
      </c>
      <c r="IS106" s="47" t="n">
        <v>0</v>
      </c>
      <c r="IT106" s="47" t="n">
        <v>0</v>
      </c>
      <c r="IU106" s="47" t="n">
        <v>0</v>
      </c>
      <c r="IV106" s="47" t="n">
        <v>0</v>
      </c>
      <c r="IW106" s="47" t="n">
        <v>0</v>
      </c>
      <c r="IX106" s="47" t="n">
        <v>0</v>
      </c>
      <c r="IY106" s="47" t="n">
        <v>0</v>
      </c>
      <c r="IZ106" s="47" t="n">
        <v>0</v>
      </c>
      <c r="JA106" s="47" t="n">
        <v>0</v>
      </c>
      <c r="JB106" s="47" t="n">
        <v>0</v>
      </c>
      <c r="JC106" s="47" t="n">
        <v>0</v>
      </c>
      <c r="JD106" s="47" t="n">
        <v>0</v>
      </c>
      <c r="JE106" s="47" t="n">
        <v>0</v>
      </c>
      <c r="JF106" s="47" t="n">
        <v>0</v>
      </c>
      <c r="JG106" s="47" t="n">
        <v>0</v>
      </c>
      <c r="JH106" s="47" t="n">
        <v>0</v>
      </c>
      <c r="JI106" s="47" t="n">
        <v>0</v>
      </c>
      <c r="JJ106" s="47" t="n">
        <v>0</v>
      </c>
      <c r="JK106" s="47" t="n">
        <v>0</v>
      </c>
      <c r="JL106" s="47" t="n">
        <v>0</v>
      </c>
      <c r="JM106" s="47" t="n">
        <v>0</v>
      </c>
      <c r="JN106" s="47" t="n">
        <v>0</v>
      </c>
      <c r="JO106" s="47" t="n">
        <v>0</v>
      </c>
      <c r="JP106" s="47" t="n">
        <v>0</v>
      </c>
      <c r="JQ106" s="47" t="n">
        <v>0</v>
      </c>
      <c r="JR106" s="47" t="n">
        <v>0</v>
      </c>
      <c r="JS106" s="47" t="n">
        <v>0</v>
      </c>
      <c r="JT106" s="47" t="n">
        <v>0</v>
      </c>
      <c r="JU106" s="47" t="n">
        <v>0</v>
      </c>
      <c r="JV106" s="47" t="n">
        <v>0</v>
      </c>
      <c r="JW106" s="47" t="n">
        <v>0</v>
      </c>
      <c r="JX106" s="47" t="n">
        <v>0</v>
      </c>
      <c r="JY106" s="47" t="n">
        <v>0</v>
      </c>
      <c r="JZ106" s="47" t="n">
        <v>0</v>
      </c>
      <c r="KA106" s="47" t="n">
        <v>0</v>
      </c>
      <c r="KB106" s="47" t="n">
        <v>0</v>
      </c>
      <c r="KC106" s="47" t="n">
        <v>0</v>
      </c>
      <c r="KD106" s="48" t="n">
        <v>0</v>
      </c>
      <c r="KE106" s="47" t="n">
        <v>0</v>
      </c>
      <c r="KF106" s="47" t="n">
        <v>0</v>
      </c>
      <c r="KG106" s="47" t="n">
        <v>0</v>
      </c>
      <c r="KH106" s="47" t="n">
        <v>0</v>
      </c>
      <c r="KI106" s="47" t="n">
        <v>0</v>
      </c>
      <c r="KJ106" s="47" t="n">
        <v>0</v>
      </c>
      <c r="KK106" s="47" t="n">
        <v>0</v>
      </c>
      <c r="KL106" s="47" t="n">
        <v>0</v>
      </c>
    </row>
    <row r="107" customFormat="false" ht="15.75" hidden="false" customHeight="true" outlineLevel="0" collapsed="false">
      <c r="A107" s="35" t="s">
        <v>384</v>
      </c>
      <c r="B107" s="35" t="s">
        <v>385</v>
      </c>
      <c r="C107" s="35" t="s">
        <v>164</v>
      </c>
      <c r="D107" s="35" t="s">
        <v>241</v>
      </c>
      <c r="E107" s="35" t="s">
        <v>174</v>
      </c>
      <c r="G107" s="44" t="n">
        <v>0</v>
      </c>
      <c r="H107" s="44" t="n">
        <v>0</v>
      </c>
      <c r="I107" s="44" t="n">
        <v>0</v>
      </c>
      <c r="J107" s="44" t="n">
        <v>0</v>
      </c>
      <c r="K107" s="44" t="n">
        <v>0</v>
      </c>
      <c r="L107" s="44" t="n">
        <v>0</v>
      </c>
      <c r="M107" s="44" t="n">
        <v>0</v>
      </c>
      <c r="N107" s="44" t="n">
        <v>0</v>
      </c>
      <c r="O107" s="44" t="n">
        <v>0</v>
      </c>
      <c r="P107" s="44" t="n">
        <v>0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0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825</v>
      </c>
      <c r="AG107" s="44" t="n">
        <v>1100</v>
      </c>
      <c r="AH107" s="44" t="n">
        <v>1100</v>
      </c>
      <c r="AI107" s="44" t="n">
        <v>1100</v>
      </c>
      <c r="AJ107" s="44" t="n">
        <v>1100</v>
      </c>
      <c r="AK107" s="44" t="n">
        <v>1100</v>
      </c>
      <c r="AL107" s="44" t="n">
        <v>1100</v>
      </c>
      <c r="AM107" s="44" t="n">
        <v>1100</v>
      </c>
      <c r="AN107" s="44" t="n">
        <v>1100</v>
      </c>
      <c r="AO107" s="44" t="n">
        <v>1100</v>
      </c>
      <c r="AP107" s="44" t="n">
        <v>1100</v>
      </c>
      <c r="AQ107" s="44" t="n">
        <v>1100</v>
      </c>
      <c r="AR107" s="44" t="n">
        <v>1237.5</v>
      </c>
      <c r="AS107" s="44" t="n">
        <v>1237.5</v>
      </c>
      <c r="AT107" s="44" t="n">
        <v>1237.5</v>
      </c>
      <c r="AU107" s="44" t="n">
        <v>1237.5</v>
      </c>
      <c r="AV107" s="44" t="n">
        <v>1237.5</v>
      </c>
      <c r="AW107" s="44" t="n">
        <v>1237.5</v>
      </c>
      <c r="AX107" s="44" t="n">
        <v>1237.5</v>
      </c>
      <c r="AY107" s="44" t="n">
        <v>1237.5</v>
      </c>
      <c r="AZ107" s="44" t="n">
        <v>1237.5</v>
      </c>
      <c r="BA107" s="44" t="n">
        <v>1237.5</v>
      </c>
      <c r="BB107" s="44" t="n">
        <v>1237.5</v>
      </c>
      <c r="BC107" s="44" t="n">
        <v>1237.5</v>
      </c>
      <c r="BD107" s="44" t="n">
        <v>0</v>
      </c>
      <c r="BE107" s="44" t="n">
        <v>0</v>
      </c>
      <c r="BF107" s="44" t="n">
        <v>0</v>
      </c>
      <c r="BG107" s="44" t="n">
        <v>0</v>
      </c>
      <c r="BH107" s="44" t="n">
        <v>0</v>
      </c>
      <c r="BI107" s="44" t="n">
        <v>0</v>
      </c>
      <c r="BJ107" s="44" t="n">
        <v>0</v>
      </c>
      <c r="BK107" s="44" t="n">
        <v>0</v>
      </c>
      <c r="BL107" s="44" t="n">
        <v>0</v>
      </c>
      <c r="BM107" s="44" t="n">
        <v>0</v>
      </c>
      <c r="BN107" s="44" t="n">
        <v>0</v>
      </c>
      <c r="BO107" s="44" t="n">
        <v>0</v>
      </c>
      <c r="BP107" s="44" t="n">
        <v>0</v>
      </c>
      <c r="BQ107" s="44" t="n">
        <v>0</v>
      </c>
      <c r="BR107" s="45" t="n">
        <v>0</v>
      </c>
      <c r="BS107" s="46" t="n">
        <v>0</v>
      </c>
      <c r="BT107" s="46" t="n">
        <v>0</v>
      </c>
      <c r="BU107" s="46" t="n">
        <v>0</v>
      </c>
      <c r="BV107" s="46" t="n">
        <v>0</v>
      </c>
      <c r="BW107" s="46" t="n">
        <v>0</v>
      </c>
      <c r="BX107" s="46" t="n">
        <v>0</v>
      </c>
      <c r="BY107" s="46" t="n">
        <v>0</v>
      </c>
      <c r="BZ107" s="46" t="n">
        <v>0</v>
      </c>
      <c r="EX107" s="47" t="n">
        <v>0</v>
      </c>
      <c r="EY107" s="47" t="n">
        <v>0</v>
      </c>
      <c r="EZ107" s="47" t="n">
        <v>0</v>
      </c>
      <c r="FA107" s="47" t="n">
        <v>0</v>
      </c>
      <c r="FB107" s="47" t="n">
        <v>0</v>
      </c>
      <c r="FC107" s="47" t="n">
        <v>0</v>
      </c>
      <c r="FD107" s="47" t="n">
        <v>0</v>
      </c>
      <c r="FE107" s="47" t="n">
        <v>0</v>
      </c>
      <c r="FF107" s="47" t="n">
        <v>0</v>
      </c>
      <c r="FG107" s="47" t="n">
        <v>0</v>
      </c>
      <c r="FH107" s="47" t="n">
        <v>0</v>
      </c>
      <c r="FI107" s="47" t="n">
        <v>0</v>
      </c>
      <c r="FJ107" s="47" t="n">
        <v>0</v>
      </c>
      <c r="FK107" s="47" t="n">
        <v>0</v>
      </c>
      <c r="FL107" s="47" t="n">
        <v>0</v>
      </c>
      <c r="FM107" s="47" t="n">
        <v>0</v>
      </c>
      <c r="FN107" s="47" t="n">
        <v>0</v>
      </c>
      <c r="FO107" s="47" t="n">
        <v>0</v>
      </c>
      <c r="FP107" s="47" t="n">
        <v>0</v>
      </c>
      <c r="FQ107" s="47" t="n">
        <v>0</v>
      </c>
      <c r="FR107" s="47" t="n">
        <v>0</v>
      </c>
      <c r="FS107" s="47" t="n">
        <v>0</v>
      </c>
      <c r="FT107" s="47" t="n">
        <v>0</v>
      </c>
      <c r="FU107" s="47" t="n">
        <v>0</v>
      </c>
      <c r="FV107" s="47" t="n">
        <v>0</v>
      </c>
      <c r="FW107" s="47" t="n">
        <v>825</v>
      </c>
      <c r="FX107" s="47" t="n">
        <v>1100</v>
      </c>
      <c r="FY107" s="47" t="n">
        <v>1100</v>
      </c>
      <c r="FZ107" s="47" t="n">
        <v>1100</v>
      </c>
      <c r="GA107" s="47" t="n">
        <v>1100</v>
      </c>
      <c r="GB107" s="47" t="n">
        <v>1100</v>
      </c>
      <c r="GC107" s="47" t="n">
        <v>1100</v>
      </c>
      <c r="GD107" s="47" t="n">
        <v>1100</v>
      </c>
      <c r="GE107" s="47" t="n">
        <v>1100</v>
      </c>
      <c r="GF107" s="47" t="n">
        <v>1100</v>
      </c>
      <c r="GG107" s="47" t="n">
        <v>1100</v>
      </c>
      <c r="GH107" s="47" t="n">
        <v>1100</v>
      </c>
      <c r="GI107" s="47" t="n">
        <v>1237.5</v>
      </c>
      <c r="GJ107" s="47" t="n">
        <v>1237.5</v>
      </c>
      <c r="GK107" s="47" t="n">
        <v>1237.5</v>
      </c>
      <c r="GL107" s="47" t="n">
        <v>1237.5</v>
      </c>
      <c r="GM107" s="47" t="n">
        <v>1237.5</v>
      </c>
      <c r="GN107" s="47" t="n">
        <v>1237.5</v>
      </c>
      <c r="GO107" s="47" t="n">
        <v>1237.5</v>
      </c>
      <c r="GP107" s="47" t="n">
        <v>1237.5</v>
      </c>
      <c r="GQ107" s="47" t="n">
        <v>1237.5</v>
      </c>
      <c r="GR107" s="47" t="n">
        <v>1237.5</v>
      </c>
      <c r="GS107" s="47" t="n">
        <v>1237.5</v>
      </c>
      <c r="GT107" s="47" t="n">
        <v>1237.5</v>
      </c>
      <c r="GU107" s="47" t="n">
        <v>0</v>
      </c>
      <c r="GV107" s="47" t="n">
        <v>0</v>
      </c>
      <c r="GW107" s="47" t="n">
        <v>0</v>
      </c>
      <c r="GX107" s="47" t="n">
        <v>0</v>
      </c>
      <c r="GY107" s="47" t="n">
        <v>0</v>
      </c>
      <c r="GZ107" s="47" t="n">
        <v>0</v>
      </c>
      <c r="HA107" s="47" t="n">
        <v>0</v>
      </c>
      <c r="HB107" s="47" t="n">
        <v>0</v>
      </c>
      <c r="HC107" s="47" t="n">
        <v>0</v>
      </c>
      <c r="HD107" s="47" t="n">
        <v>0</v>
      </c>
      <c r="HE107" s="47" t="n">
        <v>0</v>
      </c>
      <c r="HF107" s="47" t="n">
        <v>0</v>
      </c>
      <c r="HG107" s="47" t="n">
        <v>0</v>
      </c>
      <c r="HH107" s="47" t="n">
        <v>0</v>
      </c>
      <c r="HI107" s="48" t="n">
        <v>0</v>
      </c>
      <c r="HJ107" s="47" t="n">
        <v>0</v>
      </c>
      <c r="HK107" s="47" t="n">
        <v>0</v>
      </c>
      <c r="HL107" s="47" t="n">
        <v>0</v>
      </c>
      <c r="HM107" s="47" t="n">
        <v>0</v>
      </c>
      <c r="HN107" s="47" t="n">
        <v>0</v>
      </c>
      <c r="HO107" s="47" t="n">
        <v>0</v>
      </c>
      <c r="HP107" s="47" t="n">
        <v>0</v>
      </c>
      <c r="HQ107" s="47" t="n">
        <v>0</v>
      </c>
      <c r="HS107" s="47" t="n">
        <v>0</v>
      </c>
      <c r="HT107" s="47" t="n">
        <v>0</v>
      </c>
      <c r="HU107" s="47" t="n">
        <v>0</v>
      </c>
      <c r="HV107" s="47" t="n">
        <v>0</v>
      </c>
      <c r="HW107" s="47" t="n">
        <v>0</v>
      </c>
      <c r="HX107" s="47" t="n">
        <v>0</v>
      </c>
      <c r="HY107" s="47" t="n">
        <v>0</v>
      </c>
      <c r="HZ107" s="47" t="n">
        <v>0</v>
      </c>
      <c r="IA107" s="47" t="n">
        <v>0</v>
      </c>
      <c r="IB107" s="47" t="n">
        <v>0</v>
      </c>
      <c r="IC107" s="47" t="n">
        <v>0</v>
      </c>
      <c r="ID107" s="47" t="n">
        <v>0</v>
      </c>
      <c r="IE107" s="47" t="n">
        <v>0</v>
      </c>
      <c r="IF107" s="47" t="n">
        <v>0</v>
      </c>
      <c r="IG107" s="47" t="n">
        <v>0</v>
      </c>
      <c r="IH107" s="47" t="n">
        <v>0</v>
      </c>
      <c r="II107" s="47" t="n">
        <v>0</v>
      </c>
      <c r="IJ107" s="47" t="n">
        <v>0</v>
      </c>
      <c r="IK107" s="47" t="n">
        <v>0</v>
      </c>
      <c r="IL107" s="47" t="n">
        <v>0</v>
      </c>
      <c r="IM107" s="47" t="n">
        <v>0</v>
      </c>
      <c r="IN107" s="47" t="n">
        <v>0</v>
      </c>
      <c r="IO107" s="47" t="n">
        <v>0</v>
      </c>
      <c r="IP107" s="47" t="n">
        <v>0</v>
      </c>
      <c r="IQ107" s="47" t="n">
        <v>0</v>
      </c>
      <c r="IR107" s="47" t="n">
        <v>825</v>
      </c>
      <c r="IS107" s="47" t="n">
        <v>1100</v>
      </c>
      <c r="IT107" s="47" t="n">
        <v>1100</v>
      </c>
      <c r="IU107" s="47" t="n">
        <v>1100</v>
      </c>
      <c r="IV107" s="47" t="n">
        <v>1100</v>
      </c>
      <c r="IW107" s="47" t="n">
        <v>1100</v>
      </c>
      <c r="IX107" s="47" t="n">
        <v>1100</v>
      </c>
      <c r="IY107" s="47" t="n">
        <v>1100</v>
      </c>
      <c r="IZ107" s="47" t="n">
        <v>1100</v>
      </c>
      <c r="JA107" s="47" t="n">
        <v>1100</v>
      </c>
      <c r="JB107" s="47" t="n">
        <v>1100</v>
      </c>
      <c r="JC107" s="47" t="n">
        <v>1100</v>
      </c>
      <c r="JD107" s="47" t="n">
        <v>1237.5</v>
      </c>
      <c r="JE107" s="47" t="n">
        <v>1237.5</v>
      </c>
      <c r="JF107" s="47" t="n">
        <v>1237.5</v>
      </c>
      <c r="JG107" s="47" t="n">
        <v>1237.5</v>
      </c>
      <c r="JH107" s="47" t="n">
        <v>1237.5</v>
      </c>
      <c r="JI107" s="47" t="n">
        <v>1237.5</v>
      </c>
      <c r="JJ107" s="47" t="n">
        <v>1237.5</v>
      </c>
      <c r="JK107" s="47" t="n">
        <v>1237.5</v>
      </c>
      <c r="JL107" s="47" t="n">
        <v>1237.5</v>
      </c>
      <c r="JM107" s="47" t="n">
        <v>1237.5</v>
      </c>
      <c r="JN107" s="47" t="n">
        <v>1237.5</v>
      </c>
      <c r="JO107" s="47" t="n">
        <v>1237.5</v>
      </c>
      <c r="JP107" s="47" t="n">
        <v>0</v>
      </c>
      <c r="JQ107" s="47" t="n">
        <v>0</v>
      </c>
      <c r="JR107" s="47" t="n">
        <v>0</v>
      </c>
      <c r="JS107" s="47" t="n">
        <v>0</v>
      </c>
      <c r="JT107" s="47" t="n">
        <v>0</v>
      </c>
      <c r="JU107" s="47" t="n">
        <v>0</v>
      </c>
      <c r="JV107" s="47" t="n">
        <v>0</v>
      </c>
      <c r="JW107" s="47" t="n">
        <v>0</v>
      </c>
      <c r="JX107" s="47" t="n">
        <v>0</v>
      </c>
      <c r="JY107" s="47" t="n">
        <v>0</v>
      </c>
      <c r="JZ107" s="47" t="n">
        <v>0</v>
      </c>
      <c r="KA107" s="47" t="n">
        <v>0</v>
      </c>
      <c r="KB107" s="47" t="n">
        <v>0</v>
      </c>
      <c r="KC107" s="47" t="n">
        <v>0</v>
      </c>
      <c r="KD107" s="48" t="n">
        <v>0</v>
      </c>
      <c r="KE107" s="47" t="n">
        <v>0</v>
      </c>
      <c r="KF107" s="47" t="n">
        <v>0</v>
      </c>
      <c r="KG107" s="47" t="n">
        <v>0</v>
      </c>
      <c r="KH107" s="47" t="n">
        <v>0</v>
      </c>
      <c r="KI107" s="47" t="n">
        <v>0</v>
      </c>
      <c r="KJ107" s="47" t="n">
        <v>0</v>
      </c>
      <c r="KK107" s="47" t="n">
        <v>0</v>
      </c>
      <c r="KL107" s="47" t="n">
        <v>0</v>
      </c>
    </row>
    <row r="108" customFormat="false" ht="15.75" hidden="false" customHeight="true" outlineLevel="0" collapsed="false">
      <c r="A108" s="35" t="s">
        <v>386</v>
      </c>
      <c r="B108" s="35" t="s">
        <v>387</v>
      </c>
      <c r="C108" s="35" t="s">
        <v>164</v>
      </c>
      <c r="D108" s="35" t="s">
        <v>201</v>
      </c>
      <c r="E108" s="35" t="s">
        <v>188</v>
      </c>
      <c r="G108" s="44" t="n">
        <v>0</v>
      </c>
      <c r="H108" s="44" t="n">
        <v>0</v>
      </c>
      <c r="I108" s="44" t="n">
        <v>0</v>
      </c>
      <c r="J108" s="44" t="n">
        <v>0</v>
      </c>
      <c r="K108" s="44" t="n">
        <v>0</v>
      </c>
      <c r="L108" s="44" t="n">
        <v>0</v>
      </c>
      <c r="M108" s="44" t="n">
        <v>0</v>
      </c>
      <c r="N108" s="44" t="n">
        <v>0</v>
      </c>
      <c r="O108" s="44" t="n">
        <v>0</v>
      </c>
      <c r="P108" s="44" t="n">
        <v>0</v>
      </c>
      <c r="Q108" s="44" t="n">
        <v>66.67</v>
      </c>
      <c r="R108" s="44" t="n">
        <v>66.67</v>
      </c>
      <c r="S108" s="44" t="n">
        <v>66.67</v>
      </c>
      <c r="T108" s="44" t="n">
        <v>66.67</v>
      </c>
      <c r="U108" s="44" t="n">
        <v>66.67</v>
      </c>
      <c r="V108" s="44" t="n">
        <v>66.67</v>
      </c>
      <c r="W108" s="44" t="n">
        <v>66.67</v>
      </c>
      <c r="X108" s="44" t="n">
        <v>0</v>
      </c>
      <c r="Y108" s="44" t="n">
        <v>0</v>
      </c>
      <c r="Z108" s="44" t="n">
        <v>0</v>
      </c>
      <c r="AA108" s="44" t="n">
        <v>0</v>
      </c>
      <c r="AB108" s="44" t="n">
        <v>0</v>
      </c>
      <c r="AC108" s="44" t="n">
        <v>0</v>
      </c>
      <c r="AD108" s="44" t="n">
        <v>0</v>
      </c>
      <c r="AE108" s="44" t="n">
        <v>0</v>
      </c>
      <c r="AF108" s="44" t="n">
        <v>0</v>
      </c>
      <c r="AG108" s="44" t="n">
        <v>0</v>
      </c>
      <c r="AH108" s="44" t="n">
        <v>0</v>
      </c>
      <c r="AI108" s="44" t="n">
        <v>0</v>
      </c>
      <c r="AJ108" s="44" t="n">
        <v>0</v>
      </c>
      <c r="AK108" s="44" t="n">
        <v>0</v>
      </c>
      <c r="AL108" s="44" t="n">
        <v>0</v>
      </c>
      <c r="AM108" s="44" t="n">
        <v>0</v>
      </c>
      <c r="AN108" s="44" t="n">
        <v>0</v>
      </c>
      <c r="AO108" s="44" t="n">
        <v>0</v>
      </c>
      <c r="AP108" s="44" t="n">
        <v>0</v>
      </c>
      <c r="AQ108" s="44" t="n">
        <v>0</v>
      </c>
      <c r="AR108" s="44" t="n">
        <v>0</v>
      </c>
      <c r="AS108" s="44" t="n">
        <v>0</v>
      </c>
      <c r="AT108" s="44" t="n">
        <v>0</v>
      </c>
      <c r="AU108" s="44" t="n">
        <v>0</v>
      </c>
      <c r="AV108" s="44" t="n">
        <v>0</v>
      </c>
      <c r="AW108" s="44" t="n">
        <v>0</v>
      </c>
      <c r="AX108" s="44" t="n">
        <v>0</v>
      </c>
      <c r="AY108" s="44" t="n">
        <v>0</v>
      </c>
      <c r="AZ108" s="44" t="n">
        <v>0</v>
      </c>
      <c r="BA108" s="44" t="n">
        <v>0</v>
      </c>
      <c r="BB108" s="44" t="n">
        <v>0</v>
      </c>
      <c r="BC108" s="44" t="n">
        <v>0</v>
      </c>
      <c r="BD108" s="44" t="n">
        <v>0</v>
      </c>
      <c r="BE108" s="44" t="n">
        <v>0</v>
      </c>
      <c r="BF108" s="44" t="n">
        <v>0</v>
      </c>
      <c r="BG108" s="44" t="n">
        <v>0</v>
      </c>
      <c r="BH108" s="44" t="n">
        <v>0</v>
      </c>
      <c r="BI108" s="44" t="n">
        <v>0</v>
      </c>
      <c r="BJ108" s="44" t="n">
        <v>0</v>
      </c>
      <c r="BK108" s="44" t="n">
        <v>0</v>
      </c>
      <c r="BL108" s="44" t="n">
        <v>0</v>
      </c>
      <c r="BM108" s="44" t="n">
        <v>0</v>
      </c>
      <c r="BN108" s="44" t="n">
        <v>0</v>
      </c>
      <c r="BO108" s="44" t="n">
        <v>0</v>
      </c>
      <c r="BP108" s="44" t="n">
        <v>0</v>
      </c>
      <c r="BQ108" s="44" t="n">
        <v>0</v>
      </c>
      <c r="BR108" s="45" t="n">
        <v>0</v>
      </c>
      <c r="BS108" s="46" t="n">
        <v>0</v>
      </c>
      <c r="BT108" s="46" t="n">
        <v>0</v>
      </c>
      <c r="BU108" s="46" t="n">
        <v>0</v>
      </c>
      <c r="BV108" s="46" t="n">
        <v>0</v>
      </c>
      <c r="BW108" s="46" t="n">
        <v>0</v>
      </c>
      <c r="BX108" s="46" t="n">
        <v>0</v>
      </c>
      <c r="BY108" s="46" t="n">
        <v>0</v>
      </c>
      <c r="BZ108" s="46" t="n">
        <v>0</v>
      </c>
      <c r="EX108" s="47" t="n">
        <v>0</v>
      </c>
      <c r="EY108" s="47" t="n">
        <v>0</v>
      </c>
      <c r="EZ108" s="47" t="n">
        <v>0</v>
      </c>
      <c r="FA108" s="47" t="n">
        <v>0</v>
      </c>
      <c r="FB108" s="47" t="n">
        <v>0</v>
      </c>
      <c r="FC108" s="47" t="n">
        <v>0</v>
      </c>
      <c r="FD108" s="47" t="n">
        <v>0</v>
      </c>
      <c r="FE108" s="47" t="n">
        <v>0</v>
      </c>
      <c r="FF108" s="47" t="n">
        <v>0</v>
      </c>
      <c r="FG108" s="47" t="n">
        <v>0</v>
      </c>
      <c r="FH108" s="47" t="n">
        <v>66.67</v>
      </c>
      <c r="FI108" s="47" t="n">
        <v>66.67</v>
      </c>
      <c r="FJ108" s="47" t="n">
        <v>66.67</v>
      </c>
      <c r="FK108" s="47" t="n">
        <v>66.67</v>
      </c>
      <c r="FL108" s="47" t="n">
        <v>66.67</v>
      </c>
      <c r="FM108" s="47" t="n">
        <v>66.67</v>
      </c>
      <c r="FN108" s="47" t="n">
        <v>66.67</v>
      </c>
      <c r="FO108" s="47" t="n">
        <v>0</v>
      </c>
      <c r="FP108" s="47" t="n">
        <v>0</v>
      </c>
      <c r="FQ108" s="47" t="n">
        <v>0</v>
      </c>
      <c r="FR108" s="47" t="n">
        <v>0</v>
      </c>
      <c r="FS108" s="47" t="n">
        <v>0</v>
      </c>
      <c r="FT108" s="47" t="n">
        <v>0</v>
      </c>
      <c r="FU108" s="47" t="n">
        <v>0</v>
      </c>
      <c r="FV108" s="47" t="n">
        <v>0</v>
      </c>
      <c r="FW108" s="47" t="n">
        <v>0</v>
      </c>
      <c r="FX108" s="47" t="n">
        <v>0</v>
      </c>
      <c r="FY108" s="47" t="n">
        <v>0</v>
      </c>
      <c r="FZ108" s="47" t="n">
        <v>0</v>
      </c>
      <c r="GA108" s="47" t="n">
        <v>0</v>
      </c>
      <c r="GB108" s="47" t="n">
        <v>0</v>
      </c>
      <c r="GC108" s="47" t="n">
        <v>0</v>
      </c>
      <c r="GD108" s="47" t="n">
        <v>0</v>
      </c>
      <c r="GE108" s="47" t="n">
        <v>0</v>
      </c>
      <c r="GF108" s="47" t="n">
        <v>0</v>
      </c>
      <c r="GG108" s="47" t="n">
        <v>0</v>
      </c>
      <c r="GH108" s="47" t="n">
        <v>0</v>
      </c>
      <c r="GI108" s="47" t="n">
        <v>0</v>
      </c>
      <c r="GJ108" s="47" t="n">
        <v>0</v>
      </c>
      <c r="GK108" s="47" t="n">
        <v>0</v>
      </c>
      <c r="GL108" s="47" t="n">
        <v>0</v>
      </c>
      <c r="GM108" s="47" t="n">
        <v>0</v>
      </c>
      <c r="GN108" s="47" t="n">
        <v>0</v>
      </c>
      <c r="GO108" s="47" t="n">
        <v>0</v>
      </c>
      <c r="GP108" s="47" t="n">
        <v>0</v>
      </c>
      <c r="GQ108" s="47" t="n">
        <v>0</v>
      </c>
      <c r="GR108" s="47" t="n">
        <v>0</v>
      </c>
      <c r="GS108" s="47" t="n">
        <v>0</v>
      </c>
      <c r="GT108" s="47" t="n">
        <v>0</v>
      </c>
      <c r="GU108" s="47" t="n">
        <v>0</v>
      </c>
      <c r="GV108" s="47" t="n">
        <v>0</v>
      </c>
      <c r="GW108" s="47" t="n">
        <v>0</v>
      </c>
      <c r="GX108" s="47" t="n">
        <v>0</v>
      </c>
      <c r="GY108" s="47" t="n">
        <v>0</v>
      </c>
      <c r="GZ108" s="47" t="n">
        <v>0</v>
      </c>
      <c r="HA108" s="47" t="n">
        <v>0</v>
      </c>
      <c r="HB108" s="47" t="n">
        <v>0</v>
      </c>
      <c r="HC108" s="47" t="n">
        <v>0</v>
      </c>
      <c r="HD108" s="47" t="n">
        <v>0</v>
      </c>
      <c r="HE108" s="47" t="n">
        <v>0</v>
      </c>
      <c r="HF108" s="47" t="n">
        <v>0</v>
      </c>
      <c r="HG108" s="47" t="n">
        <v>0</v>
      </c>
      <c r="HH108" s="47" t="n">
        <v>0</v>
      </c>
      <c r="HI108" s="48" t="n">
        <v>0</v>
      </c>
      <c r="HJ108" s="47" t="n">
        <v>0</v>
      </c>
      <c r="HK108" s="47" t="n">
        <v>0</v>
      </c>
      <c r="HL108" s="47" t="n">
        <v>0</v>
      </c>
      <c r="HM108" s="47" t="n">
        <v>0</v>
      </c>
      <c r="HN108" s="47" t="n">
        <v>0</v>
      </c>
      <c r="HO108" s="47" t="n">
        <v>0</v>
      </c>
      <c r="HP108" s="47" t="n">
        <v>0</v>
      </c>
      <c r="HQ108" s="47" t="n">
        <v>0</v>
      </c>
      <c r="HS108" s="47" t="n">
        <v>0</v>
      </c>
      <c r="HT108" s="47" t="n">
        <v>0</v>
      </c>
      <c r="HU108" s="47" t="n">
        <v>0</v>
      </c>
      <c r="HV108" s="47" t="n">
        <v>0</v>
      </c>
      <c r="HW108" s="47" t="n">
        <v>0</v>
      </c>
      <c r="HX108" s="47" t="n">
        <v>0</v>
      </c>
      <c r="HY108" s="47" t="n">
        <v>0</v>
      </c>
      <c r="HZ108" s="47" t="n">
        <v>0</v>
      </c>
      <c r="IA108" s="47" t="n">
        <v>0</v>
      </c>
      <c r="IB108" s="47" t="n">
        <v>0</v>
      </c>
      <c r="IC108" s="47" t="n">
        <v>66.67</v>
      </c>
      <c r="ID108" s="47" t="n">
        <v>66.67</v>
      </c>
      <c r="IE108" s="47" t="n">
        <v>66.67</v>
      </c>
      <c r="IF108" s="47" t="n">
        <v>66.67</v>
      </c>
      <c r="IG108" s="47" t="n">
        <v>66.67</v>
      </c>
      <c r="IH108" s="47" t="n">
        <v>66.67</v>
      </c>
      <c r="II108" s="47" t="n">
        <v>66.67</v>
      </c>
      <c r="IJ108" s="47" t="n">
        <v>0</v>
      </c>
      <c r="IK108" s="47" t="n">
        <v>0</v>
      </c>
      <c r="IL108" s="47" t="n">
        <v>0</v>
      </c>
      <c r="IM108" s="47" t="n">
        <v>0</v>
      </c>
      <c r="IN108" s="47" t="n">
        <v>0</v>
      </c>
      <c r="IO108" s="47" t="n">
        <v>0</v>
      </c>
      <c r="IP108" s="47" t="n">
        <v>0</v>
      </c>
      <c r="IQ108" s="47" t="n">
        <v>0</v>
      </c>
      <c r="IR108" s="47" t="n">
        <v>0</v>
      </c>
      <c r="IS108" s="47" t="n">
        <v>0</v>
      </c>
      <c r="IT108" s="47" t="n">
        <v>0</v>
      </c>
      <c r="IU108" s="47" t="n">
        <v>0</v>
      </c>
      <c r="IV108" s="47" t="n">
        <v>0</v>
      </c>
      <c r="IW108" s="47" t="n">
        <v>0</v>
      </c>
      <c r="IX108" s="47" t="n">
        <v>0</v>
      </c>
      <c r="IY108" s="47" t="n">
        <v>0</v>
      </c>
      <c r="IZ108" s="47" t="n">
        <v>0</v>
      </c>
      <c r="JA108" s="47" t="n">
        <v>0</v>
      </c>
      <c r="JB108" s="47" t="n">
        <v>0</v>
      </c>
      <c r="JC108" s="47" t="n">
        <v>0</v>
      </c>
      <c r="JD108" s="47" t="n">
        <v>0</v>
      </c>
      <c r="JE108" s="47" t="n">
        <v>0</v>
      </c>
      <c r="JF108" s="47" t="n">
        <v>0</v>
      </c>
      <c r="JG108" s="47" t="n">
        <v>0</v>
      </c>
      <c r="JH108" s="47" t="n">
        <v>0</v>
      </c>
      <c r="JI108" s="47" t="n">
        <v>0</v>
      </c>
      <c r="JJ108" s="47" t="n">
        <v>0</v>
      </c>
      <c r="JK108" s="47" t="n">
        <v>0</v>
      </c>
      <c r="JL108" s="47" t="n">
        <v>0</v>
      </c>
      <c r="JM108" s="47" t="n">
        <v>0</v>
      </c>
      <c r="JN108" s="47" t="n">
        <v>0</v>
      </c>
      <c r="JO108" s="47" t="n">
        <v>0</v>
      </c>
      <c r="JP108" s="47" t="n">
        <v>0</v>
      </c>
      <c r="JQ108" s="47" t="n">
        <v>0</v>
      </c>
      <c r="JR108" s="47" t="n">
        <v>0</v>
      </c>
      <c r="JS108" s="47" t="n">
        <v>0</v>
      </c>
      <c r="JT108" s="47" t="n">
        <v>0</v>
      </c>
      <c r="JU108" s="47" t="n">
        <v>0</v>
      </c>
      <c r="JV108" s="47" t="n">
        <v>0</v>
      </c>
      <c r="JW108" s="47" t="n">
        <v>0</v>
      </c>
      <c r="JX108" s="47" t="n">
        <v>0</v>
      </c>
      <c r="JY108" s="47" t="n">
        <v>0</v>
      </c>
      <c r="JZ108" s="47" t="n">
        <v>0</v>
      </c>
      <c r="KA108" s="47" t="n">
        <v>0</v>
      </c>
      <c r="KB108" s="47" t="n">
        <v>0</v>
      </c>
      <c r="KC108" s="47" t="n">
        <v>0</v>
      </c>
      <c r="KD108" s="48" t="n">
        <v>0</v>
      </c>
      <c r="KE108" s="47" t="n">
        <v>0</v>
      </c>
      <c r="KF108" s="47" t="n">
        <v>0</v>
      </c>
      <c r="KG108" s="47" t="n">
        <v>0</v>
      </c>
      <c r="KH108" s="47" t="n">
        <v>0</v>
      </c>
      <c r="KI108" s="47" t="n">
        <v>0</v>
      </c>
      <c r="KJ108" s="47" t="n">
        <v>0</v>
      </c>
      <c r="KK108" s="47" t="n">
        <v>0</v>
      </c>
      <c r="KL108" s="47" t="n">
        <v>0</v>
      </c>
    </row>
    <row r="109" customFormat="false" ht="15.75" hidden="false" customHeight="true" outlineLevel="0" collapsed="false">
      <c r="A109" s="35" t="s">
        <v>388</v>
      </c>
      <c r="B109" s="35" t="s">
        <v>388</v>
      </c>
      <c r="BS109" s="46" t="n">
        <v>0</v>
      </c>
      <c r="BT109" s="46" t="n">
        <v>42666.6666666667</v>
      </c>
      <c r="BU109" s="46" t="n">
        <v>42666.6666666667</v>
      </c>
      <c r="BV109" s="46" t="n">
        <v>44916.6666666667</v>
      </c>
      <c r="BW109" s="46" t="n">
        <v>44916.6666666667</v>
      </c>
      <c r="BX109" s="46" t="n">
        <v>47166.6666666667</v>
      </c>
      <c r="BY109" s="46" t="n">
        <v>89833.3333333333</v>
      </c>
      <c r="BZ109" s="46" t="n">
        <v>92083.3333333333</v>
      </c>
      <c r="EX109" s="47" t="n">
        <v>0</v>
      </c>
      <c r="EY109" s="47" t="n">
        <v>0</v>
      </c>
      <c r="EZ109" s="47" t="n">
        <v>0</v>
      </c>
      <c r="FA109" s="47" t="n">
        <v>0</v>
      </c>
      <c r="FB109" s="47" t="n">
        <v>0</v>
      </c>
      <c r="FC109" s="47" t="n">
        <v>0</v>
      </c>
      <c r="FD109" s="47" t="n">
        <v>0</v>
      </c>
      <c r="FE109" s="47" t="n">
        <v>0</v>
      </c>
      <c r="FF109" s="47" t="n">
        <v>0</v>
      </c>
      <c r="FG109" s="47" t="n">
        <v>0</v>
      </c>
      <c r="FH109" s="47" t="n">
        <v>0</v>
      </c>
      <c r="FI109" s="47" t="n">
        <v>0</v>
      </c>
      <c r="FJ109" s="47" t="n">
        <v>0</v>
      </c>
      <c r="FK109" s="47" t="n">
        <v>0</v>
      </c>
      <c r="FL109" s="47" t="n">
        <v>0</v>
      </c>
      <c r="FM109" s="47" t="n">
        <v>0</v>
      </c>
      <c r="FN109" s="47" t="n">
        <v>0</v>
      </c>
      <c r="FO109" s="47" t="n">
        <v>0</v>
      </c>
      <c r="FP109" s="47" t="n">
        <v>0</v>
      </c>
      <c r="FQ109" s="47" t="n">
        <v>0</v>
      </c>
      <c r="FR109" s="47" t="n">
        <v>0</v>
      </c>
      <c r="FS109" s="47" t="n">
        <v>0</v>
      </c>
      <c r="FT109" s="47" t="n">
        <v>0</v>
      </c>
      <c r="FU109" s="47" t="n">
        <v>0</v>
      </c>
      <c r="FV109" s="47" t="n">
        <v>0</v>
      </c>
      <c r="FW109" s="47" t="n">
        <v>0</v>
      </c>
      <c r="FX109" s="47" t="n">
        <v>0</v>
      </c>
      <c r="FY109" s="47" t="n">
        <v>0</v>
      </c>
      <c r="FZ109" s="47" t="n">
        <v>0</v>
      </c>
      <c r="GA109" s="47" t="n">
        <v>0</v>
      </c>
      <c r="GB109" s="47" t="n">
        <v>0</v>
      </c>
      <c r="GC109" s="47" t="n">
        <v>0</v>
      </c>
      <c r="GD109" s="47" t="n">
        <v>0</v>
      </c>
      <c r="GE109" s="47" t="n">
        <v>0</v>
      </c>
      <c r="GF109" s="47" t="n">
        <v>0</v>
      </c>
      <c r="GG109" s="47" t="n">
        <v>0</v>
      </c>
      <c r="GH109" s="47" t="n">
        <v>0</v>
      </c>
      <c r="GI109" s="47" t="n">
        <v>0</v>
      </c>
      <c r="GJ109" s="47" t="n">
        <v>0</v>
      </c>
      <c r="GK109" s="47" t="n">
        <v>0</v>
      </c>
      <c r="GL109" s="47" t="n">
        <v>0</v>
      </c>
      <c r="GM109" s="47" t="n">
        <v>0</v>
      </c>
      <c r="GN109" s="47" t="n">
        <v>0</v>
      </c>
      <c r="GO109" s="47" t="n">
        <v>0</v>
      </c>
      <c r="GP109" s="47" t="n">
        <v>0</v>
      </c>
      <c r="GQ109" s="47" t="n">
        <v>0</v>
      </c>
      <c r="GR109" s="47" t="n">
        <v>0</v>
      </c>
      <c r="GS109" s="47" t="n">
        <v>0</v>
      </c>
      <c r="GT109" s="47" t="n">
        <v>0</v>
      </c>
      <c r="GU109" s="47" t="n">
        <v>0</v>
      </c>
      <c r="GV109" s="47" t="n">
        <v>0</v>
      </c>
      <c r="GW109" s="47" t="n">
        <v>0</v>
      </c>
      <c r="GX109" s="47" t="n">
        <v>0</v>
      </c>
      <c r="GY109" s="47" t="n">
        <v>0</v>
      </c>
      <c r="GZ109" s="47" t="n">
        <v>0</v>
      </c>
      <c r="HA109" s="47" t="n">
        <v>0</v>
      </c>
      <c r="HB109" s="47" t="n">
        <v>0</v>
      </c>
      <c r="HC109" s="47" t="n">
        <v>0</v>
      </c>
      <c r="HD109" s="47" t="n">
        <v>0</v>
      </c>
      <c r="HE109" s="47" t="n">
        <v>0</v>
      </c>
      <c r="HF109" s="47" t="n">
        <v>0</v>
      </c>
      <c r="HG109" s="47" t="n">
        <v>0</v>
      </c>
      <c r="HH109" s="47" t="n">
        <v>0</v>
      </c>
      <c r="HI109" s="48" t="n">
        <v>0</v>
      </c>
      <c r="HJ109" s="47" t="n">
        <v>0</v>
      </c>
      <c r="HK109" s="47" t="n">
        <v>42666.6666666667</v>
      </c>
      <c r="HL109" s="47" t="n">
        <v>42666.6666666667</v>
      </c>
      <c r="HM109" s="47" t="n">
        <v>44916.6666666667</v>
      </c>
      <c r="HN109" s="47" t="n">
        <v>44916.6666666667</v>
      </c>
      <c r="HO109" s="47" t="n">
        <v>47166.6666666667</v>
      </c>
      <c r="HP109" s="47" t="n">
        <v>89833.3333333333</v>
      </c>
      <c r="HQ109" s="47" t="n">
        <v>92083.3333333333</v>
      </c>
      <c r="HS109" s="47" t="n">
        <v>0</v>
      </c>
      <c r="HT109" s="47" t="n">
        <v>0</v>
      </c>
      <c r="HU109" s="47" t="n">
        <v>0</v>
      </c>
      <c r="HV109" s="47" t="n">
        <v>0</v>
      </c>
      <c r="HW109" s="47" t="n">
        <v>0</v>
      </c>
      <c r="HX109" s="47" t="n">
        <v>0</v>
      </c>
      <c r="HY109" s="47" t="n">
        <v>0</v>
      </c>
      <c r="HZ109" s="47" t="n">
        <v>0</v>
      </c>
      <c r="IA109" s="47" t="n">
        <v>0</v>
      </c>
      <c r="IB109" s="47" t="n">
        <v>0</v>
      </c>
      <c r="IC109" s="47" t="n">
        <v>0</v>
      </c>
      <c r="ID109" s="47" t="n">
        <v>0</v>
      </c>
      <c r="IE109" s="47" t="n">
        <v>0</v>
      </c>
      <c r="IF109" s="47" t="n">
        <v>0</v>
      </c>
      <c r="IG109" s="47" t="n">
        <v>0</v>
      </c>
      <c r="IH109" s="47" t="n">
        <v>0</v>
      </c>
      <c r="II109" s="47" t="n">
        <v>0</v>
      </c>
      <c r="IJ109" s="47" t="n">
        <v>0</v>
      </c>
      <c r="IK109" s="47" t="n">
        <v>0</v>
      </c>
      <c r="IL109" s="47" t="n">
        <v>0</v>
      </c>
      <c r="IM109" s="47" t="n">
        <v>0</v>
      </c>
      <c r="IN109" s="47" t="n">
        <v>0</v>
      </c>
      <c r="IO109" s="47" t="n">
        <v>0</v>
      </c>
      <c r="IP109" s="47" t="n">
        <v>0</v>
      </c>
      <c r="IQ109" s="47" t="n">
        <v>0</v>
      </c>
      <c r="IR109" s="47" t="n">
        <v>0</v>
      </c>
      <c r="IS109" s="47" t="n">
        <v>0</v>
      </c>
      <c r="IT109" s="47" t="n">
        <v>0</v>
      </c>
      <c r="IU109" s="47" t="n">
        <v>0</v>
      </c>
      <c r="IV109" s="47" t="n">
        <v>0</v>
      </c>
      <c r="IW109" s="47" t="n">
        <v>0</v>
      </c>
      <c r="IX109" s="47" t="n">
        <v>0</v>
      </c>
      <c r="IY109" s="47" t="n">
        <v>0</v>
      </c>
      <c r="IZ109" s="47" t="n">
        <v>0</v>
      </c>
      <c r="JA109" s="47" t="n">
        <v>0</v>
      </c>
      <c r="JB109" s="47" t="n">
        <v>0</v>
      </c>
      <c r="JC109" s="47" t="n">
        <v>0</v>
      </c>
      <c r="JD109" s="47" t="n">
        <v>0</v>
      </c>
      <c r="JE109" s="47" t="n">
        <v>0</v>
      </c>
      <c r="JF109" s="47" t="n">
        <v>0</v>
      </c>
      <c r="JG109" s="47" t="n">
        <v>0</v>
      </c>
      <c r="JH109" s="47" t="n">
        <v>0</v>
      </c>
      <c r="JI109" s="47" t="n">
        <v>0</v>
      </c>
      <c r="JJ109" s="47" t="n">
        <v>0</v>
      </c>
      <c r="JK109" s="47" t="n">
        <v>0</v>
      </c>
      <c r="JL109" s="47" t="n">
        <v>0</v>
      </c>
      <c r="JM109" s="47" t="n">
        <v>0</v>
      </c>
      <c r="JN109" s="47" t="n">
        <v>0</v>
      </c>
      <c r="JO109" s="47" t="n">
        <v>0</v>
      </c>
      <c r="JP109" s="47" t="n">
        <v>0</v>
      </c>
      <c r="JQ109" s="47" t="n">
        <v>0</v>
      </c>
      <c r="JR109" s="47" t="n">
        <v>0</v>
      </c>
      <c r="JS109" s="47" t="n">
        <v>0</v>
      </c>
      <c r="JT109" s="47" t="n">
        <v>0</v>
      </c>
      <c r="JU109" s="47" t="n">
        <v>0</v>
      </c>
      <c r="JV109" s="47" t="n">
        <v>0</v>
      </c>
      <c r="JW109" s="47" t="n">
        <v>0</v>
      </c>
      <c r="JX109" s="47" t="n">
        <v>0</v>
      </c>
      <c r="JY109" s="47" t="n">
        <v>0</v>
      </c>
      <c r="JZ109" s="47" t="n">
        <v>0</v>
      </c>
      <c r="KA109" s="47" t="n">
        <v>0</v>
      </c>
      <c r="KB109" s="47" t="n">
        <v>0</v>
      </c>
      <c r="KC109" s="47" t="n">
        <v>0</v>
      </c>
      <c r="KD109" s="48" t="n">
        <v>0</v>
      </c>
      <c r="KE109" s="47" t="n">
        <v>0</v>
      </c>
      <c r="KF109" s="47" t="n">
        <v>42666.6666666667</v>
      </c>
      <c r="KG109" s="47" t="n">
        <v>42666.6666666667</v>
      </c>
      <c r="KH109" s="47" t="n">
        <v>44916.6666666667</v>
      </c>
      <c r="KI109" s="47" t="n">
        <v>44916.6666666667</v>
      </c>
      <c r="KJ109" s="47" t="n">
        <v>47166.6666666667</v>
      </c>
      <c r="KK109" s="47" t="n">
        <v>89833.3333333333</v>
      </c>
      <c r="KL109" s="47" t="n">
        <v>92083.3333333333</v>
      </c>
    </row>
    <row r="110" customFormat="false" ht="15.75" hidden="false" customHeight="true" outlineLevel="0" collapsed="false">
      <c r="A110" s="35" t="s">
        <v>389</v>
      </c>
      <c r="B110" s="35" t="s">
        <v>389</v>
      </c>
      <c r="BS110" s="46" t="n">
        <v>1511.41306303922</v>
      </c>
      <c r="BT110" s="46" t="n">
        <v>3021.14046701442</v>
      </c>
      <c r="BU110" s="46" t="n">
        <v>4699.87276951023</v>
      </c>
      <c r="BV110" s="46" t="n">
        <v>6377.0275805789</v>
      </c>
      <c r="BW110" s="46" t="n">
        <v>8061.62937251885</v>
      </c>
      <c r="BX110" s="46" t="n">
        <v>9744.65638363045</v>
      </c>
      <c r="BY110" s="46" t="n">
        <v>11435.1331141939</v>
      </c>
      <c r="BZ110" s="46" t="n">
        <v>13294.7044969836</v>
      </c>
      <c r="EX110" s="47" t="n">
        <v>0</v>
      </c>
      <c r="EY110" s="47" t="n">
        <v>0</v>
      </c>
      <c r="EZ110" s="47" t="n">
        <v>0</v>
      </c>
      <c r="FA110" s="47" t="n">
        <v>0</v>
      </c>
      <c r="FB110" s="47" t="n">
        <v>0</v>
      </c>
      <c r="FC110" s="47" t="n">
        <v>0</v>
      </c>
      <c r="FD110" s="47" t="n">
        <v>0</v>
      </c>
      <c r="FE110" s="47" t="n">
        <v>0</v>
      </c>
      <c r="FF110" s="47" t="n">
        <v>0</v>
      </c>
      <c r="FG110" s="47" t="n">
        <v>0</v>
      </c>
      <c r="FH110" s="47" t="n">
        <v>0</v>
      </c>
      <c r="FI110" s="47" t="n">
        <v>0</v>
      </c>
      <c r="FJ110" s="47" t="n">
        <v>0</v>
      </c>
      <c r="FK110" s="47" t="n">
        <v>0</v>
      </c>
      <c r="FL110" s="47" t="n">
        <v>0</v>
      </c>
      <c r="FM110" s="47" t="n">
        <v>0</v>
      </c>
      <c r="FN110" s="47" t="n">
        <v>0</v>
      </c>
      <c r="FO110" s="47" t="n">
        <v>0</v>
      </c>
      <c r="FP110" s="47" t="n">
        <v>0</v>
      </c>
      <c r="FQ110" s="47" t="n">
        <v>0</v>
      </c>
      <c r="FR110" s="47" t="n">
        <v>0</v>
      </c>
      <c r="FS110" s="47" t="n">
        <v>0</v>
      </c>
      <c r="FT110" s="47" t="n">
        <v>0</v>
      </c>
      <c r="FU110" s="47" t="n">
        <v>0</v>
      </c>
      <c r="FV110" s="47" t="n">
        <v>0</v>
      </c>
      <c r="FW110" s="47" t="n">
        <v>0</v>
      </c>
      <c r="FX110" s="47" t="n">
        <v>0</v>
      </c>
      <c r="FY110" s="47" t="n">
        <v>0</v>
      </c>
      <c r="FZ110" s="47" t="n">
        <v>0</v>
      </c>
      <c r="GA110" s="47" t="n">
        <v>0</v>
      </c>
      <c r="GB110" s="47" t="n">
        <v>0</v>
      </c>
      <c r="GC110" s="47" t="n">
        <v>0</v>
      </c>
      <c r="GD110" s="47" t="n">
        <v>0</v>
      </c>
      <c r="GE110" s="47" t="n">
        <v>0</v>
      </c>
      <c r="GF110" s="47" t="n">
        <v>0</v>
      </c>
      <c r="GG110" s="47" t="n">
        <v>0</v>
      </c>
      <c r="GH110" s="47" t="n">
        <v>0</v>
      </c>
      <c r="GI110" s="47" t="n">
        <v>0</v>
      </c>
      <c r="GJ110" s="47" t="n">
        <v>0</v>
      </c>
      <c r="GK110" s="47" t="n">
        <v>0</v>
      </c>
      <c r="GL110" s="47" t="n">
        <v>0</v>
      </c>
      <c r="GM110" s="47" t="n">
        <v>0</v>
      </c>
      <c r="GN110" s="47" t="n">
        <v>0</v>
      </c>
      <c r="GO110" s="47" t="n">
        <v>0</v>
      </c>
      <c r="GP110" s="47" t="n">
        <v>0</v>
      </c>
      <c r="GQ110" s="47" t="n">
        <v>0</v>
      </c>
      <c r="GR110" s="47" t="n">
        <v>0</v>
      </c>
      <c r="GS110" s="47" t="n">
        <v>0</v>
      </c>
      <c r="GT110" s="47" t="n">
        <v>0</v>
      </c>
      <c r="GU110" s="47" t="n">
        <v>0</v>
      </c>
      <c r="GV110" s="47" t="n">
        <v>0</v>
      </c>
      <c r="GW110" s="47" t="n">
        <v>0</v>
      </c>
      <c r="GX110" s="47" t="n">
        <v>0</v>
      </c>
      <c r="GY110" s="47" t="n">
        <v>0</v>
      </c>
      <c r="GZ110" s="47" t="n">
        <v>0</v>
      </c>
      <c r="HA110" s="47" t="n">
        <v>0</v>
      </c>
      <c r="HB110" s="47" t="n">
        <v>0</v>
      </c>
      <c r="HC110" s="47" t="n">
        <v>0</v>
      </c>
      <c r="HD110" s="47" t="n">
        <v>0</v>
      </c>
      <c r="HE110" s="47" t="n">
        <v>0</v>
      </c>
      <c r="HF110" s="47" t="n">
        <v>0</v>
      </c>
      <c r="HG110" s="47" t="n">
        <v>0</v>
      </c>
      <c r="HH110" s="47" t="n">
        <v>0</v>
      </c>
      <c r="HI110" s="48" t="n">
        <v>0</v>
      </c>
      <c r="HJ110" s="47" t="n">
        <v>1511.41306303922</v>
      </c>
      <c r="HK110" s="47" t="n">
        <v>3021.14046701442</v>
      </c>
      <c r="HL110" s="47" t="n">
        <v>4699.87276951023</v>
      </c>
      <c r="HM110" s="47" t="n">
        <v>6377.0275805789</v>
      </c>
      <c r="HN110" s="47" t="n">
        <v>8061.62937251885</v>
      </c>
      <c r="HO110" s="47" t="n">
        <v>9744.65638363045</v>
      </c>
      <c r="HP110" s="47" t="n">
        <v>11435.1331141939</v>
      </c>
      <c r="HQ110" s="47" t="n">
        <v>13294.7044969836</v>
      </c>
      <c r="HS110" s="47" t="n">
        <v>0</v>
      </c>
      <c r="HT110" s="47" t="n">
        <v>0</v>
      </c>
      <c r="HU110" s="47" t="n">
        <v>0</v>
      </c>
      <c r="HV110" s="47" t="n">
        <v>0</v>
      </c>
      <c r="HW110" s="47" t="n">
        <v>0</v>
      </c>
      <c r="HX110" s="47" t="n">
        <v>0</v>
      </c>
      <c r="HY110" s="47" t="n">
        <v>0</v>
      </c>
      <c r="HZ110" s="47" t="n">
        <v>0</v>
      </c>
      <c r="IA110" s="47" t="n">
        <v>0</v>
      </c>
      <c r="IB110" s="47" t="n">
        <v>0</v>
      </c>
      <c r="IC110" s="47" t="n">
        <v>0</v>
      </c>
      <c r="ID110" s="47" t="n">
        <v>0</v>
      </c>
      <c r="IE110" s="47" t="n">
        <v>0</v>
      </c>
      <c r="IF110" s="47" t="n">
        <v>0</v>
      </c>
      <c r="IG110" s="47" t="n">
        <v>0</v>
      </c>
      <c r="IH110" s="47" t="n">
        <v>0</v>
      </c>
      <c r="II110" s="47" t="n">
        <v>0</v>
      </c>
      <c r="IJ110" s="47" t="n">
        <v>0</v>
      </c>
      <c r="IK110" s="47" t="n">
        <v>0</v>
      </c>
      <c r="IL110" s="47" t="n">
        <v>0</v>
      </c>
      <c r="IM110" s="47" t="n">
        <v>0</v>
      </c>
      <c r="IN110" s="47" t="n">
        <v>0</v>
      </c>
      <c r="IO110" s="47" t="n">
        <v>0</v>
      </c>
      <c r="IP110" s="47" t="n">
        <v>0</v>
      </c>
      <c r="IQ110" s="47" t="n">
        <v>0</v>
      </c>
      <c r="IR110" s="47" t="n">
        <v>0</v>
      </c>
      <c r="IS110" s="47" t="n">
        <v>0</v>
      </c>
      <c r="IT110" s="47" t="n">
        <v>0</v>
      </c>
      <c r="IU110" s="47" t="n">
        <v>0</v>
      </c>
      <c r="IV110" s="47" t="n">
        <v>0</v>
      </c>
      <c r="IW110" s="47" t="n">
        <v>0</v>
      </c>
      <c r="IX110" s="47" t="n">
        <v>0</v>
      </c>
      <c r="IY110" s="47" t="n">
        <v>0</v>
      </c>
      <c r="IZ110" s="47" t="n">
        <v>0</v>
      </c>
      <c r="JA110" s="47" t="n">
        <v>0</v>
      </c>
      <c r="JB110" s="47" t="n">
        <v>0</v>
      </c>
      <c r="JC110" s="47" t="n">
        <v>0</v>
      </c>
      <c r="JD110" s="47" t="n">
        <v>0</v>
      </c>
      <c r="JE110" s="47" t="n">
        <v>0</v>
      </c>
      <c r="JF110" s="47" t="n">
        <v>0</v>
      </c>
      <c r="JG110" s="47" t="n">
        <v>0</v>
      </c>
      <c r="JH110" s="47" t="n">
        <v>0</v>
      </c>
      <c r="JI110" s="47" t="n">
        <v>0</v>
      </c>
      <c r="JJ110" s="47" t="n">
        <v>0</v>
      </c>
      <c r="JK110" s="47" t="n">
        <v>0</v>
      </c>
      <c r="JL110" s="47" t="n">
        <v>0</v>
      </c>
      <c r="JM110" s="47" t="n">
        <v>0</v>
      </c>
      <c r="JN110" s="47" t="n">
        <v>0</v>
      </c>
      <c r="JO110" s="47" t="n">
        <v>0</v>
      </c>
      <c r="JP110" s="47" t="n">
        <v>0</v>
      </c>
      <c r="JQ110" s="47" t="n">
        <v>0</v>
      </c>
      <c r="JR110" s="47" t="n">
        <v>0</v>
      </c>
      <c r="JS110" s="47" t="n">
        <v>0</v>
      </c>
      <c r="JT110" s="47" t="n">
        <v>0</v>
      </c>
      <c r="JU110" s="47" t="n">
        <v>0</v>
      </c>
      <c r="JV110" s="47" t="n">
        <v>0</v>
      </c>
      <c r="JW110" s="47" t="n">
        <v>0</v>
      </c>
      <c r="JX110" s="47" t="n">
        <v>0</v>
      </c>
      <c r="JY110" s="47" t="n">
        <v>0</v>
      </c>
      <c r="JZ110" s="47" t="n">
        <v>0</v>
      </c>
      <c r="KA110" s="47" t="n">
        <v>0</v>
      </c>
      <c r="KB110" s="47" t="n">
        <v>0</v>
      </c>
      <c r="KC110" s="47" t="n">
        <v>0</v>
      </c>
      <c r="KD110" s="48" t="n">
        <v>0</v>
      </c>
      <c r="KE110" s="47" t="n">
        <v>1511.41306303922</v>
      </c>
      <c r="KF110" s="47" t="n">
        <v>3021.14046701442</v>
      </c>
      <c r="KG110" s="47" t="n">
        <v>4699.87276951023</v>
      </c>
      <c r="KH110" s="47" t="n">
        <v>6377.0275805789</v>
      </c>
      <c r="KI110" s="47" t="n">
        <v>8061.62937251885</v>
      </c>
      <c r="KJ110" s="47" t="n">
        <v>9744.65638363045</v>
      </c>
      <c r="KK110" s="47" t="n">
        <v>11435.1331141939</v>
      </c>
      <c r="KL110" s="47" t="n">
        <v>13294.7044969836</v>
      </c>
    </row>
    <row r="111" customFormat="false" ht="15.75" hidden="false" customHeight="true" outlineLevel="0" collapsed="false">
      <c r="A111" s="35" t="s">
        <v>390</v>
      </c>
      <c r="B111" s="35" t="s">
        <v>390</v>
      </c>
      <c r="BS111" s="46" t="n">
        <v>-1133.55979727941</v>
      </c>
      <c r="BT111" s="46" t="n">
        <v>-2265.85535026081</v>
      </c>
      <c r="BU111" s="46" t="n">
        <v>-3524.90457713267</v>
      </c>
      <c r="BV111" s="46" t="n">
        <v>-4782.77068543418</v>
      </c>
      <c r="BW111" s="46" t="n">
        <v>-6046.22202938913</v>
      </c>
      <c r="BX111" s="46" t="n">
        <v>-7308.49228772284</v>
      </c>
      <c r="BY111" s="46" t="n">
        <v>-8576.34983564538</v>
      </c>
      <c r="BZ111" s="46" t="n">
        <v>-9971.02837273773</v>
      </c>
      <c r="EX111" s="47" t="n">
        <v>0</v>
      </c>
      <c r="EY111" s="47" t="n">
        <v>0</v>
      </c>
      <c r="EZ111" s="47" t="n">
        <v>0</v>
      </c>
      <c r="FA111" s="47" t="n">
        <v>0</v>
      </c>
      <c r="FB111" s="47" t="n">
        <v>0</v>
      </c>
      <c r="FC111" s="47" t="n">
        <v>0</v>
      </c>
      <c r="FD111" s="47" t="n">
        <v>0</v>
      </c>
      <c r="FE111" s="47" t="n">
        <v>0</v>
      </c>
      <c r="FF111" s="47" t="n">
        <v>0</v>
      </c>
      <c r="FG111" s="47" t="n">
        <v>0</v>
      </c>
      <c r="FH111" s="47" t="n">
        <v>0</v>
      </c>
      <c r="FI111" s="47" t="n">
        <v>0</v>
      </c>
      <c r="FJ111" s="47" t="n">
        <v>0</v>
      </c>
      <c r="FK111" s="47" t="n">
        <v>0</v>
      </c>
      <c r="FL111" s="47" t="n">
        <v>0</v>
      </c>
      <c r="FM111" s="47" t="n">
        <v>0</v>
      </c>
      <c r="FN111" s="47" t="n">
        <v>0</v>
      </c>
      <c r="FO111" s="47" t="n">
        <v>0</v>
      </c>
      <c r="FP111" s="47" t="n">
        <v>0</v>
      </c>
      <c r="FQ111" s="47" t="n">
        <v>0</v>
      </c>
      <c r="FR111" s="47" t="n">
        <v>0</v>
      </c>
      <c r="FS111" s="47" t="n">
        <v>0</v>
      </c>
      <c r="FT111" s="47" t="n">
        <v>0</v>
      </c>
      <c r="FU111" s="47" t="n">
        <v>0</v>
      </c>
      <c r="FV111" s="47" t="n">
        <v>0</v>
      </c>
      <c r="FW111" s="47" t="n">
        <v>0</v>
      </c>
      <c r="FX111" s="47" t="n">
        <v>0</v>
      </c>
      <c r="FY111" s="47" t="n">
        <v>0</v>
      </c>
      <c r="FZ111" s="47" t="n">
        <v>0</v>
      </c>
      <c r="GA111" s="47" t="n">
        <v>0</v>
      </c>
      <c r="GB111" s="47" t="n">
        <v>0</v>
      </c>
      <c r="GC111" s="47" t="n">
        <v>0</v>
      </c>
      <c r="GD111" s="47" t="n">
        <v>0</v>
      </c>
      <c r="GE111" s="47" t="n">
        <v>0</v>
      </c>
      <c r="GF111" s="47" t="n">
        <v>0</v>
      </c>
      <c r="GG111" s="47" t="n">
        <v>0</v>
      </c>
      <c r="GH111" s="47" t="n">
        <v>0</v>
      </c>
      <c r="GI111" s="47" t="n">
        <v>0</v>
      </c>
      <c r="GJ111" s="47" t="n">
        <v>0</v>
      </c>
      <c r="GK111" s="47" t="n">
        <v>0</v>
      </c>
      <c r="GL111" s="47" t="n">
        <v>0</v>
      </c>
      <c r="GM111" s="47" t="n">
        <v>0</v>
      </c>
      <c r="GN111" s="47" t="n">
        <v>0</v>
      </c>
      <c r="GO111" s="47" t="n">
        <v>0</v>
      </c>
      <c r="GP111" s="47" t="n">
        <v>0</v>
      </c>
      <c r="GQ111" s="47" t="n">
        <v>0</v>
      </c>
      <c r="GR111" s="47" t="n">
        <v>0</v>
      </c>
      <c r="GS111" s="47" t="n">
        <v>0</v>
      </c>
      <c r="GT111" s="47" t="n">
        <v>0</v>
      </c>
      <c r="GU111" s="47" t="n">
        <v>0</v>
      </c>
      <c r="GV111" s="47" t="n">
        <v>0</v>
      </c>
      <c r="GW111" s="47" t="n">
        <v>0</v>
      </c>
      <c r="GX111" s="47" t="n">
        <v>0</v>
      </c>
      <c r="GY111" s="47" t="n">
        <v>0</v>
      </c>
      <c r="GZ111" s="47" t="n">
        <v>0</v>
      </c>
      <c r="HA111" s="47" t="n">
        <v>0</v>
      </c>
      <c r="HB111" s="47" t="n">
        <v>0</v>
      </c>
      <c r="HC111" s="47" t="n">
        <v>0</v>
      </c>
      <c r="HD111" s="47" t="n">
        <v>0</v>
      </c>
      <c r="HE111" s="47" t="n">
        <v>0</v>
      </c>
      <c r="HF111" s="47" t="n">
        <v>0</v>
      </c>
      <c r="HG111" s="47" t="n">
        <v>0</v>
      </c>
      <c r="HH111" s="47" t="n">
        <v>0</v>
      </c>
      <c r="HI111" s="48" t="n">
        <v>0</v>
      </c>
      <c r="HJ111" s="47" t="n">
        <v>-1133.55979727941</v>
      </c>
      <c r="HK111" s="47" t="n">
        <v>-2265.85535026081</v>
      </c>
      <c r="HL111" s="47" t="n">
        <v>-3524.90457713267</v>
      </c>
      <c r="HM111" s="47" t="n">
        <v>-4782.77068543418</v>
      </c>
      <c r="HN111" s="47" t="n">
        <v>-6046.22202938913</v>
      </c>
      <c r="HO111" s="47" t="n">
        <v>-7308.49228772284</v>
      </c>
      <c r="HP111" s="47" t="n">
        <v>-8576.34983564538</v>
      </c>
      <c r="HQ111" s="47" t="n">
        <v>-9971.02837273773</v>
      </c>
      <c r="HS111" s="47" t="n">
        <v>0</v>
      </c>
      <c r="HT111" s="47" t="n">
        <v>0</v>
      </c>
      <c r="HU111" s="47" t="n">
        <v>0</v>
      </c>
      <c r="HV111" s="47" t="n">
        <v>0</v>
      </c>
      <c r="HW111" s="47" t="n">
        <v>0</v>
      </c>
      <c r="HX111" s="47" t="n">
        <v>0</v>
      </c>
      <c r="HY111" s="47" t="n">
        <v>0</v>
      </c>
      <c r="HZ111" s="47" t="n">
        <v>0</v>
      </c>
      <c r="IA111" s="47" t="n">
        <v>0</v>
      </c>
      <c r="IB111" s="47" t="n">
        <v>0</v>
      </c>
      <c r="IC111" s="47" t="n">
        <v>0</v>
      </c>
      <c r="ID111" s="47" t="n">
        <v>0</v>
      </c>
      <c r="IE111" s="47" t="n">
        <v>0</v>
      </c>
      <c r="IF111" s="47" t="n">
        <v>0</v>
      </c>
      <c r="IG111" s="47" t="n">
        <v>0</v>
      </c>
      <c r="IH111" s="47" t="n">
        <v>0</v>
      </c>
      <c r="II111" s="47" t="n">
        <v>0</v>
      </c>
      <c r="IJ111" s="47" t="n">
        <v>0</v>
      </c>
      <c r="IK111" s="47" t="n">
        <v>0</v>
      </c>
      <c r="IL111" s="47" t="n">
        <v>0</v>
      </c>
      <c r="IM111" s="47" t="n">
        <v>0</v>
      </c>
      <c r="IN111" s="47" t="n">
        <v>0</v>
      </c>
      <c r="IO111" s="47" t="n">
        <v>0</v>
      </c>
      <c r="IP111" s="47" t="n">
        <v>0</v>
      </c>
      <c r="IQ111" s="47" t="n">
        <v>0</v>
      </c>
      <c r="IR111" s="47" t="n">
        <v>0</v>
      </c>
      <c r="IS111" s="47" t="n">
        <v>0</v>
      </c>
      <c r="IT111" s="47" t="n">
        <v>0</v>
      </c>
      <c r="IU111" s="47" t="n">
        <v>0</v>
      </c>
      <c r="IV111" s="47" t="n">
        <v>0</v>
      </c>
      <c r="IW111" s="47" t="n">
        <v>0</v>
      </c>
      <c r="IX111" s="47" t="n">
        <v>0</v>
      </c>
      <c r="IY111" s="47" t="n">
        <v>0</v>
      </c>
      <c r="IZ111" s="47" t="n">
        <v>0</v>
      </c>
      <c r="JA111" s="47" t="n">
        <v>0</v>
      </c>
      <c r="JB111" s="47" t="n">
        <v>0</v>
      </c>
      <c r="JC111" s="47" t="n">
        <v>0</v>
      </c>
      <c r="JD111" s="47" t="n">
        <v>0</v>
      </c>
      <c r="JE111" s="47" t="n">
        <v>0</v>
      </c>
      <c r="JF111" s="47" t="n">
        <v>0</v>
      </c>
      <c r="JG111" s="47" t="n">
        <v>0</v>
      </c>
      <c r="JH111" s="47" t="n">
        <v>0</v>
      </c>
      <c r="JI111" s="47" t="n">
        <v>0</v>
      </c>
      <c r="JJ111" s="47" t="n">
        <v>0</v>
      </c>
      <c r="JK111" s="47" t="n">
        <v>0</v>
      </c>
      <c r="JL111" s="47" t="n">
        <v>0</v>
      </c>
      <c r="JM111" s="47" t="n">
        <v>0</v>
      </c>
      <c r="JN111" s="47" t="n">
        <v>0</v>
      </c>
      <c r="JO111" s="47" t="n">
        <v>0</v>
      </c>
      <c r="JP111" s="47" t="n">
        <v>0</v>
      </c>
      <c r="JQ111" s="47" t="n">
        <v>0</v>
      </c>
      <c r="JR111" s="47" t="n">
        <v>0</v>
      </c>
      <c r="JS111" s="47" t="n">
        <v>0</v>
      </c>
      <c r="JT111" s="47" t="n">
        <v>0</v>
      </c>
      <c r="JU111" s="47" t="n">
        <v>0</v>
      </c>
      <c r="JV111" s="47" t="n">
        <v>0</v>
      </c>
      <c r="JW111" s="47" t="n">
        <v>0</v>
      </c>
      <c r="JX111" s="47" t="n">
        <v>0</v>
      </c>
      <c r="JY111" s="47" t="n">
        <v>0</v>
      </c>
      <c r="JZ111" s="47" t="n">
        <v>0</v>
      </c>
      <c r="KA111" s="47" t="n">
        <v>0</v>
      </c>
      <c r="KB111" s="47" t="n">
        <v>0</v>
      </c>
      <c r="KC111" s="47" t="n">
        <v>0</v>
      </c>
      <c r="KD111" s="48" t="n">
        <v>0</v>
      </c>
      <c r="KE111" s="47" t="n">
        <v>-1133.55979727941</v>
      </c>
      <c r="KF111" s="47" t="n">
        <v>-2265.85535026081</v>
      </c>
      <c r="KG111" s="47" t="n">
        <v>-3524.90457713267</v>
      </c>
      <c r="KH111" s="47" t="n">
        <v>-4782.77068543418</v>
      </c>
      <c r="KI111" s="47" t="n">
        <v>-6046.22202938913</v>
      </c>
      <c r="KJ111" s="47" t="n">
        <v>-7308.49228772284</v>
      </c>
      <c r="KK111" s="47" t="n">
        <v>-8576.34983564538</v>
      </c>
      <c r="KL111" s="47" t="n">
        <v>-9971.02837273773</v>
      </c>
    </row>
    <row r="112" customFormat="false" ht="15.75" hidden="false" customHeight="true" outlineLevel="0" collapsed="false">
      <c r="A112" s="35" t="s">
        <v>391</v>
      </c>
      <c r="B112" s="35" t="s">
        <v>391</v>
      </c>
      <c r="BS112" s="46" t="n">
        <v>-799.268031762817</v>
      </c>
      <c r="BT112" s="46" t="n">
        <v>-1592.14191927153</v>
      </c>
      <c r="BU112" s="46" t="n">
        <v>-2406.19785168018</v>
      </c>
      <c r="BV112" s="46" t="n">
        <v>-3213.74133662955</v>
      </c>
      <c r="BW112" s="46" t="n">
        <v>-4028.58699169933</v>
      </c>
      <c r="BX112" s="46" t="n">
        <v>-4836.91388152855</v>
      </c>
      <c r="BY112" s="46" t="n">
        <v>-5652.53667423914</v>
      </c>
      <c r="BZ112" s="46" t="n">
        <v>-6489.15952060805</v>
      </c>
      <c r="EX112" s="47" t="n">
        <v>0</v>
      </c>
      <c r="EY112" s="47" t="n">
        <v>0</v>
      </c>
      <c r="EZ112" s="47" t="n">
        <v>0</v>
      </c>
      <c r="FA112" s="47" t="n">
        <v>0</v>
      </c>
      <c r="FB112" s="47" t="n">
        <v>0</v>
      </c>
      <c r="FC112" s="47" t="n">
        <v>0</v>
      </c>
      <c r="FD112" s="47" t="n">
        <v>0</v>
      </c>
      <c r="FE112" s="47" t="n">
        <v>0</v>
      </c>
      <c r="FF112" s="47" t="n">
        <v>0</v>
      </c>
      <c r="FG112" s="47" t="n">
        <v>0</v>
      </c>
      <c r="FH112" s="47" t="n">
        <v>0</v>
      </c>
      <c r="FI112" s="47" t="n">
        <v>0</v>
      </c>
      <c r="FJ112" s="47" t="n">
        <v>0</v>
      </c>
      <c r="FK112" s="47" t="n">
        <v>0</v>
      </c>
      <c r="FL112" s="47" t="n">
        <v>0</v>
      </c>
      <c r="FM112" s="47" t="n">
        <v>0</v>
      </c>
      <c r="FN112" s="47" t="n">
        <v>0</v>
      </c>
      <c r="FO112" s="47" t="n">
        <v>0</v>
      </c>
      <c r="FP112" s="47" t="n">
        <v>0</v>
      </c>
      <c r="FQ112" s="47" t="n">
        <v>0</v>
      </c>
      <c r="FR112" s="47" t="n">
        <v>0</v>
      </c>
      <c r="FS112" s="47" t="n">
        <v>0</v>
      </c>
      <c r="FT112" s="47" t="n">
        <v>0</v>
      </c>
      <c r="FU112" s="47" t="n">
        <v>0</v>
      </c>
      <c r="FV112" s="47" t="n">
        <v>0</v>
      </c>
      <c r="FW112" s="47" t="n">
        <v>0</v>
      </c>
      <c r="FX112" s="47" t="n">
        <v>0</v>
      </c>
      <c r="FY112" s="47" t="n">
        <v>0</v>
      </c>
      <c r="FZ112" s="47" t="n">
        <v>0</v>
      </c>
      <c r="GA112" s="47" t="n">
        <v>0</v>
      </c>
      <c r="GB112" s="47" t="n">
        <v>0</v>
      </c>
      <c r="GC112" s="47" t="n">
        <v>0</v>
      </c>
      <c r="GD112" s="47" t="n">
        <v>0</v>
      </c>
      <c r="GE112" s="47" t="n">
        <v>0</v>
      </c>
      <c r="GF112" s="47" t="n">
        <v>0</v>
      </c>
      <c r="GG112" s="47" t="n">
        <v>0</v>
      </c>
      <c r="GH112" s="47" t="n">
        <v>0</v>
      </c>
      <c r="GI112" s="47" t="n">
        <v>0</v>
      </c>
      <c r="GJ112" s="47" t="n">
        <v>0</v>
      </c>
      <c r="GK112" s="47" t="n">
        <v>0</v>
      </c>
      <c r="GL112" s="47" t="n">
        <v>0</v>
      </c>
      <c r="GM112" s="47" t="n">
        <v>0</v>
      </c>
      <c r="GN112" s="47" t="n">
        <v>0</v>
      </c>
      <c r="GO112" s="47" t="n">
        <v>0</v>
      </c>
      <c r="GP112" s="47" t="n">
        <v>0</v>
      </c>
      <c r="GQ112" s="47" t="n">
        <v>0</v>
      </c>
      <c r="GR112" s="47" t="n">
        <v>0</v>
      </c>
      <c r="GS112" s="47" t="n">
        <v>0</v>
      </c>
      <c r="GT112" s="47" t="n">
        <v>0</v>
      </c>
      <c r="GU112" s="47" t="n">
        <v>0</v>
      </c>
      <c r="GV112" s="47" t="n">
        <v>0</v>
      </c>
      <c r="GW112" s="47" t="n">
        <v>0</v>
      </c>
      <c r="GX112" s="47" t="n">
        <v>0</v>
      </c>
      <c r="GY112" s="47" t="n">
        <v>0</v>
      </c>
      <c r="GZ112" s="47" t="n">
        <v>0</v>
      </c>
      <c r="HA112" s="47" t="n">
        <v>0</v>
      </c>
      <c r="HB112" s="47" t="n">
        <v>0</v>
      </c>
      <c r="HC112" s="47" t="n">
        <v>0</v>
      </c>
      <c r="HD112" s="47" t="n">
        <v>0</v>
      </c>
      <c r="HE112" s="47" t="n">
        <v>0</v>
      </c>
      <c r="HF112" s="47" t="n">
        <v>0</v>
      </c>
      <c r="HG112" s="47" t="n">
        <v>0</v>
      </c>
      <c r="HH112" s="47" t="n">
        <v>0</v>
      </c>
      <c r="HI112" s="48" t="n">
        <v>0</v>
      </c>
      <c r="HJ112" s="47" t="n">
        <v>-799.268031762817</v>
      </c>
      <c r="HK112" s="47" t="n">
        <v>-1592.14191927153</v>
      </c>
      <c r="HL112" s="47" t="n">
        <v>-2406.19785168018</v>
      </c>
      <c r="HM112" s="47" t="n">
        <v>-3213.74133662955</v>
      </c>
      <c r="HN112" s="47" t="n">
        <v>-4028.58699169933</v>
      </c>
      <c r="HO112" s="47" t="n">
        <v>-4836.91388152855</v>
      </c>
      <c r="HP112" s="47" t="n">
        <v>-5652.53667423914</v>
      </c>
      <c r="HQ112" s="47" t="n">
        <v>-6489.15952060805</v>
      </c>
      <c r="HS112" s="47" t="n">
        <v>0</v>
      </c>
      <c r="HT112" s="47" t="n">
        <v>0</v>
      </c>
      <c r="HU112" s="47" t="n">
        <v>0</v>
      </c>
      <c r="HV112" s="47" t="n">
        <v>0</v>
      </c>
      <c r="HW112" s="47" t="n">
        <v>0</v>
      </c>
      <c r="HX112" s="47" t="n">
        <v>0</v>
      </c>
      <c r="HY112" s="47" t="n">
        <v>0</v>
      </c>
      <c r="HZ112" s="47" t="n">
        <v>0</v>
      </c>
      <c r="IA112" s="47" t="n">
        <v>0</v>
      </c>
      <c r="IB112" s="47" t="n">
        <v>0</v>
      </c>
      <c r="IC112" s="47" t="n">
        <v>0</v>
      </c>
      <c r="ID112" s="47" t="n">
        <v>0</v>
      </c>
      <c r="IE112" s="47" t="n">
        <v>0</v>
      </c>
      <c r="IF112" s="47" t="n">
        <v>0</v>
      </c>
      <c r="IG112" s="47" t="n">
        <v>0</v>
      </c>
      <c r="IH112" s="47" t="n">
        <v>0</v>
      </c>
      <c r="II112" s="47" t="n">
        <v>0</v>
      </c>
      <c r="IJ112" s="47" t="n">
        <v>0</v>
      </c>
      <c r="IK112" s="47" t="n">
        <v>0</v>
      </c>
      <c r="IL112" s="47" t="n">
        <v>0</v>
      </c>
      <c r="IM112" s="47" t="n">
        <v>0</v>
      </c>
      <c r="IN112" s="47" t="n">
        <v>0</v>
      </c>
      <c r="IO112" s="47" t="n">
        <v>0</v>
      </c>
      <c r="IP112" s="47" t="n">
        <v>0</v>
      </c>
      <c r="IQ112" s="47" t="n">
        <v>0</v>
      </c>
      <c r="IR112" s="47" t="n">
        <v>0</v>
      </c>
      <c r="IS112" s="47" t="n">
        <v>0</v>
      </c>
      <c r="IT112" s="47" t="n">
        <v>0</v>
      </c>
      <c r="IU112" s="47" t="n">
        <v>0</v>
      </c>
      <c r="IV112" s="47" t="n">
        <v>0</v>
      </c>
      <c r="IW112" s="47" t="n">
        <v>0</v>
      </c>
      <c r="IX112" s="47" t="n">
        <v>0</v>
      </c>
      <c r="IY112" s="47" t="n">
        <v>0</v>
      </c>
      <c r="IZ112" s="47" t="n">
        <v>0</v>
      </c>
      <c r="JA112" s="47" t="n">
        <v>0</v>
      </c>
      <c r="JB112" s="47" t="n">
        <v>0</v>
      </c>
      <c r="JC112" s="47" t="n">
        <v>0</v>
      </c>
      <c r="JD112" s="47" t="n">
        <v>0</v>
      </c>
      <c r="JE112" s="47" t="n">
        <v>0</v>
      </c>
      <c r="JF112" s="47" t="n">
        <v>0</v>
      </c>
      <c r="JG112" s="47" t="n">
        <v>0</v>
      </c>
      <c r="JH112" s="47" t="n">
        <v>0</v>
      </c>
      <c r="JI112" s="47" t="n">
        <v>0</v>
      </c>
      <c r="JJ112" s="47" t="n">
        <v>0</v>
      </c>
      <c r="JK112" s="47" t="n">
        <v>0</v>
      </c>
      <c r="JL112" s="47" t="n">
        <v>0</v>
      </c>
      <c r="JM112" s="47" t="n">
        <v>0</v>
      </c>
      <c r="JN112" s="47" t="n">
        <v>0</v>
      </c>
      <c r="JO112" s="47" t="n">
        <v>0</v>
      </c>
      <c r="JP112" s="47" t="n">
        <v>0</v>
      </c>
      <c r="JQ112" s="47" t="n">
        <v>0</v>
      </c>
      <c r="JR112" s="47" t="n">
        <v>0</v>
      </c>
      <c r="JS112" s="47" t="n">
        <v>0</v>
      </c>
      <c r="JT112" s="47" t="n">
        <v>0</v>
      </c>
      <c r="JU112" s="47" t="n">
        <v>0</v>
      </c>
      <c r="JV112" s="47" t="n">
        <v>0</v>
      </c>
      <c r="JW112" s="47" t="n">
        <v>0</v>
      </c>
      <c r="JX112" s="47" t="n">
        <v>0</v>
      </c>
      <c r="JY112" s="47" t="n">
        <v>0</v>
      </c>
      <c r="JZ112" s="47" t="n">
        <v>0</v>
      </c>
      <c r="KA112" s="47" t="n">
        <v>0</v>
      </c>
      <c r="KB112" s="47" t="n">
        <v>0</v>
      </c>
      <c r="KC112" s="47" t="n">
        <v>0</v>
      </c>
      <c r="KD112" s="48" t="n">
        <v>0</v>
      </c>
      <c r="KE112" s="47" t="n">
        <v>-799.268031762817</v>
      </c>
      <c r="KF112" s="47" t="n">
        <v>-1592.14191927153</v>
      </c>
      <c r="KG112" s="47" t="n">
        <v>-2406.19785168018</v>
      </c>
      <c r="KH112" s="47" t="n">
        <v>-3213.74133662955</v>
      </c>
      <c r="KI112" s="47" t="n">
        <v>-4028.58699169933</v>
      </c>
      <c r="KJ112" s="47" t="n">
        <v>-4836.91388152855</v>
      </c>
      <c r="KK112" s="47" t="n">
        <v>-5652.53667423914</v>
      </c>
      <c r="KL112" s="47" t="n">
        <v>-6489.15952060805</v>
      </c>
    </row>
    <row r="113" customFormat="false" ht="16.5" hidden="false" customHeight="true" outlineLevel="0" collapsed="false">
      <c r="A113" s="53" t="s">
        <v>160</v>
      </c>
      <c r="G113" s="54" t="n">
        <v>123697.6995</v>
      </c>
      <c r="H113" s="54" t="n">
        <v>126688.333666667</v>
      </c>
      <c r="I113" s="54" t="n">
        <v>125139.167</v>
      </c>
      <c r="J113" s="54" t="n">
        <v>126521.167</v>
      </c>
      <c r="K113" s="54" t="n">
        <v>129219.067</v>
      </c>
      <c r="L113" s="54" t="n">
        <v>131485.741666667</v>
      </c>
      <c r="M113" s="54" t="n">
        <v>121101.086666667</v>
      </c>
      <c r="N113" s="54" t="n">
        <v>129048.5</v>
      </c>
      <c r="O113" s="54" t="n">
        <v>131592.328152174</v>
      </c>
      <c r="P113" s="54" t="n">
        <v>135850.664818841</v>
      </c>
      <c r="Q113" s="54" t="n">
        <v>136434.001485507</v>
      </c>
      <c r="R113" s="54" t="n">
        <v>135638.371945277</v>
      </c>
      <c r="S113" s="54" t="n">
        <v>136877.371945277</v>
      </c>
      <c r="T113" s="54" t="n">
        <v>138159.298611944</v>
      </c>
      <c r="U113" s="54" t="n">
        <v>138600.961945277</v>
      </c>
      <c r="V113" s="54" t="n">
        <v>139746.505278611</v>
      </c>
      <c r="W113" s="54" t="n">
        <v>139754.848611944</v>
      </c>
      <c r="X113" s="54" t="n">
        <v>141777.728611944</v>
      </c>
      <c r="Y113" s="54" t="n">
        <v>139104.206945277</v>
      </c>
      <c r="Z113" s="54" t="n">
        <v>139750.040278611</v>
      </c>
      <c r="AA113" s="54" t="n">
        <v>148228.344626437</v>
      </c>
      <c r="AB113" s="54" t="n">
        <v>151426.171293103</v>
      </c>
      <c r="AC113" s="54" t="n">
        <v>153796.590267462</v>
      </c>
      <c r="AD113" s="54" t="n">
        <v>165253.261474359</v>
      </c>
      <c r="AE113" s="54" t="n">
        <v>298017.350889644</v>
      </c>
      <c r="AF113" s="54" t="n">
        <v>301392.776722977</v>
      </c>
      <c r="AG113" s="54" t="n">
        <v>300500.974222977</v>
      </c>
      <c r="AH113" s="54" t="n">
        <v>300521.890889644</v>
      </c>
      <c r="AI113" s="54" t="n">
        <v>303117.7504452</v>
      </c>
      <c r="AJ113" s="54" t="n">
        <v>299197.536863247</v>
      </c>
      <c r="AK113" s="54" t="n">
        <v>299527.878529914</v>
      </c>
      <c r="AL113" s="54" t="n">
        <v>300741.906029914</v>
      </c>
      <c r="AM113" s="54" t="n">
        <v>305767.640196581</v>
      </c>
      <c r="AN113" s="54" t="n">
        <v>306921.791613248</v>
      </c>
      <c r="AO113" s="54" t="n">
        <v>306921.791613248</v>
      </c>
      <c r="AP113" s="54" t="n">
        <v>308418.166805555</v>
      </c>
      <c r="AQ113" s="54" t="n">
        <v>226129.731305556</v>
      </c>
      <c r="AR113" s="54" t="n">
        <v>226870.543856061</v>
      </c>
      <c r="AS113" s="54" t="n">
        <v>226182.346356061</v>
      </c>
      <c r="AT113" s="54" t="n">
        <v>225515.679689394</v>
      </c>
      <c r="AU113" s="54" t="n">
        <v>225515.679689394</v>
      </c>
      <c r="AV113" s="54" t="n">
        <v>232767.374772727</v>
      </c>
      <c r="AW113" s="54" t="n">
        <v>252970.039924242</v>
      </c>
      <c r="AX113" s="54" t="n">
        <v>253367.835174242</v>
      </c>
      <c r="AY113" s="54" t="n">
        <v>252988.821840909</v>
      </c>
      <c r="AZ113" s="54" t="n">
        <v>254879.017481935</v>
      </c>
      <c r="BA113" s="54" t="n">
        <v>259512.350815268</v>
      </c>
      <c r="BB113" s="54" t="n">
        <v>257376.421648602</v>
      </c>
      <c r="BC113" s="54" t="n">
        <v>269010.901042541</v>
      </c>
      <c r="BD113" s="54" t="n">
        <v>262314.307709208</v>
      </c>
      <c r="BE113" s="54" t="n">
        <v>270771.842219011</v>
      </c>
      <c r="BF113" s="54" t="n">
        <v>278271.655195202</v>
      </c>
      <c r="BG113" s="54" t="n">
        <v>314593.272278535</v>
      </c>
      <c r="BH113" s="54" t="n">
        <v>312190.43312702</v>
      </c>
      <c r="BI113" s="54" t="n">
        <v>305383.36312702</v>
      </c>
      <c r="BJ113" s="54" t="n">
        <v>307742.139793687</v>
      </c>
      <c r="BK113" s="54" t="n">
        <v>301294.752293687</v>
      </c>
      <c r="BL113" s="54" t="n">
        <v>302138.252293687</v>
      </c>
      <c r="BM113" s="54" t="n">
        <v>301623.846176471</v>
      </c>
      <c r="BN113" s="54" t="n">
        <v>301006.771593137</v>
      </c>
      <c r="BO113" s="54" t="n">
        <v>380330.247426471</v>
      </c>
      <c r="BP113" s="54" t="n">
        <v>376627.035759804</v>
      </c>
      <c r="BQ113" s="54" t="n">
        <v>378235.712426471</v>
      </c>
      <c r="BR113" s="55" t="n">
        <v>382308.265759804</v>
      </c>
      <c r="BS113" s="54" t="n">
        <v>377431.850993801</v>
      </c>
      <c r="BT113" s="54" t="n">
        <v>419683.075623953</v>
      </c>
      <c r="BU113" s="54" t="n">
        <v>419288.702767168</v>
      </c>
      <c r="BV113" s="54" t="n">
        <v>421150.447984986</v>
      </c>
      <c r="BW113" s="54" t="n">
        <v>420756.752777901</v>
      </c>
      <c r="BX113" s="54" t="n">
        <v>422619.18264085</v>
      </c>
      <c r="BY113" s="54" t="n">
        <v>464892.845697447</v>
      </c>
      <c r="BZ113" s="54" t="n">
        <v>466771.115696775</v>
      </c>
      <c r="CC113" s="54" t="n">
        <v>-31114</v>
      </c>
      <c r="CD113" s="54" t="n">
        <v>-32220.2333333333</v>
      </c>
      <c r="CE113" s="54" t="n">
        <v>-30962.7333333333</v>
      </c>
      <c r="CF113" s="54" t="n">
        <v>-30962.7333333333</v>
      </c>
      <c r="CG113" s="54" t="n">
        <v>-30962.7333333333</v>
      </c>
      <c r="CH113" s="54" t="n">
        <v>-31354.4166666667</v>
      </c>
      <c r="CI113" s="54" t="n">
        <v>-18679.4166666667</v>
      </c>
      <c r="CJ113" s="54" t="n">
        <v>-18679.4</v>
      </c>
      <c r="CK113" s="54" t="n">
        <v>-19802.3333333333</v>
      </c>
      <c r="CL113" s="54" t="n">
        <v>-19802.3333333333</v>
      </c>
      <c r="CM113" s="54" t="n">
        <v>-20269</v>
      </c>
      <c r="CN113" s="54" t="n">
        <v>-20269</v>
      </c>
      <c r="CO113" s="54" t="n">
        <v>-22519</v>
      </c>
      <c r="CP113" s="54" t="n">
        <v>-23453.1666666667</v>
      </c>
      <c r="CQ113" s="54" t="n">
        <v>-23603.1666666667</v>
      </c>
      <c r="CR113" s="54" t="n">
        <v>-23603.1666666667</v>
      </c>
      <c r="CS113" s="54" t="n">
        <v>-23611.5</v>
      </c>
      <c r="CT113" s="54" t="n">
        <v>-23611.5</v>
      </c>
      <c r="CU113" s="54" t="n">
        <v>-18911.5</v>
      </c>
      <c r="CV113" s="54" t="n">
        <v>-18911.5</v>
      </c>
      <c r="CW113" s="54" t="n">
        <v>-19428.1666666667</v>
      </c>
      <c r="CX113" s="54" t="n">
        <v>-20769.8266666667</v>
      </c>
      <c r="CY113" s="54" t="n">
        <v>-20769.8333333333</v>
      </c>
      <c r="CZ113" s="54" t="n">
        <v>-32762.3333333333</v>
      </c>
      <c r="DA113" s="54" t="n">
        <v>-131736.4475</v>
      </c>
      <c r="DB113" s="54" t="n">
        <v>-130272.280833333</v>
      </c>
      <c r="DC113" s="54" t="n">
        <v>-129067.280833333</v>
      </c>
      <c r="DD113" s="54" t="n">
        <v>-129067.280833333</v>
      </c>
      <c r="DE113" s="54" t="n">
        <v>-129615.4475</v>
      </c>
      <c r="DF113" s="54" t="n">
        <v>-130498.780833333</v>
      </c>
      <c r="DG113" s="54" t="n">
        <v>-130498.780833333</v>
      </c>
      <c r="DH113" s="54" t="n">
        <v>-130635.030833333</v>
      </c>
      <c r="DI113" s="54" t="n">
        <v>-130699.614166667</v>
      </c>
      <c r="DJ113" s="54" t="n">
        <v>-131012.112916667</v>
      </c>
      <c r="DK113" s="54" t="n">
        <v>-131012.112916667</v>
      </c>
      <c r="DL113" s="54" t="n">
        <v>-126755.73125</v>
      </c>
      <c r="DM113" s="54" t="n">
        <v>-26231.5890833333</v>
      </c>
      <c r="DN113" s="54" t="n">
        <v>-26588.6365833333</v>
      </c>
      <c r="DO113" s="54" t="n">
        <v>-26363.6365833333</v>
      </c>
      <c r="DP113" s="54" t="n">
        <v>-26363.6365833333</v>
      </c>
      <c r="DQ113" s="54" t="n">
        <v>-26363.6365833333</v>
      </c>
      <c r="DR113" s="54" t="n">
        <v>-24838.3266666667</v>
      </c>
      <c r="DS113" s="54" t="n">
        <v>-29447.91</v>
      </c>
      <c r="DT113" s="54" t="n">
        <v>-28999.169</v>
      </c>
      <c r="DU113" s="54" t="n">
        <v>-28999.169</v>
      </c>
      <c r="DV113" s="54" t="n">
        <v>-29099.169</v>
      </c>
      <c r="DW113" s="54" t="n">
        <v>-28515.8356666667</v>
      </c>
      <c r="DX113" s="54" t="n">
        <v>-22135.269</v>
      </c>
      <c r="DY113" s="54" t="n">
        <v>-18385.269</v>
      </c>
      <c r="DZ113" s="54" t="n">
        <v>-15676.509</v>
      </c>
      <c r="EA113" s="54" t="n">
        <v>-15676.509</v>
      </c>
      <c r="EB113" s="54" t="n">
        <v>-20131.509</v>
      </c>
      <c r="EC113" s="54" t="n">
        <v>-20161.509</v>
      </c>
      <c r="ED113" s="54" t="n">
        <v>-17190.6666666667</v>
      </c>
      <c r="EE113" s="54" t="n">
        <v>-11281.0833333333</v>
      </c>
      <c r="EF113" s="54" t="n">
        <v>-11281.0833333333</v>
      </c>
      <c r="EG113" s="54" t="n">
        <v>-8091.5</v>
      </c>
      <c r="EH113" s="54" t="n">
        <v>-5138.33333333333</v>
      </c>
      <c r="EI113" s="54" t="n">
        <v>-5138.33333333333</v>
      </c>
      <c r="EJ113" s="54" t="n">
        <v>-4455</v>
      </c>
      <c r="EK113" s="54" t="n">
        <v>-4455</v>
      </c>
      <c r="EL113" s="54" t="n">
        <v>-4455</v>
      </c>
      <c r="EM113" s="54" t="n">
        <v>-4455</v>
      </c>
      <c r="EN113" s="55" t="n">
        <v>-4455</v>
      </c>
      <c r="EO113" s="54" t="n">
        <v>0</v>
      </c>
      <c r="EP113" s="54" t="n">
        <v>0</v>
      </c>
      <c r="EQ113" s="54" t="n">
        <v>0</v>
      </c>
      <c r="ER113" s="54" t="n">
        <v>0</v>
      </c>
      <c r="ES113" s="54" t="n">
        <v>0</v>
      </c>
      <c r="ET113" s="54" t="n">
        <v>0</v>
      </c>
      <c r="EU113" s="54" t="n">
        <v>0</v>
      </c>
      <c r="EV113" s="54" t="n">
        <v>0</v>
      </c>
      <c r="EX113" s="54" t="n">
        <v>106022.6995</v>
      </c>
      <c r="EY113" s="54" t="n">
        <v>109013.333666667</v>
      </c>
      <c r="EZ113" s="54" t="n">
        <v>107464.167</v>
      </c>
      <c r="FA113" s="54" t="n">
        <v>108846.167</v>
      </c>
      <c r="FB113" s="54" t="n">
        <v>111544.067</v>
      </c>
      <c r="FC113" s="54" t="n">
        <v>113810.741666667</v>
      </c>
      <c r="FD113" s="54" t="n">
        <v>117351.086666667</v>
      </c>
      <c r="FE113" s="54" t="n">
        <v>125298.5</v>
      </c>
      <c r="FF113" s="54" t="n">
        <v>127842.328152174</v>
      </c>
      <c r="FG113" s="54" t="n">
        <v>132100.664818841</v>
      </c>
      <c r="FH113" s="54" t="n">
        <v>132684.001485507</v>
      </c>
      <c r="FI113" s="54" t="n">
        <v>131888.371945277</v>
      </c>
      <c r="FJ113" s="54" t="n">
        <v>130877.371945277</v>
      </c>
      <c r="FK113" s="54" t="n">
        <v>132159.298611944</v>
      </c>
      <c r="FL113" s="54" t="n">
        <v>132600.961945277</v>
      </c>
      <c r="FM113" s="54" t="n">
        <v>133746.505278611</v>
      </c>
      <c r="FN113" s="54" t="n">
        <v>133754.848611944</v>
      </c>
      <c r="FO113" s="54" t="n">
        <v>135777.728611944</v>
      </c>
      <c r="FP113" s="54" t="n">
        <v>133104.206945277</v>
      </c>
      <c r="FQ113" s="54" t="n">
        <v>133750.040278611</v>
      </c>
      <c r="FR113" s="54" t="n">
        <v>142228.344626437</v>
      </c>
      <c r="FS113" s="54" t="n">
        <v>145426.171293103</v>
      </c>
      <c r="FT113" s="54" t="n">
        <v>147796.590267462</v>
      </c>
      <c r="FU113" s="54" t="n">
        <v>147560.761474359</v>
      </c>
      <c r="FV113" s="54" t="n">
        <v>181350.736722977</v>
      </c>
      <c r="FW113" s="54" t="n">
        <v>184726.162556311</v>
      </c>
      <c r="FX113" s="54" t="n">
        <v>183834.360056311</v>
      </c>
      <c r="FY113" s="54" t="n">
        <v>183855.276722977</v>
      </c>
      <c r="FZ113" s="54" t="n">
        <v>186451.136278533</v>
      </c>
      <c r="GA113" s="54" t="n">
        <v>182530.922696581</v>
      </c>
      <c r="GB113" s="54" t="n">
        <v>182861.264363248</v>
      </c>
      <c r="GC113" s="54" t="n">
        <v>184075.291863248</v>
      </c>
      <c r="GD113" s="54" t="n">
        <v>189101.026029914</v>
      </c>
      <c r="GE113" s="54" t="n">
        <v>190255.177446581</v>
      </c>
      <c r="GF113" s="54" t="n">
        <v>190255.177446581</v>
      </c>
      <c r="GG113" s="54" t="n">
        <v>196405.152638889</v>
      </c>
      <c r="GH113" s="54" t="n">
        <v>215340.831305556</v>
      </c>
      <c r="GI113" s="54" t="n">
        <v>216081.643856061</v>
      </c>
      <c r="GJ113" s="54" t="n">
        <v>215393.446356061</v>
      </c>
      <c r="GK113" s="54" t="n">
        <v>214726.779689394</v>
      </c>
      <c r="GL113" s="54" t="n">
        <v>214726.779689394</v>
      </c>
      <c r="GM113" s="54" t="n">
        <v>221978.474772727</v>
      </c>
      <c r="GN113" s="54" t="n">
        <v>236271.556590909</v>
      </c>
      <c r="GO113" s="54" t="n">
        <v>236669.351840909</v>
      </c>
      <c r="GP113" s="54" t="n">
        <v>236290.338507576</v>
      </c>
      <c r="GQ113" s="54" t="n">
        <v>238180.534148602</v>
      </c>
      <c r="GR113" s="54" t="n">
        <v>242813.867481935</v>
      </c>
      <c r="GS113" s="54" t="n">
        <v>247716.838315268</v>
      </c>
      <c r="GT113" s="54" t="n">
        <v>263101.317709208</v>
      </c>
      <c r="GU113" s="54" t="n">
        <v>256404.724375874</v>
      </c>
      <c r="GV113" s="54" t="n">
        <v>264862.258885678</v>
      </c>
      <c r="GW113" s="54" t="n">
        <v>267907.071861868</v>
      </c>
      <c r="GX113" s="54" t="n">
        <v>304228.688945202</v>
      </c>
      <c r="GY113" s="54" t="n">
        <v>301825.849793687</v>
      </c>
      <c r="GZ113" s="54" t="n">
        <v>300928.36312702</v>
      </c>
      <c r="HA113" s="54" t="n">
        <v>303287.139793687</v>
      </c>
      <c r="HB113" s="54" t="n">
        <v>296839.752293687</v>
      </c>
      <c r="HC113" s="54" t="n">
        <v>297683.252293687</v>
      </c>
      <c r="HD113" s="54" t="n">
        <v>297168.846176471</v>
      </c>
      <c r="HE113" s="54" t="n">
        <v>296551.771593137</v>
      </c>
      <c r="HF113" s="54" t="n">
        <v>375875.247426471</v>
      </c>
      <c r="HG113" s="54" t="n">
        <v>372172.035759804</v>
      </c>
      <c r="HH113" s="54" t="n">
        <v>373780.712426471</v>
      </c>
      <c r="HI113" s="55" t="n">
        <v>377853.265759804</v>
      </c>
      <c r="HJ113" s="54" t="n">
        <v>377431.850993801</v>
      </c>
      <c r="HK113" s="54" t="n">
        <v>419683.075623953</v>
      </c>
      <c r="HL113" s="54" t="n">
        <v>419288.702767168</v>
      </c>
      <c r="HM113" s="54" t="n">
        <v>421150.447984986</v>
      </c>
      <c r="HN113" s="54" t="n">
        <v>420756.752777901</v>
      </c>
      <c r="HO113" s="54" t="n">
        <v>422619.18264085</v>
      </c>
      <c r="HP113" s="54" t="n">
        <v>464892.845697447</v>
      </c>
      <c r="HQ113" s="54" t="n">
        <v>466771.115696775</v>
      </c>
      <c r="HS113" s="54" t="n">
        <v>92583.6995</v>
      </c>
      <c r="HT113" s="54" t="n">
        <v>94468.1003333333</v>
      </c>
      <c r="HU113" s="54" t="n">
        <v>94176.4336666667</v>
      </c>
      <c r="HV113" s="54" t="n">
        <v>95558.4336666667</v>
      </c>
      <c r="HW113" s="54" t="n">
        <v>98256.3336666667</v>
      </c>
      <c r="HX113" s="54" t="n">
        <v>100131.325</v>
      </c>
      <c r="HY113" s="54" t="n">
        <v>102421.67</v>
      </c>
      <c r="HZ113" s="54" t="n">
        <v>110369.1</v>
      </c>
      <c r="IA113" s="54" t="n">
        <v>111789.994818841</v>
      </c>
      <c r="IB113" s="54" t="n">
        <v>116048.331485507</v>
      </c>
      <c r="IC113" s="54" t="n">
        <v>116165.001485507</v>
      </c>
      <c r="ID113" s="54" t="n">
        <v>115369.371945277</v>
      </c>
      <c r="IE113" s="54" t="n">
        <v>114358.371945277</v>
      </c>
      <c r="IF113" s="54" t="n">
        <v>114706.131945277</v>
      </c>
      <c r="IG113" s="54" t="n">
        <v>114997.795278611</v>
      </c>
      <c r="IH113" s="54" t="n">
        <v>116143.338611944</v>
      </c>
      <c r="II113" s="54" t="n">
        <v>116143.348611944</v>
      </c>
      <c r="IJ113" s="54" t="n">
        <v>118166.228611944</v>
      </c>
      <c r="IK113" s="54" t="n">
        <v>120192.706945277</v>
      </c>
      <c r="IL113" s="54" t="n">
        <v>120838.540278611</v>
      </c>
      <c r="IM113" s="54" t="n">
        <v>128800.17795977</v>
      </c>
      <c r="IN113" s="54" t="n">
        <v>130656.344626437</v>
      </c>
      <c r="IO113" s="54" t="n">
        <v>133026.756934129</v>
      </c>
      <c r="IP113" s="54" t="n">
        <v>132490.928141026</v>
      </c>
      <c r="IQ113" s="54" t="n">
        <v>166280.903389644</v>
      </c>
      <c r="IR113" s="54" t="n">
        <v>171120.495889644</v>
      </c>
      <c r="IS113" s="54" t="n">
        <v>171433.693389644</v>
      </c>
      <c r="IT113" s="54" t="n">
        <v>171454.610056311</v>
      </c>
      <c r="IU113" s="54" t="n">
        <v>173502.3029452</v>
      </c>
      <c r="IV113" s="54" t="n">
        <v>168698.756029914</v>
      </c>
      <c r="IW113" s="54" t="n">
        <v>169029.097696581</v>
      </c>
      <c r="IX113" s="54" t="n">
        <v>170106.875196581</v>
      </c>
      <c r="IY113" s="54" t="n">
        <v>175068.026029914</v>
      </c>
      <c r="IZ113" s="54" t="n">
        <v>175909.678696581</v>
      </c>
      <c r="JA113" s="54" t="n">
        <v>175909.678696581</v>
      </c>
      <c r="JB113" s="54" t="n">
        <v>181662.435555555</v>
      </c>
      <c r="JC113" s="54" t="n">
        <v>199898.142222222</v>
      </c>
      <c r="JD113" s="54" t="n">
        <v>200281.907272727</v>
      </c>
      <c r="JE113" s="54" t="n">
        <v>199818.709772727</v>
      </c>
      <c r="JF113" s="54" t="n">
        <v>199152.043106061</v>
      </c>
      <c r="JG113" s="54" t="n">
        <v>199152.043106061</v>
      </c>
      <c r="JH113" s="54" t="n">
        <v>207929.048106061</v>
      </c>
      <c r="JI113" s="54" t="n">
        <v>223522.129924242</v>
      </c>
      <c r="JJ113" s="54" t="n">
        <v>224368.666174242</v>
      </c>
      <c r="JK113" s="54" t="n">
        <v>223989.652840909</v>
      </c>
      <c r="JL113" s="54" t="n">
        <v>225779.848481935</v>
      </c>
      <c r="JM113" s="54" t="n">
        <v>230996.515148602</v>
      </c>
      <c r="JN113" s="54" t="n">
        <v>235241.152648602</v>
      </c>
      <c r="JO113" s="54" t="n">
        <v>250625.632042541</v>
      </c>
      <c r="JP113" s="54" t="n">
        <v>246637.798709208</v>
      </c>
      <c r="JQ113" s="54" t="n">
        <v>255095.333219011</v>
      </c>
      <c r="JR113" s="54" t="n">
        <v>258140.146195202</v>
      </c>
      <c r="JS113" s="54" t="n">
        <v>294431.763278535</v>
      </c>
      <c r="JT113" s="54" t="n">
        <v>294999.766460353</v>
      </c>
      <c r="JU113" s="54" t="n">
        <v>294102.279793687</v>
      </c>
      <c r="JV113" s="54" t="n">
        <v>296461.056460353</v>
      </c>
      <c r="JW113" s="54" t="n">
        <v>293203.252293687</v>
      </c>
      <c r="JX113" s="54" t="n">
        <v>296999.918960353</v>
      </c>
      <c r="JY113" s="54" t="n">
        <v>296485.512843137</v>
      </c>
      <c r="JZ113" s="54" t="n">
        <v>296551.771593137</v>
      </c>
      <c r="KA113" s="54" t="n">
        <v>375875.247426471</v>
      </c>
      <c r="KB113" s="54" t="n">
        <v>372172.035759804</v>
      </c>
      <c r="KC113" s="54" t="n">
        <v>373780.712426471</v>
      </c>
      <c r="KD113" s="55" t="n">
        <v>377853.265759804</v>
      </c>
      <c r="KE113" s="54" t="n">
        <v>377431.850993801</v>
      </c>
      <c r="KF113" s="54" t="n">
        <v>419683.075623953</v>
      </c>
      <c r="KG113" s="54" t="n">
        <v>419288.702767168</v>
      </c>
      <c r="KH113" s="54" t="n">
        <v>421150.447984986</v>
      </c>
      <c r="KI113" s="54" t="n">
        <v>420756.752777901</v>
      </c>
      <c r="KJ113" s="54" t="n">
        <v>422619.18264085</v>
      </c>
      <c r="KK113" s="54" t="n">
        <v>464892.845697447</v>
      </c>
      <c r="KL113" s="54" t="n">
        <v>466771.115696775</v>
      </c>
    </row>
    <row r="114" customFormat="false" ht="15.75" hidden="false" customHeight="true" outlineLevel="0" collapsed="false"/>
    <row r="115" customFormat="false" ht="15.75" hidden="false" customHeight="true" outlineLevel="0" collapsed="false"/>
    <row r="117" customFormat="false" ht="15.75" hidden="false" customHeight="true" outlineLevel="0" collapsed="false"/>
    <row r="119" customFormat="false" ht="15.75" hidden="false" customHeight="true" outlineLevel="0" collapsed="false"/>
    <row r="12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2026-06-22T01:57:14Z</dcterms:created>
  <dc:creator>openpyxl</dc:creator>
  <dc:description/>
  <dc:language>en-US</dc:language>
  <cp:lastModifiedBy/>
  <dcterms:modified xsi:type="dcterms:W3CDTF">2026-06-22T01:57:18Z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